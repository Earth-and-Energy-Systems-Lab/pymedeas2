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7.xml" ContentType="application/vnd.openxmlformats-officedocument.spreadsheetml.comments+xml"/>
  <Override PartName="/xl/comments2.xml" ContentType="application/vnd.openxmlformats-officedocument.spreadsheetml.comments+xml"/>
  <Override PartName="/xl/comments8.xml" ContentType="application/vnd.openxmlformats-officedocument.spreadsheetml.comments+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vmlDrawing4.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sharedStrings.xml" ContentType="application/vnd.openxmlformats-officedocument.spreadsheetml.sharedStrings+xml"/>
  <Override PartName="/xl/comments5.xml" ContentType="application/vnd.openxmlformats-officedocument.spreadsheetml.comments+xml"/>
  <Override PartName="/xl/comments6.xml" ContentType="application/vnd.openxmlformats-officedocument.spreadsheetml.comments+xml"/>
  <Override PartName="/xl/comments4.xml" ContentType="application/vnd.openxmlformats-officedocument.spreadsheetml.comment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Info input variables" sheetId="2" state="visible" r:id="rId4"/>
    <sheet name="NZP" sheetId="3" state="visible" r:id="rId5"/>
    <sheet name="NZP_old" sheetId="4" state="visible" r:id="rId6"/>
    <sheet name="NZP_SE" sheetId="5" state="visible" r:id="rId7"/>
    <sheet name="NZP_rail_old" sheetId="6" state="visible" r:id="rId8"/>
    <sheet name="NZP_rail" sheetId="7" state="visible" r:id="rId9"/>
    <sheet name="NZP_rail_SE" sheetId="8" state="visible" r:id="rId10"/>
  </sheets>
  <definedNames>
    <definedName function="false" hidden="false" name="coal_net_flux_timeseries" vbProcedure="false">NZP!$B$452:$H$452</definedName>
    <definedName function="false" hidden="false" name="gas_net_flux_timeseries" vbProcedure="false">NZP!$B$450:$H$450</definedName>
    <definedName function="false" hidden="false" name="pop_growth_timeseries" vbProcedure="false">NZP!$C$5:$AL$5</definedName>
    <definedName function="false" hidden="false" name="share_ccs_energy" vbProcedure="false">NZP!$C$371:$I$420</definedName>
    <definedName function="false" hidden="false" name="start_policy_year_unconv_oil_underground" vbProcedure="false">NZP!$C$87</definedName>
    <definedName function="false" hidden="false" name="year_ref_RURR" vbProcedure="false">NZP!$C$84</definedName>
    <definedName function="false" hidden="false" localSheetId="2" name="activate_afforestation_program" vbProcedure="false">NZP!$B$316</definedName>
    <definedName function="false" hidden="false" localSheetId="2" name="activate_ELF" vbProcedure="false">NZP!$C$308</definedName>
    <definedName function="false" hidden="false" localSheetId="2" name="activate_policy_leaving_underground" vbProcedure="false">NZP!$C$83</definedName>
    <definedName function="false" hidden="false" localSheetId="2" name="afforestation" vbProcedure="false">NZP!$C$434:$X$434</definedName>
    <definedName function="false" hidden="false" localSheetId="2" name="average_solar_I" vbProcedure="false">NZP!$C$472</definedName>
    <definedName function="false" hidden="false" localSheetId="2" name="cell_efficiency_target_year" vbProcedure="false">NZP!$C$473</definedName>
    <definedName function="false" hidden="false" localSheetId="2" name="choose_energy_intensity_target_method" vbProcedure="false">NZP!$C$247</definedName>
    <definedName function="false" hidden="false" localSheetId="2" name="choose_targets_mineral_recycling_rates" vbProcedure="false">NZP!$D$277</definedName>
    <definedName function="false" hidden="false" localSheetId="2" name="co2_luc" vbProcedure="false">NZP!$C$430:$I$430</definedName>
    <definedName function="false" hidden="false" localSheetId="2" name="crash_programme_CTL" vbProcedure="false">NZP!$D$78</definedName>
    <definedName function="false" hidden="false" localSheetId="2" name="crash_programme_GTL" vbProcedure="false">NZP!$D$80</definedName>
    <definedName function="false" hidden="false" localSheetId="2" name="efficiency_rate_of_substitution_electricity" vbProcedure="false">NZP!$C$485:$Q$489</definedName>
    <definedName function="false" hidden="false" localSheetId="2" name="efficiency_rate_of_substitution_gases" vbProcedure="false">NZP!$C$500:$Q$504</definedName>
    <definedName function="false" hidden="false" localSheetId="2" name="efficiency_rate_of_substitution_heat" vbProcedure="false">NZP!$C$490:$Q$494</definedName>
    <definedName function="false" hidden="false" localSheetId="2" name="efficiency_rate_of_substitution_liquids" vbProcedure="false">NZP!$C$495:$Q$499</definedName>
    <definedName function="false" hidden="false" localSheetId="2" name="efficiency_rate_of_substitution_solids" vbProcedure="false">NZP!$C$505:$Q$509</definedName>
    <definedName function="false" hidden="false" localSheetId="2" name="energy_intensity_target" vbProcedure="false">NZP!$C$253:$AZ$257</definedName>
    <definedName function="false" hidden="false" localSheetId="2" name="energy_scarcity_forgetting_time" vbProcedure="false">NZP!$C$267</definedName>
    <definedName function="false" hidden="false" localSheetId="2" name="energy_scarcity_forgetting_time_H" vbProcedure="false">NZP!$C$271</definedName>
    <definedName function="false" hidden="false" localSheetId="2" name="EROI_feedback_flag" vbProcedure="false">nzp!#ref!</definedName>
    <definedName function="false" hidden="false" localSheetId="2" name="final_year_energy_intensity_target" vbProcedure="false">NZP!$C$250</definedName>
    <definedName function="false" hidden="false" localSheetId="2" name="forest_overexplotation" vbProcedure="false">NZP!$C$463</definedName>
    <definedName function="false" hidden="false" localSheetId="2" name="fuel_share_air_pkm" vbProcedure="false">NZP!$C$172:$H$175</definedName>
    <definedName function="false" hidden="false" localSheetId="2" name="fuel_share_air_tkm" vbProcedure="false">NZP!$C$154:$H$157</definedName>
    <definedName function="false" hidden="false" localSheetId="2" name="fuel_share_households_pkm" vbProcedure="false">NZP!$C$176:$H$179</definedName>
    <definedName function="false" hidden="false" localSheetId="2" name="fuel_share_maritime_pkm" vbProcedure="false">NZP!$C$168:$H$171</definedName>
    <definedName function="false" hidden="false" localSheetId="2" name="fuel_share_maritime_tkm" vbProcedure="false">NZP!$C$150:$H$153</definedName>
    <definedName function="false" hidden="false" localSheetId="2" name="fuel_share_rail_pkm" vbProcedure="false">NZP!$C$160:$H$163</definedName>
    <definedName function="false" hidden="false" localSheetId="2" name="fuel_share_rail_tkm" vbProcedure="false">NZP!$C$138:$H$141</definedName>
    <definedName function="false" hidden="false" localSheetId="2" name="fuel_share_road_pkm" vbProcedure="false">NZP!$C$164:$H$167</definedName>
    <definedName function="false" hidden="false" localSheetId="2" name="fuel_share_road_tkm" vbProcedure="false">NZP!$C$146:$H$149</definedName>
    <definedName function="false" hidden="false" localSheetId="2" name="GWP_time_frame" vbProcedure="false">nzp!#ref!</definedName>
    <definedName function="false" hidden="false" localSheetId="2" name="limit_coal_imports_from_RoW" vbProcedure="false">nzp!#ref!</definedName>
    <definedName function="false" hidden="false" localSheetId="2" name="limit_nat_gas_imports_from_RoW" vbProcedure="false">nzp!#ref!</definedName>
    <definedName function="false" hidden="false" localSheetId="2" name="limit_oil_imports_from_RoW" vbProcedure="false">nzp!#ref!</definedName>
    <definedName function="false" hidden="false" localSheetId="2" name="max_NPP_pot_bioe_residues" vbProcedure="false">nzp!#ref!</definedName>
    <definedName function="false" hidden="false" localSheetId="2" name="max_PE_biogas" vbProcedure="false">nzp!#ref!</definedName>
    <definedName function="false" hidden="false" localSheetId="2" name="max_share_imports_coal" vbProcedure="false">nzp!#ref!</definedName>
    <definedName function="false" hidden="false" localSheetId="2" name="max_share_imports_nat_gas" vbProcedure="false">nzp!#ref!</definedName>
    <definedName function="false" hidden="false" localSheetId="2" name="max_share_imports_oil" vbProcedure="false">nzp!#ref!</definedName>
    <definedName function="false" hidden="false" localSheetId="2" name="minimum_forest" vbProcedure="false">NZP!$C$464</definedName>
    <definedName function="false" hidden="false" localSheetId="2" name="min_FEI_vs_initial" vbProcedure="false">NZP!$C$213</definedName>
    <definedName function="false" hidden="false" localSheetId="2" name="oil_net_flux_timeseries" vbProcedure="false">NZP!$B$448:$H$448</definedName>
    <definedName function="false" hidden="false" localSheetId="2" name="pct_change_energy_intensity_target" vbProcedure="false">NZP!$C$260</definedName>
    <definedName function="false" hidden="false" localSheetId="2" name="percent_2w_tfin_over_hh_veh" vbProcedure="false">nzp!#ref!</definedName>
    <definedName function="false" hidden="false" localSheetId="2" name="percent_electric_2w_tfin" vbProcedure="false">nzp!#ref!</definedName>
    <definedName function="false" hidden="false" localSheetId="2" name="percent_electric_light_cargo_veh_tfin" vbProcedure="false">nzp!#ref!</definedName>
    <definedName function="false" hidden="false" localSheetId="2" name="percent_electric_train_tfin" vbProcedure="false">nzp!#ref!</definedName>
    <definedName function="false" hidden="false" localSheetId="2" name="percent_electr_bus_tfin" vbProcedure="false">nzp!#ref!</definedName>
    <definedName function="false" hidden="false" localSheetId="2" name="percent_electr_hh_4w_tfin" vbProcedure="false">nzp!#ref!</definedName>
    <definedName function="false" hidden="false" localSheetId="2" name="percent_gas_heavy_veh_tfin" vbProcedure="false">nzp!#ref!</definedName>
    <definedName function="false" hidden="false" localSheetId="2" name="percent_gas_hh_veh_4w_tfin" vbProcedure="false">nzp!#ref!</definedName>
    <definedName function="false" hidden="false" localSheetId="2" name="percent_hybrid_bus_tfin" vbProcedure="false">nzp!#ref!</definedName>
    <definedName function="false" hidden="false" localSheetId="2" name="percent_hybrid_heavy_veh_tfin" vbProcedure="false">nzp!#ref!</definedName>
    <definedName function="false" hidden="false" localSheetId="2" name="percent_hybrid_hh_4w_veh_tfin" vbProcedure="false">nzp!#ref!</definedName>
    <definedName function="false" hidden="false" localSheetId="2" name="percent_hybrid_light_cargo_veh_tfin" vbProcedure="false">nzp!#ref!</definedName>
    <definedName function="false" hidden="false" localSheetId="2" name="percent_natgas_bus_tfin" vbProcedure="false">nzp!#ref!</definedName>
    <definedName function="false" hidden="false" localSheetId="2" name="percent_natgas_light_cargo_veh_tfin" vbProcedure="false">nzp!#ref!</definedName>
    <definedName function="false" hidden="false" localSheetId="2" name="phase_out_oil_electr" vbProcedure="false">NZP!$C$102</definedName>
    <definedName function="false" hidden="false" localSheetId="2" name="phase_out_oil_heat" vbProcedure="false">NZP!$C$103</definedName>
    <definedName function="false" hidden="false" localSheetId="2" name="pkm_share" vbProcedure="false">NZP!$D$128:$J$132</definedName>
    <definedName function="false" hidden="false" localSheetId="2" name="policy_change_energy_speed" vbProcedure="false">NZP!$C$234:$AZ$238</definedName>
    <definedName function="false" hidden="false" localSheetId="2" name="policy_improvement_process_emissions_efficiency" vbProcedure="false">NZP!$C$426</definedName>
    <definedName function="false" hidden="false" localSheetId="2" name="policy_to_improve_efficiency_speed" vbProcedure="false">NZP!$C$222:$AZ$226</definedName>
    <definedName function="false" hidden="false" localSheetId="2" name="pot_marg_land_biofuels" vbProcedure="false">nzp!#ref!</definedName>
    <definedName function="false" hidden="false" localSheetId="2" name="p_bioe_power" vbProcedure="false">NZP!$C$18:$I$18</definedName>
    <definedName function="false" hidden="false" localSheetId="2" name="p_bioe_residues_growth" vbProcedure="false">NZP!$C$38</definedName>
    <definedName function="false" hidden="false" localSheetId="2" name="p_biofuels_2gen_land_compet" vbProcedure="false">NZP!$C$32</definedName>
    <definedName function="false" hidden="false" localSheetId="2" name="p_biofuels_3gen_land_compet" vbProcedure="false">NZP!$C$34</definedName>
    <definedName function="false" hidden="false" localSheetId="2" name="p_biofuels_marg_land_growth" vbProcedure="false">NZP!$C$40</definedName>
    <definedName function="false" hidden="false" localSheetId="2" name="p_biogas_growth" vbProcedure="false">NZP!$C$42</definedName>
    <definedName function="false" hidden="false" localSheetId="2" name="p_bus_bat" vbProcedure="false">NZP!$C$188:$H$192</definedName>
    <definedName function="false" hidden="false" localSheetId="2" name="p_capital_share" vbProcedure="false">NZP!$F$8</definedName>
    <definedName function="false" hidden="false" localSheetId="2" name="p_CCS" vbProcedure="false">NZP!$C$320:$I$369</definedName>
    <definedName function="false" hidden="false" localSheetId="2" name="p_change_over_hist_max_variation_FEI" vbProcedure="false">NZP!$C$214</definedName>
    <definedName function="false" hidden="false" localSheetId="2" name="P_common_rr_minerals_variation_alt_techn" vbProcedure="false">NZP!$C$301</definedName>
    <definedName function="false" hidden="false" localSheetId="2" name="P_common_rr_minerals_variation_Rest" vbProcedure="false">NZP!$C$303</definedName>
    <definedName function="false" hidden="false" localSheetId="2" name="p_constraint_growth_unconv_gas" vbProcedure="false">NZP!$C$75</definedName>
    <definedName function="false" hidden="false" localSheetId="2" name="p_constraint_growth_unconv_oil" vbProcedure="false">NZP!$C$71</definedName>
    <definedName function="false" hidden="false" localSheetId="2" name="p_CSP_power" vbProcedure="false">NZP!$C$23:$I$23</definedName>
    <definedName function="false" hidden="false" localSheetId="2" name="p_CTL_growth" vbProcedure="false">NZP!$C$78</definedName>
    <definedName function="false" hidden="false" localSheetId="2" name="p_DAC" vbProcedure="false">NZP!$C$422:$I$422</definedName>
    <definedName function="false" hidden="false" localSheetId="2" name="p_ETS" vbProcedure="false">NZP!$C$62:$I$65</definedName>
    <definedName function="false" hidden="false" localSheetId="2" name="p_ev_bat" vbProcedure="false">NZP!$C$183:$H$187</definedName>
    <definedName function="false" hidden="false" localSheetId="2" name="p_geot_heat_growth" vbProcedure="false">NZP!$C$51</definedName>
    <definedName function="false" hidden="false" localSheetId="2" name="p_geot_power" vbProcedure="false">NZP!$C$17:$I$17</definedName>
    <definedName function="false" hidden="false" localSheetId="2" name="p_GTL_growth" vbProcedure="false">NZP!$C$80</definedName>
    <definedName function="false" hidden="false" localSheetId="2" name="p_heavy_trucks_bat" vbProcedure="false">NZP!$C$198:$H$202</definedName>
    <definedName function="false" hidden="false" localSheetId="2" name="p_hydro_power" vbProcedure="false">NZP!$C$16:$I$16</definedName>
    <definedName function="false" hidden="false" localSheetId="2" name="p_labour_share" vbProcedure="false">NZP!$C$8</definedName>
    <definedName function="false" hidden="false" localSheetId="2" name="p_nuclear_scen3_4_variation" vbProcedure="false">NZP!$E$114</definedName>
    <definedName function="false" hidden="false" localSheetId="2" name="p_oceanic_power" vbProcedure="false">NZP!$C$19:$I$19</definedName>
    <definedName function="false" hidden="false" localSheetId="2" name="p_offshore_wind_power" vbProcedure="false">NZP!$C$21:$I$21</definedName>
    <definedName function="false" hidden="false" localSheetId="2" name="p_onshore_wind_power" vbProcedure="false">NZP!$C$20:$I$20</definedName>
    <definedName function="false" hidden="false" localSheetId="2" name="p_PHS_power" vbProcedure="false">NZP!$C$24:$I$24</definedName>
    <definedName function="false" hidden="false" localSheetId="2" name="p_pop_asymptote" vbProcedure="false">nzp!#ref!</definedName>
    <definedName function="false" hidden="false" localSheetId="2" name="p_PV_power" vbProcedure="false">NZP!$C$22:$I$22</definedName>
    <definedName function="false" hidden="false" localSheetId="2" name="p_RES_power" vbProcedure="false">NZP!$C$16:$I$23</definedName>
    <definedName function="false" hidden="false" localSheetId="2" name="P_rr_minerals_alt_techn" vbProcedure="false">NZP!$D$281:$D$299</definedName>
    <definedName function="false" hidden="false" localSheetId="2" name="P_rr_minerals_Rest" vbProcedure="false">NZP!$E$281:$E$299</definedName>
    <definedName function="false" hidden="false" localSheetId="2" name="p_share_FEH_vs_FED" vbProcedure="false">NZP!$C$55:$C$57</definedName>
    <definedName function="false" hidden="false" localSheetId="2" name="p_share_FEH_vs_FED_bioE" vbProcedure="false">NZP!$C$58</definedName>
    <definedName function="false" hidden="false" localSheetId="2" name="p_share_gas_elec" vbProcedure="false">NZP!$C$111</definedName>
    <definedName function="false" hidden="false" localSheetId="2" name="p_solar_heat" vbProcedure="false">NZP!$C$50</definedName>
    <definedName function="false" hidden="false" localSheetId="2" name="p_solid_bioe_heat" vbProcedure="false">NZP!$C$52</definedName>
    <definedName function="false" hidden="false" localSheetId="2" name="p_timeseries_gdp_growth" vbProcedure="false">NZP!$C$10:$AL$10</definedName>
    <definedName function="false" hidden="false" localSheetId="2" name="p_timeseries_pop_growth" vbProcedure="false">NZP!$C$4:$AM$4</definedName>
    <definedName function="false" hidden="false" localSheetId="2" name="p_trucks_bat" vbProcedure="false">NZP!$C$193:$H$197</definedName>
    <definedName function="false" hidden="false" localSheetId="2" name="p_waste_growth" vbProcedure="false">NZP!$C$45</definedName>
    <definedName function="false" hidden="false" localSheetId="2" name="RCP_GHG_emissions_select" vbProcedure="false">NZP!$C$310</definedName>
    <definedName function="false" hidden="false" localSheetId="2" name="scarcity_feedback_final_fuel_replacement_flag" vbProcedure="false">NZP!$C$263</definedName>
    <definedName function="false" hidden="false" localSheetId="2" name="sectoral_FEI_evolution_method" vbProcedure="false">NZP!$C$208</definedName>
    <definedName function="false" hidden="false" localSheetId="2" name="select_gdp_evolution" vbProcedure="false">nzp!#ref!</definedName>
    <definedName function="false" hidden="false" localSheetId="2" name="select_nuclear_scen" vbProcedure="false">NZP!$B$114</definedName>
    <definedName function="false" hidden="false" localSheetId="2" name="select_pop_evolution" vbProcedure="false">nzp!#ref!</definedName>
    <definedName function="false" hidden="false" localSheetId="2" name="sensitivity_to_scarcity_option" vbProcedure="false">NZP!$C$264</definedName>
    <definedName function="false" hidden="false" localSheetId="2" name="sensitivity_to_scarcity_option_H" vbProcedure="false">NZP!$C$268</definedName>
    <definedName function="false" hidden="false" localSheetId="2" name="separate_conv_and_unconv_gas" vbProcedure="false">NZP!$C$74</definedName>
    <definedName function="false" hidden="false" localSheetId="2" name="separate_conv_and_unconv_oil" vbProcedure="false">NZP!$C$70</definedName>
    <definedName function="false" hidden="false" localSheetId="2" name="share_available_roof" vbProcedure="false">NZP!$C$479</definedName>
    <definedName function="false" hidden="false" localSheetId="2" name="share_available_roof_for_rooftop_PV" vbProcedure="false">NZP!$C$480</definedName>
    <definedName function="false" hidden="false" localSheetId="2" name="share_cellulosic_biof_vs_bioe_res" vbProcedure="false">NZP!$C$37</definedName>
    <definedName function="false" hidden="false" localSheetId="2" name="share_curtailment" vbProcedure="false">NZP!$C$25:$I$25</definedName>
    <definedName function="false" hidden="false" localSheetId="2" name="share_exports_electricity" vbProcedure="false">NZP!$C$457:$I$457</definedName>
    <definedName function="false" hidden="false" localSheetId="2" name="share_PV_urban_tot_PV" vbProcedure="false">NZP!$C$482</definedName>
    <definedName function="false" hidden="false" localSheetId="2" name="share_roof_solar_thermal" vbProcedure="false">NZP!$C$481</definedName>
    <definedName function="false" hidden="false" localSheetId="2" name="share_RURR_agg_gas_underground" vbProcedure="false">NZP!$C$98</definedName>
    <definedName function="false" hidden="false" localSheetId="2" name="share_RURR_agg_oil_underground" vbProcedure="false">NZP!$C$96</definedName>
    <definedName function="false" hidden="false" localSheetId="2" name="share_RURR_coal_underground" vbProcedure="false">NZP!$C$94</definedName>
    <definedName function="false" hidden="false" localSheetId="2" name="share_RURR_conv_gas_underground" vbProcedure="false">NZP!$C$90</definedName>
    <definedName function="false" hidden="false" localSheetId="2" name="share_RURR_conv_oil_underground" vbProcedure="false">NZP!$C$86</definedName>
    <definedName function="false" hidden="false" localSheetId="2" name="share_RURR_unconv_gas_underground" vbProcedure="false">NZP!$C$92</definedName>
    <definedName function="false" hidden="false" localSheetId="2" name="share_RURR_unconv_oil_underground" vbProcedure="false">NZP!$C$88</definedName>
    <definedName function="false" hidden="false" localSheetId="2" name="share_target_year_oil_for_elec" vbProcedure="false">NZP!$C$108</definedName>
    <definedName function="false" hidden="false" localSheetId="2" name="share_target_year_oil_for_heat" vbProcedure="false">NZP!$C$109</definedName>
    <definedName function="false" hidden="false" localSheetId="2" name="share_trans_loss" vbProcedure="false">NZP!$C$26:$I$26</definedName>
    <definedName function="false" hidden="false" localSheetId="2" name="start_policy_year_agg_gas_underground" vbProcedure="false">NZP!$C$97</definedName>
    <definedName function="false" hidden="false" localSheetId="2" name="start_policy_year_agg_oil_underground" vbProcedure="false">NZP!$C$95</definedName>
    <definedName function="false" hidden="false" localSheetId="2" name="start_policy_year_coal_underground" vbProcedure="false">NZP!$C$93</definedName>
    <definedName function="false" hidden="false" localSheetId="2" name="start_policy_year_conv_gas_underground" vbProcedure="false">NZP!$C$89</definedName>
    <definedName function="false" hidden="false" localSheetId="2" name="start_policy_year_conv_oil_underground" vbProcedure="false">NZP!$C$85</definedName>
    <definedName function="false" hidden="false" localSheetId="2" name="start_policy_year_unconv_gas_underground" vbProcedure="false">NZP!$C$91</definedName>
    <definedName function="false" hidden="false" localSheetId="2" name="start_policy_year_unconv_opil_underground" vbProcedure="false">NZP!$C$87</definedName>
    <definedName function="false" hidden="false" localSheetId="2" name="start_year_3gen_cell_biofuels" vbProcedure="false">NZP!$C$33</definedName>
    <definedName function="false" hidden="false" localSheetId="2" name="start_year_bioe_residues_non_biofuels" vbProcedure="false">NZP!$C$36</definedName>
    <definedName function="false" hidden="false" localSheetId="2" name="start_year_biofuels_land_marg" vbProcedure="false">NZP!$C$39</definedName>
    <definedName function="false" hidden="false" localSheetId="2" name="start_year_cell_efficency_PV" vbProcedure="false">NZP!$C$474</definedName>
    <definedName function="false" hidden="false" localSheetId="2" name="start_year_modification_EI" vbProcedure="false">NZP!$C$249</definedName>
    <definedName function="false" hidden="false" localSheetId="2" name="start_year_nuclear_variation_scen3_4" vbProcedure="false">NZP!$E$115</definedName>
    <definedName function="false" hidden="false" localSheetId="2" name="start_year_policies_transport" vbProcedure="false">NZP!$E$122</definedName>
    <definedName function="false" hidden="false" localSheetId="2" name="start_year_policy_phase_out_oil_for_electricity" vbProcedure="false">NZP!$C$104</definedName>
    <definedName function="false" hidden="false" localSheetId="2" name="start_year_policy_phase_out_oil_for_heat" vbProcedure="false">NZP!$C$105</definedName>
    <definedName function="false" hidden="false" localSheetId="2" name="start_year_P_common_rr_minerals_alt_techn" vbProcedure="false">NZP!$C$302</definedName>
    <definedName function="false" hidden="false" localSheetId="2" name="start_year_P_common_rr_minerals_Rest" vbProcedure="false">NZP!$C$304</definedName>
    <definedName function="false" hidden="false" localSheetId="2" name="start_year_p_growth_RES_elec" vbProcedure="false">NZP!$C$15</definedName>
    <definedName function="false" hidden="false" localSheetId="2" name="start_year_p_growth_RES_heat" vbProcedure="false">NZP!$C$48</definedName>
    <definedName function="false" hidden="false" localSheetId="2" name="start_year_P_rr_minerals" vbProcedure="false">NZP!$B$280</definedName>
    <definedName function="false" hidden="false" localSheetId="2" name="start_year_P_urban_land_density" vbProcedure="false">NZP!$C$468</definedName>
    <definedName function="false" hidden="false" localSheetId="2" name="start_year_variation_primary_forest" vbProcedure="false">NZP!$C$466</definedName>
    <definedName function="false" hidden="false" localSheetId="2" name="target_year_asymptote_gdp" vbProcedure="false">nzp!#ref!</definedName>
    <definedName function="false" hidden="false" localSheetId="2" name="target_year_asymptote_pop" vbProcedure="false">nzp!#ref!</definedName>
    <definedName function="false" hidden="false" localSheetId="2" name="target_year_policy_gas_electricity" vbProcedure="false">NZP!$C$110</definedName>
    <definedName function="false" hidden="false" localSheetId="2" name="target_year_policy_phase_out_oil_electricity" vbProcedure="false">NZP!$C$106</definedName>
    <definedName function="false" hidden="false" localSheetId="2" name="target_year_policy_phase_out_oil_heat" vbProcedure="false">NZP!$C$107</definedName>
    <definedName function="false" hidden="false" localSheetId="2" name="target_year_process_emissions" vbProcedure="false">NZP!$C$425</definedName>
    <definedName function="false" hidden="false" localSheetId="2" name="target_year_p_growth_RES_elec" vbProcedure="false">nzp!#ref!</definedName>
    <definedName function="false" hidden="false" localSheetId="2" name="target_year_p_growth_RES_heat" vbProcedure="false">NZP!$C$49</definedName>
    <definedName function="false" hidden="false" localSheetId="2" name="target_year_P_rr_minerals" vbProcedure="false">NZP!$B$279</definedName>
    <definedName function="false" hidden="false" localSheetId="2" name="target_year_P_urban_land_density" vbProcedure="false">NZP!$C$469</definedName>
    <definedName function="false" hidden="false" localSheetId="2" name="targ_year_cell_efficiency_PV" vbProcedure="false">NZP!$C$475</definedName>
    <definedName function="false" hidden="false" localSheetId="2" name="tfin_policy_hh_veh" vbProcedure="false">nzp!#ref!</definedName>
    <definedName function="false" hidden="false" localSheetId="2" name="tfin_policy_inland_transp_veh" vbProcedure="false">nzp!#ref!</definedName>
    <definedName function="false" hidden="false" localSheetId="2" name="time_afforestation" vbProcedure="false">NZP!$C$433:$X$433</definedName>
    <definedName function="false" hidden="false" localSheetId="2" name="tini_policy_hh_veh" vbProcedure="false">nzp!#ref!</definedName>
    <definedName function="false" hidden="false" localSheetId="2" name="tini_policy_inland_transp_veh" vbProcedure="false">nzp!#ref!</definedName>
    <definedName function="false" hidden="false" localSheetId="2" name="tkm_share" vbProcedure="false">NZP!$D$123:$J$127</definedName>
    <definedName function="false" hidden="false" localSheetId="2" name="unlimited_coal" vbProcedure="false">nzp!#ref!</definedName>
    <definedName function="false" hidden="false" localSheetId="2" name="unlimited_gas" vbProcedure="false">nzp!#ref!</definedName>
    <definedName function="false" hidden="false" localSheetId="2" name="unlimited_NRE" vbProcedure="false">nzp!#ref!</definedName>
    <definedName function="false" hidden="false" localSheetId="2" name="unlimited_oil" vbProcedure="false">nzp!#ref!</definedName>
    <definedName function="false" hidden="false" localSheetId="2" name="unlimited_uranium" vbProcedure="false">nzp!#ref!</definedName>
    <definedName function="false" hidden="false" localSheetId="2" name="urban_land_density" vbProcedure="false">NZP!$C$467</definedName>
    <definedName function="false" hidden="false" localSheetId="2" name="variation_primary_forest" vbProcedure="false">NZP!$C$465</definedName>
    <definedName function="false" hidden="false" localSheetId="2" name="years_co2_luc" vbProcedure="false">NZP!$C$429:$I$429</definedName>
    <definedName function="false" hidden="false" localSheetId="2" name="years_pop_growth" vbProcedure="false">NZP!$C$4:$AL$4</definedName>
    <definedName function="false" hidden="false" localSheetId="2" name="year_change_pct_energy_intensity_target" vbProcedure="false">NZP!$C$259</definedName>
    <definedName function="false" hidden="false" localSheetId="2" name="year_customized_gdp_evol" vbProcedure="false">nzp!#ref!</definedName>
    <definedName function="false" hidden="false" localSheetId="2" name="year_customized_pop_evol" vbProcedure="false">nzp!#ref!</definedName>
    <definedName function="false" hidden="false" localSheetId="2" name="year_ev_bat" vbProcedure="false">NZP!$C$182:$H$182</definedName>
    <definedName function="false" hidden="false" localSheetId="2" name="year_gdp_timeseries" vbProcedure="false">NZP!$C$9:$AL$9</definedName>
    <definedName function="false" hidden="false" localSheetId="2" name="year_net_energy_flux" vbProcedure="false">NZP!$B$446:$H$446</definedName>
    <definedName function="false" hidden="false" localSheetId="2" name="year_policy_change_energy" vbProcedure="false">NZP!$C$228:$AZ$232</definedName>
    <definedName function="false" hidden="false" localSheetId="2" name="Year_policy_share_res_heat" vbProcedure="false">NZP!$C$54</definedName>
    <definedName function="false" hidden="false" localSheetId="2" name="year_policy_to_improve_efficiency" vbProcedure="false">NZP!$C$216:$AZ$220</definedName>
    <definedName function="false" hidden="false" localSheetId="2" name="year_pop_timeseries" vbProcedure="false">NZP!$C$4:$AL$4</definedName>
    <definedName function="false" hidden="false" localSheetId="2" name="year_RES_power" vbProcedure="false">NZP!$C$15:$I$15</definedName>
    <definedName function="false" hidden="false" localSheetId="2" name="year_RURR_coal" vbProcedure="false">NZP!$C$84</definedName>
    <definedName function="false" hidden="false" localSheetId="2" name="year_synthetic" vbProcedure="false">NZP!$C$61:$I$61</definedName>
    <definedName function="false" hidden="false" localSheetId="2" name="year_to_finish_energy_intensity_policies" vbProcedure="false">NZP!$C$240:$AZ$244</definedName>
    <definedName function="false" hidden="false" localSheetId="2" name="year_transport_fuel_share_pkm" vbProcedure="false">NZP!$C$159:$H$159</definedName>
    <definedName function="false" hidden="false" localSheetId="2" name="year_transport_fuel_share_tkm" vbProcedure="false">NZP!$C$137:$H$137</definedName>
    <definedName function="false" hidden="false" localSheetId="2" name="Year_transport_share" vbProcedure="false">NZP!$D$122:$J$122</definedName>
    <definedName function="false" hidden="false" localSheetId="3" name="activate_afforestation_program" vbProcedure="false">NZP_old!$B$316</definedName>
    <definedName function="false" hidden="false" localSheetId="3" name="activate_ELF" vbProcedure="false">NZP_old!$C$308</definedName>
    <definedName function="false" hidden="false" localSheetId="3" name="activate_policy_leaving_underground" vbProcedure="false">NZP_old!$C$83</definedName>
    <definedName function="false" hidden="false" localSheetId="3" name="afforestation" vbProcedure="false">NZP_old!$C$434:$X$434</definedName>
    <definedName function="false" hidden="false" localSheetId="3" name="average_solar_I" vbProcedure="false">NZP_old!$C$472</definedName>
    <definedName function="false" hidden="false" localSheetId="3" name="cell_efficiency_target_year" vbProcedure="false">NZP_old!$C$473</definedName>
    <definedName function="false" hidden="false" localSheetId="3" name="choose_energy_intensity_target_method" vbProcedure="false">NZP_old!$C$247</definedName>
    <definedName function="false" hidden="false" localSheetId="3" name="choose_targets_mineral_recycling_rates" vbProcedure="false">NZP_old!$D$277</definedName>
    <definedName function="false" hidden="false" localSheetId="3" name="co2_luc" vbProcedure="false">NZP_old!$C$430:$I$430</definedName>
    <definedName function="false" hidden="false" localSheetId="3" name="coal_net_flux_timeseries" vbProcedure="false">NZP_old!$B$452:$H$452</definedName>
    <definedName function="false" hidden="false" localSheetId="3" name="crash_programme_CTL" vbProcedure="false">NZP_old!$D$78</definedName>
    <definedName function="false" hidden="false" localSheetId="3" name="crash_programme_GTL" vbProcedure="false">NZP_old!$D$80</definedName>
    <definedName function="false" hidden="false" localSheetId="3" name="efficiency_rate_of_substitution_electricity" vbProcedure="false">NZP_old!$C$485:$Q$489</definedName>
    <definedName function="false" hidden="false" localSheetId="3" name="efficiency_rate_of_substitution_gases" vbProcedure="false">NZP_old!$C$500:$Q$504</definedName>
    <definedName function="false" hidden="false" localSheetId="3" name="efficiency_rate_of_substitution_heat" vbProcedure="false">NZP_old!$C$490:$Q$494</definedName>
    <definedName function="false" hidden="false" localSheetId="3" name="efficiency_rate_of_substitution_liquids" vbProcedure="false">NZP_old!$C$495:$Q$499</definedName>
    <definedName function="false" hidden="false" localSheetId="3" name="efficiency_rate_of_substitution_solids" vbProcedure="false">NZP_old!$C$505:$Q$509</definedName>
    <definedName function="false" hidden="false" localSheetId="3" name="energy_intensity_target" vbProcedure="false">NZP_old!$C$253:$AZ$257</definedName>
    <definedName function="false" hidden="false" localSheetId="3" name="energy_scarcity_forgetting_time" vbProcedure="false">NZP_old!$C$267</definedName>
    <definedName function="false" hidden="false" localSheetId="3" name="energy_scarcity_forgetting_time_H" vbProcedure="false">NZP_old!$C$271</definedName>
    <definedName function="false" hidden="false" localSheetId="3" name="EROI_feedback_flag" vbProcedure="false">nzp!#ref!</definedName>
    <definedName function="false" hidden="false" localSheetId="3" name="final_year_energy_intensity_target" vbProcedure="false">NZP_old!$C$250</definedName>
    <definedName function="false" hidden="false" localSheetId="3" name="forest_overexplotation" vbProcedure="false">NZP_old!$C$463</definedName>
    <definedName function="false" hidden="false" localSheetId="3" name="fuel_share_air_pkm" vbProcedure="false">NZP_old!$C$172:$H$175</definedName>
    <definedName function="false" hidden="false" localSheetId="3" name="fuel_share_air_tkm" vbProcedure="false">NZP_old!$C$154:$H$157</definedName>
    <definedName function="false" hidden="false" localSheetId="3" name="fuel_share_households_pkm" vbProcedure="false">NZP_old!$C$176:$H$179</definedName>
    <definedName function="false" hidden="false" localSheetId="3" name="fuel_share_maritime_pkm" vbProcedure="false">NZP_old!$C$168:$H$171</definedName>
    <definedName function="false" hidden="false" localSheetId="3" name="fuel_share_maritime_tkm" vbProcedure="false">NZP_old!$C$150:$H$153</definedName>
    <definedName function="false" hidden="false" localSheetId="3" name="fuel_share_rail_pkm" vbProcedure="false">NZP_old!$C$160:$H$163</definedName>
    <definedName function="false" hidden="false" localSheetId="3" name="fuel_share_rail_tkm" vbProcedure="false">NZP_old!$C$138:$H$141</definedName>
    <definedName function="false" hidden="false" localSheetId="3" name="fuel_share_road_pkm" vbProcedure="false">NZP_old!$C$164:$H$167</definedName>
    <definedName function="false" hidden="false" localSheetId="3" name="fuel_share_road_tkm" vbProcedure="false">NZP_old!$C$146:$H$149</definedName>
    <definedName function="false" hidden="false" localSheetId="3" name="gas_net_flux_timeseries" vbProcedure="false">NZP_old!$B$450:$H$450</definedName>
    <definedName function="false" hidden="false" localSheetId="3" name="GWP_time_frame" vbProcedure="false">nzp!#ref!</definedName>
    <definedName function="false" hidden="false" localSheetId="3" name="limit_coal_imports_from_RoW" vbProcedure="false">nzp!#ref!</definedName>
    <definedName function="false" hidden="false" localSheetId="3" name="limit_nat_gas_imports_from_RoW" vbProcedure="false">nzp!#ref!</definedName>
    <definedName function="false" hidden="false" localSheetId="3" name="limit_oil_imports_from_RoW" vbProcedure="false">nzp!#ref!</definedName>
    <definedName function="false" hidden="false" localSheetId="3" name="max_NPP_pot_bioe_residues" vbProcedure="false">nzp!#ref!</definedName>
    <definedName function="false" hidden="false" localSheetId="3" name="max_PE_biogas" vbProcedure="false">nzp!#ref!</definedName>
    <definedName function="false" hidden="false" localSheetId="3" name="max_share_imports_coal" vbProcedure="false">nzp!#ref!</definedName>
    <definedName function="false" hidden="false" localSheetId="3" name="max_share_imports_nat_gas" vbProcedure="false">nzp!#ref!</definedName>
    <definedName function="false" hidden="false" localSheetId="3" name="max_share_imports_oil" vbProcedure="false">nzp!#ref!</definedName>
    <definedName function="false" hidden="false" localSheetId="3" name="minimum_forest" vbProcedure="false">NZP_old!$C$464</definedName>
    <definedName function="false" hidden="false" localSheetId="3" name="min_FEI_vs_initial" vbProcedure="false">NZP_old!$C$213</definedName>
    <definedName function="false" hidden="false" localSheetId="3" name="oil_net_flux_timeseries" vbProcedure="false">NZP_old!$B$448:$H$448</definedName>
    <definedName function="false" hidden="false" localSheetId="3" name="pct_change_energy_intensity_target" vbProcedure="false">NZP_old!$C$260</definedName>
    <definedName function="false" hidden="false" localSheetId="3" name="percent_2w_tfin_over_hh_veh" vbProcedure="false">nzp!#ref!</definedName>
    <definedName function="false" hidden="false" localSheetId="3" name="percent_electric_2w_tfin" vbProcedure="false">nzp!#ref!</definedName>
    <definedName function="false" hidden="false" localSheetId="3" name="percent_electric_light_cargo_veh_tfin" vbProcedure="false">nzp!#ref!</definedName>
    <definedName function="false" hidden="false" localSheetId="3" name="percent_electric_train_tfin" vbProcedure="false">nzp!#ref!</definedName>
    <definedName function="false" hidden="false" localSheetId="3" name="percent_electr_bus_tfin" vbProcedure="false">nzp!#ref!</definedName>
    <definedName function="false" hidden="false" localSheetId="3" name="percent_electr_hh_4w_tfin" vbProcedure="false">nzp!#ref!</definedName>
    <definedName function="false" hidden="false" localSheetId="3" name="percent_gas_heavy_veh_tfin" vbProcedure="false">nzp!#ref!</definedName>
    <definedName function="false" hidden="false" localSheetId="3" name="percent_gas_hh_veh_4w_tfin" vbProcedure="false">nzp!#ref!</definedName>
    <definedName function="false" hidden="false" localSheetId="3" name="percent_hybrid_bus_tfin" vbProcedure="false">nzp!#ref!</definedName>
    <definedName function="false" hidden="false" localSheetId="3" name="percent_hybrid_heavy_veh_tfin" vbProcedure="false">nzp!#ref!</definedName>
    <definedName function="false" hidden="false" localSheetId="3" name="percent_hybrid_hh_4w_veh_tfin" vbProcedure="false">nzp!#ref!</definedName>
    <definedName function="false" hidden="false" localSheetId="3" name="percent_hybrid_light_cargo_veh_tfin" vbProcedure="false">nzp!#ref!</definedName>
    <definedName function="false" hidden="false" localSheetId="3" name="percent_natgas_bus_tfin" vbProcedure="false">nzp!#ref!</definedName>
    <definedName function="false" hidden="false" localSheetId="3" name="percent_natgas_light_cargo_veh_tfin" vbProcedure="false">nzp!#ref!</definedName>
    <definedName function="false" hidden="false" localSheetId="3" name="phase_out_oil_electr" vbProcedure="false">NZP_old!$C$102</definedName>
    <definedName function="false" hidden="false" localSheetId="3" name="phase_out_oil_heat" vbProcedure="false">NZP_old!$C$103</definedName>
    <definedName function="false" hidden="false" localSheetId="3" name="pkm_share" vbProcedure="false">NZP_old!$D$128:$J$132</definedName>
    <definedName function="false" hidden="false" localSheetId="3" name="policy_change_energy_speed" vbProcedure="false">NZP_old!$C$234:$AZ$238</definedName>
    <definedName function="false" hidden="false" localSheetId="3" name="policy_improvement_process_emissions_efficiency" vbProcedure="false">NZP_old!$C$426</definedName>
    <definedName function="false" hidden="false" localSheetId="3" name="policy_to_improve_efficiency_speed" vbProcedure="false">NZP_old!$C$222:$AZ$226</definedName>
    <definedName function="false" hidden="false" localSheetId="3" name="pop_growth_timeseries" vbProcedure="false">NZP_old!$C$5:$AL$5</definedName>
    <definedName function="false" hidden="false" localSheetId="3" name="pot_marg_land_biofuels" vbProcedure="false">nzp!#ref!</definedName>
    <definedName function="false" hidden="false" localSheetId="3" name="p_bioe_power" vbProcedure="false">NZP_old!$C$18:$I$18</definedName>
    <definedName function="false" hidden="false" localSheetId="3" name="p_bioe_residues_growth" vbProcedure="false">NZP_old!$C$38</definedName>
    <definedName function="false" hidden="false" localSheetId="3" name="p_biofuels_2gen_land_compet" vbProcedure="false">NZP_old!$C$32</definedName>
    <definedName function="false" hidden="false" localSheetId="3" name="p_biofuels_3gen_land_compet" vbProcedure="false">NZP_old!$C$34</definedName>
    <definedName function="false" hidden="false" localSheetId="3" name="p_biofuels_marg_land_growth" vbProcedure="false">NZP_old!$C$40</definedName>
    <definedName function="false" hidden="false" localSheetId="3" name="p_biogas_growth" vbProcedure="false">NZP_old!$C$42</definedName>
    <definedName function="false" hidden="false" localSheetId="3" name="p_bus_bat" vbProcedure="false">NZP_old!$C$188:$H$192</definedName>
    <definedName function="false" hidden="false" localSheetId="3" name="p_capital_share" vbProcedure="false">NZP_old!$F$8</definedName>
    <definedName function="false" hidden="false" localSheetId="3" name="p_CCS" vbProcedure="false">NZP_old!$C$320:$I$369</definedName>
    <definedName function="false" hidden="false" localSheetId="3" name="p_change_over_hist_max_variation_FEI" vbProcedure="false">NZP_old!$C$214</definedName>
    <definedName function="false" hidden="false" localSheetId="3" name="P_common_rr_minerals_variation_alt_techn" vbProcedure="false">NZP_old!$C$301</definedName>
    <definedName function="false" hidden="false" localSheetId="3" name="P_common_rr_minerals_variation_Rest" vbProcedure="false">NZP_old!$C$303</definedName>
    <definedName function="false" hidden="false" localSheetId="3" name="p_constraint_growth_unconv_gas" vbProcedure="false">NZP_old!$C$75</definedName>
    <definedName function="false" hidden="false" localSheetId="3" name="p_constraint_growth_unconv_oil" vbProcedure="false">NZP_old!$C$71</definedName>
    <definedName function="false" hidden="false" localSheetId="3" name="p_CSP_power" vbProcedure="false">NZP_old!$C$23:$I$23</definedName>
    <definedName function="false" hidden="false" localSheetId="3" name="p_CTL_growth" vbProcedure="false">NZP_old!$C$78</definedName>
    <definedName function="false" hidden="false" localSheetId="3" name="p_DAC" vbProcedure="false">NZP_old!$C$422:$I$422</definedName>
    <definedName function="false" hidden="false" localSheetId="3" name="p_ETS" vbProcedure="false">NZP_old!$C$62:$I$65</definedName>
    <definedName function="false" hidden="false" localSheetId="3" name="p_ev_bat" vbProcedure="false">NZP_old!$C$183:$H$187</definedName>
    <definedName function="false" hidden="false" localSheetId="3" name="p_geot_heat_growth" vbProcedure="false">NZP_old!$C$51</definedName>
    <definedName function="false" hidden="false" localSheetId="3" name="p_geot_power" vbProcedure="false">NZP_old!$C$17:$I$17</definedName>
    <definedName function="false" hidden="false" localSheetId="3" name="p_GTL_growth" vbProcedure="false">NZP_old!$C$80</definedName>
    <definedName function="false" hidden="false" localSheetId="3" name="p_heavy_trucks_bat" vbProcedure="false">NZP_old!$C$198:$H$202</definedName>
    <definedName function="false" hidden="false" localSheetId="3" name="p_hydro_power" vbProcedure="false">NZP_old!$C$16:$I$16</definedName>
    <definedName function="false" hidden="false" localSheetId="3" name="p_labour_share" vbProcedure="false">NZP_old!$C$8</definedName>
    <definedName function="false" hidden="false" localSheetId="3" name="p_nuclear_scen3_4_variation" vbProcedure="false">NZP_old!$E$114</definedName>
    <definedName function="false" hidden="false" localSheetId="3" name="p_oceanic_power" vbProcedure="false">NZP_old!$C$19:$I$19</definedName>
    <definedName function="false" hidden="false" localSheetId="3" name="p_offshore_wind_power" vbProcedure="false">NZP_old!$C$21:$I$21</definedName>
    <definedName function="false" hidden="false" localSheetId="3" name="p_onshore_wind_power" vbProcedure="false">NZP_old!$C$20:$I$20</definedName>
    <definedName function="false" hidden="false" localSheetId="3" name="p_PHS_power" vbProcedure="false">NZP_old!$C$24:$I$24</definedName>
    <definedName function="false" hidden="false" localSheetId="3" name="p_pop_asymptote" vbProcedure="false">nzp!#ref!</definedName>
    <definedName function="false" hidden="false" localSheetId="3" name="p_PV_power" vbProcedure="false">NZP_old!$C$22:$I$22</definedName>
    <definedName function="false" hidden="false" localSheetId="3" name="p_RES_power" vbProcedure="false">NZP_old!$C$16:$I$23</definedName>
    <definedName function="false" hidden="false" localSheetId="3" name="P_rr_minerals_alt_techn" vbProcedure="false">NZP_old!$D$281:$D$299</definedName>
    <definedName function="false" hidden="false" localSheetId="3" name="P_rr_minerals_Rest" vbProcedure="false">NZP_old!$E$281:$E$299</definedName>
    <definedName function="false" hidden="false" localSheetId="3" name="p_share_FEH_vs_FED" vbProcedure="false">NZP_old!$C$55:$C$57</definedName>
    <definedName function="false" hidden="false" localSheetId="3" name="p_share_FEH_vs_FED_bioE" vbProcedure="false">NZP_old!$C$58</definedName>
    <definedName function="false" hidden="false" localSheetId="3" name="p_share_gas_elec" vbProcedure="false">NZP_old!$C$111</definedName>
    <definedName function="false" hidden="false" localSheetId="3" name="p_solar_heat" vbProcedure="false">NZP_old!$C$50</definedName>
    <definedName function="false" hidden="false" localSheetId="3" name="p_solid_bioe_heat" vbProcedure="false">NZP_old!$C$52</definedName>
    <definedName function="false" hidden="false" localSheetId="3" name="p_timeseries_gdp_growth" vbProcedure="false">NZP_old!$C$10:$AL$10</definedName>
    <definedName function="false" hidden="false" localSheetId="3" name="p_timeseries_pop_growth" vbProcedure="false">NZP_old!$C$4:$AM$4</definedName>
    <definedName function="false" hidden="false" localSheetId="3" name="p_trucks_bat" vbProcedure="false">NZP_old!$C$193:$H$197</definedName>
    <definedName function="false" hidden="false" localSheetId="3" name="p_waste_growth" vbProcedure="false">NZP_old!$C$45</definedName>
    <definedName function="false" hidden="false" localSheetId="3" name="RCP_GHG_emissions_select" vbProcedure="false">NZP_old!$C$310</definedName>
    <definedName function="false" hidden="false" localSheetId="3" name="scarcity_feedback_final_fuel_replacement_flag" vbProcedure="false">NZP_old!$C$263</definedName>
    <definedName function="false" hidden="false" localSheetId="3" name="sectoral_FEI_evolution_method" vbProcedure="false">NZP_old!$C$208</definedName>
    <definedName function="false" hidden="false" localSheetId="3" name="select_gdp_evolution" vbProcedure="false">nzp!#ref!</definedName>
    <definedName function="false" hidden="false" localSheetId="3" name="select_nuclear_scen" vbProcedure="false">NZP_old!$B$114</definedName>
    <definedName function="false" hidden="false" localSheetId="3" name="select_pop_evolution" vbProcedure="false">nzp!#ref!</definedName>
    <definedName function="false" hidden="false" localSheetId="3" name="sensitivity_to_scarcity_option" vbProcedure="false">NZP_old!$C$264</definedName>
    <definedName function="false" hidden="false" localSheetId="3" name="sensitivity_to_scarcity_option_H" vbProcedure="false">NZP_old!$C$268</definedName>
    <definedName function="false" hidden="false" localSheetId="3" name="separate_conv_and_unconv_gas" vbProcedure="false">NZP_old!$C$74</definedName>
    <definedName function="false" hidden="false" localSheetId="3" name="separate_conv_and_unconv_oil" vbProcedure="false">NZP_old!$C$70</definedName>
    <definedName function="false" hidden="false" localSheetId="3" name="share_available_roof" vbProcedure="false">NZP_old!$C$479</definedName>
    <definedName function="false" hidden="false" localSheetId="3" name="share_available_roof_for_rooftop_PV" vbProcedure="false">NZP_old!$C$480</definedName>
    <definedName function="false" hidden="false" localSheetId="3" name="share_ccs_energy" vbProcedure="false">NZP_old!$C$371:$I$420</definedName>
    <definedName function="false" hidden="false" localSheetId="3" name="share_cellulosic_biof_vs_bioe_res" vbProcedure="false">NZP_old!$C$37</definedName>
    <definedName function="false" hidden="false" localSheetId="3" name="share_curtailment" vbProcedure="false">NZP_old!$C$25:$I$25</definedName>
    <definedName function="false" hidden="false" localSheetId="3" name="share_exports_electricity" vbProcedure="false">NZP_old!$C$457:$I$457</definedName>
    <definedName function="false" hidden="false" localSheetId="3" name="share_PV_urban_tot_PV" vbProcedure="false">NZP_old!$C$482</definedName>
    <definedName function="false" hidden="false" localSheetId="3" name="share_roof_solar_thermal" vbProcedure="false">NZP_old!$C$481</definedName>
    <definedName function="false" hidden="false" localSheetId="3" name="share_RURR_agg_gas_underground" vbProcedure="false">NZP_old!$C$98</definedName>
    <definedName function="false" hidden="false" localSheetId="3" name="share_RURR_agg_oil_underground" vbProcedure="false">NZP_old!$C$96</definedName>
    <definedName function="false" hidden="false" localSheetId="3" name="share_RURR_coal_underground" vbProcedure="false">NZP_old!$C$94</definedName>
    <definedName function="false" hidden="false" localSheetId="3" name="share_RURR_conv_gas_underground" vbProcedure="false">NZP_old!$C$90</definedName>
    <definedName function="false" hidden="false" localSheetId="3" name="share_RURR_conv_oil_underground" vbProcedure="false">NZP_old!$C$86</definedName>
    <definedName function="false" hidden="false" localSheetId="3" name="share_RURR_unconv_gas_underground" vbProcedure="false">NZP_old!$C$92</definedName>
    <definedName function="false" hidden="false" localSheetId="3" name="share_RURR_unconv_oil_underground" vbProcedure="false">NZP_old!$C$88</definedName>
    <definedName function="false" hidden="false" localSheetId="3" name="share_target_year_oil_for_elec" vbProcedure="false">NZP_old!$C$108</definedName>
    <definedName function="false" hidden="false" localSheetId="3" name="share_target_year_oil_for_heat" vbProcedure="false">NZP_old!$C$109</definedName>
    <definedName function="false" hidden="false" localSheetId="3" name="share_trans_loss" vbProcedure="false">NZP_old!$C$26:$I$26</definedName>
    <definedName function="false" hidden="false" localSheetId="3" name="start_policy_year_agg_gas_underground" vbProcedure="false">NZP_old!$C$97</definedName>
    <definedName function="false" hidden="false" localSheetId="3" name="start_policy_year_agg_oil_underground" vbProcedure="false">NZP_old!$C$95</definedName>
    <definedName function="false" hidden="false" localSheetId="3" name="start_policy_year_coal_underground" vbProcedure="false">NZP_old!$C$93</definedName>
    <definedName function="false" hidden="false" localSheetId="3" name="start_policy_year_conv_gas_underground" vbProcedure="false">NZP_old!$C$89</definedName>
    <definedName function="false" hidden="false" localSheetId="3" name="start_policy_year_conv_oil_underground" vbProcedure="false">NZP_old!$C$85</definedName>
    <definedName function="false" hidden="false" localSheetId="3" name="start_policy_year_unconv_gas_underground" vbProcedure="false">NZP_old!$C$91</definedName>
    <definedName function="false" hidden="false" localSheetId="3" name="start_policy_year_unconv_oil_underground" vbProcedure="false">NZP_old!$C$87</definedName>
    <definedName function="false" hidden="false" localSheetId="3" name="start_policy_year_unconv_opil_underground" vbProcedure="false">NZP_old!$C$87</definedName>
    <definedName function="false" hidden="false" localSheetId="3" name="start_year_3gen_cell_biofuels" vbProcedure="false">NZP_old!$C$33</definedName>
    <definedName function="false" hidden="false" localSheetId="3" name="start_year_bioe_residues_non_biofuels" vbProcedure="false">NZP_old!$C$36</definedName>
    <definedName function="false" hidden="false" localSheetId="3" name="start_year_biofuels_land_marg" vbProcedure="false">NZP_old!$C$39</definedName>
    <definedName function="false" hidden="false" localSheetId="3" name="start_year_cell_efficency_PV" vbProcedure="false">NZP_old!$C$474</definedName>
    <definedName function="false" hidden="false" localSheetId="3" name="start_year_modification_EI" vbProcedure="false">NZP_old!$C$249</definedName>
    <definedName function="false" hidden="false" localSheetId="3" name="start_year_nuclear_variation_scen3_4" vbProcedure="false">NZP_old!$E$115</definedName>
    <definedName function="false" hidden="false" localSheetId="3" name="start_year_policies_transport" vbProcedure="false">NZP_old!$E$122</definedName>
    <definedName function="false" hidden="false" localSheetId="3" name="start_year_policy_phase_out_oil_for_electricity" vbProcedure="false">NZP_old!$C$104</definedName>
    <definedName function="false" hidden="false" localSheetId="3" name="start_year_policy_phase_out_oil_for_heat" vbProcedure="false">NZP_old!$C$105</definedName>
    <definedName function="false" hidden="false" localSheetId="3" name="start_year_P_common_rr_minerals_alt_techn" vbProcedure="false">NZP_old!$C$302</definedName>
    <definedName function="false" hidden="false" localSheetId="3" name="start_year_P_common_rr_minerals_Rest" vbProcedure="false">NZP_old!$C$304</definedName>
    <definedName function="false" hidden="false" localSheetId="3" name="start_year_p_growth_RES_elec" vbProcedure="false">NZP_old!$C$15</definedName>
    <definedName function="false" hidden="false" localSheetId="3" name="start_year_p_growth_RES_heat" vbProcedure="false">NZP_old!$C$48</definedName>
    <definedName function="false" hidden="false" localSheetId="3" name="start_year_P_rr_minerals" vbProcedure="false">NZP_old!$B$280</definedName>
    <definedName function="false" hidden="false" localSheetId="3" name="start_year_P_urban_land_density" vbProcedure="false">NZP_old!$C$468</definedName>
    <definedName function="false" hidden="false" localSheetId="3" name="start_year_variation_primary_forest" vbProcedure="false">NZP_old!$C$466</definedName>
    <definedName function="false" hidden="false" localSheetId="3" name="target_year_asymptote_gdp" vbProcedure="false">nzp!#ref!</definedName>
    <definedName function="false" hidden="false" localSheetId="3" name="target_year_asymptote_pop" vbProcedure="false">nzp!#ref!</definedName>
    <definedName function="false" hidden="false" localSheetId="3" name="target_year_policy_gas_electricity" vbProcedure="false">NZP_old!$C$110</definedName>
    <definedName function="false" hidden="false" localSheetId="3" name="target_year_policy_phase_out_oil_electricity" vbProcedure="false">NZP_old!$C$106</definedName>
    <definedName function="false" hidden="false" localSheetId="3" name="target_year_policy_phase_out_oil_heat" vbProcedure="false">NZP_old!$C$107</definedName>
    <definedName function="false" hidden="false" localSheetId="3" name="target_year_process_emissions" vbProcedure="false">NZP_old!$C$425</definedName>
    <definedName function="false" hidden="false" localSheetId="3" name="target_year_p_growth_RES_elec" vbProcedure="false">nzp!#ref!</definedName>
    <definedName function="false" hidden="false" localSheetId="3" name="target_year_p_growth_RES_heat" vbProcedure="false">NZP_old!$C$49</definedName>
    <definedName function="false" hidden="false" localSheetId="3" name="target_year_P_rr_minerals" vbProcedure="false">NZP_old!$B$279</definedName>
    <definedName function="false" hidden="false" localSheetId="3" name="target_year_P_urban_land_density" vbProcedure="false">NZP_old!$C$469</definedName>
    <definedName function="false" hidden="false" localSheetId="3" name="targ_year_cell_efficiency_PV" vbProcedure="false">NZP_old!$C$475</definedName>
    <definedName function="false" hidden="false" localSheetId="3" name="tfin_policy_hh_veh" vbProcedure="false">nzp!#ref!</definedName>
    <definedName function="false" hidden="false" localSheetId="3" name="tfin_policy_inland_transp_veh" vbProcedure="false">nzp!#ref!</definedName>
    <definedName function="false" hidden="false" localSheetId="3" name="time_afforestation" vbProcedure="false">NZP_old!$C$433:$X$433</definedName>
    <definedName function="false" hidden="false" localSheetId="3" name="tini_policy_hh_veh" vbProcedure="false">nzp!#ref!</definedName>
    <definedName function="false" hidden="false" localSheetId="3" name="tini_policy_inland_transp_veh" vbProcedure="false">nzp!#ref!</definedName>
    <definedName function="false" hidden="false" localSheetId="3" name="tkm_share" vbProcedure="false">NZP_old!$D$123:$J$127</definedName>
    <definedName function="false" hidden="false" localSheetId="3" name="unlimited_coal" vbProcedure="false">nzp!#ref!</definedName>
    <definedName function="false" hidden="false" localSheetId="3" name="unlimited_gas" vbProcedure="false">nzp!#ref!</definedName>
    <definedName function="false" hidden="false" localSheetId="3" name="unlimited_NRE" vbProcedure="false">nzp!#ref!</definedName>
    <definedName function="false" hidden="false" localSheetId="3" name="unlimited_oil" vbProcedure="false">nzp!#ref!</definedName>
    <definedName function="false" hidden="false" localSheetId="3" name="unlimited_uranium" vbProcedure="false">nzp!#ref!</definedName>
    <definedName function="false" hidden="false" localSheetId="3" name="urban_land_density" vbProcedure="false">NZP_old!$C$467</definedName>
    <definedName function="false" hidden="false" localSheetId="3" name="variation_primary_forest" vbProcedure="false">NZP_old!$C$465</definedName>
    <definedName function="false" hidden="false" localSheetId="3" name="years_co2_luc" vbProcedure="false">NZP_old!$C$429:$I$429</definedName>
    <definedName function="false" hidden="false" localSheetId="3" name="years_pop_growth" vbProcedure="false">NZP_old!$C$4:$AL$4</definedName>
    <definedName function="false" hidden="false" localSheetId="3" name="year_change_pct_energy_intensity_target" vbProcedure="false">NZP_old!$C$259</definedName>
    <definedName function="false" hidden="false" localSheetId="3" name="year_customized_gdp_evol" vbProcedure="false">nzp!#ref!</definedName>
    <definedName function="false" hidden="false" localSheetId="3" name="year_customized_pop_evol" vbProcedure="false">nzp!#ref!</definedName>
    <definedName function="false" hidden="false" localSheetId="3" name="year_ev_bat" vbProcedure="false">NZP_old!$C$182:$H$182</definedName>
    <definedName function="false" hidden="false" localSheetId="3" name="year_gdp_timeseries" vbProcedure="false">NZP_old!$C$9:$AL$9</definedName>
    <definedName function="false" hidden="false" localSheetId="3" name="year_net_energy_flux" vbProcedure="false">NZP_old!$B$446:$H$446</definedName>
    <definedName function="false" hidden="false" localSheetId="3" name="year_policy_change_energy" vbProcedure="false">NZP_old!$C$228:$AZ$232</definedName>
    <definedName function="false" hidden="false" localSheetId="3" name="Year_policy_share_res_heat" vbProcedure="false">NZP_old!$C$54</definedName>
    <definedName function="false" hidden="false" localSheetId="3" name="year_policy_to_improve_efficiency" vbProcedure="false">NZP_old!$C$216:$AZ$220</definedName>
    <definedName function="false" hidden="false" localSheetId="3" name="year_pop_timeseries" vbProcedure="false">NZP_old!$C$4:$AL$4</definedName>
    <definedName function="false" hidden="false" localSheetId="3" name="year_ref_RURR" vbProcedure="false">NZP_old!$C$84</definedName>
    <definedName function="false" hidden="false" localSheetId="3" name="year_RES_power" vbProcedure="false">NZP_old!$C$15:$I$15</definedName>
    <definedName function="false" hidden="false" localSheetId="3" name="year_RURR_coal" vbProcedure="false">NZP_old!$C$84</definedName>
    <definedName function="false" hidden="false" localSheetId="3" name="year_synthetic" vbProcedure="false">NZP_old!$C$61:$I$61</definedName>
    <definedName function="false" hidden="false" localSheetId="3" name="year_to_finish_energy_intensity_policies" vbProcedure="false">NZP_old!$C$240:$AZ$244</definedName>
    <definedName function="false" hidden="false" localSheetId="3" name="year_transport_fuel_share_pkm" vbProcedure="false">NZP_old!$C$159:$H$159</definedName>
    <definedName function="false" hidden="false" localSheetId="3" name="year_transport_fuel_share_tkm" vbProcedure="false">NZP_old!$C$137:$H$137</definedName>
    <definedName function="false" hidden="false" localSheetId="3" name="Year_transport_share" vbProcedure="false">NZP_old!$D$122:$J$122</definedName>
    <definedName function="false" hidden="false" localSheetId="4" name="activate_afforestation_program" vbProcedure="false">NZP_SE!$B$316</definedName>
    <definedName function="false" hidden="false" localSheetId="4" name="activate_ELF" vbProcedure="false">NZP_SE!$C$308</definedName>
    <definedName function="false" hidden="false" localSheetId="4" name="activate_policy_leaving_underground" vbProcedure="false">NZP_SE!$C$83</definedName>
    <definedName function="false" hidden="false" localSheetId="4" name="afforestation" vbProcedure="false">NZP_SE!$C$434:$X$434</definedName>
    <definedName function="false" hidden="false" localSheetId="4" name="average_solar_I" vbProcedure="false">NZP_SE!$C$472</definedName>
    <definedName function="false" hidden="false" localSheetId="4" name="cell_efficiency_target_year" vbProcedure="false">NZP_SE!$C$473</definedName>
    <definedName function="false" hidden="false" localSheetId="4" name="choose_energy_intensity_target_method" vbProcedure="false">NZP_SE!$C$247</definedName>
    <definedName function="false" hidden="false" localSheetId="4" name="choose_targets_mineral_recycling_rates" vbProcedure="false">NZP_SE!$D$277</definedName>
    <definedName function="false" hidden="false" localSheetId="4" name="co2_luc" vbProcedure="false">NZP_SE!$C$430:$I$430</definedName>
    <definedName function="false" hidden="false" localSheetId="4" name="coal_net_flux_timeseries" vbProcedure="false">NZP_SE!$B$452:$H$452</definedName>
    <definedName function="false" hidden="false" localSheetId="4" name="crash_programme_CTL" vbProcedure="false">NZP_SE!$D$78</definedName>
    <definedName function="false" hidden="false" localSheetId="4" name="crash_programme_GTL" vbProcedure="false">NZP_SE!$D$80</definedName>
    <definedName function="false" hidden="false" localSheetId="4" name="efficiency_rate_of_substitution_electricity" vbProcedure="false">NZP_SE!$C$485:$Q$489</definedName>
    <definedName function="false" hidden="false" localSheetId="4" name="efficiency_rate_of_substitution_gases" vbProcedure="false">NZP_SE!$C$500:$Q$504</definedName>
    <definedName function="false" hidden="false" localSheetId="4" name="efficiency_rate_of_substitution_heat" vbProcedure="false">NZP_SE!$C$490:$Q$494</definedName>
    <definedName function="false" hidden="false" localSheetId="4" name="efficiency_rate_of_substitution_liquids" vbProcedure="false">NZP_SE!$C$495:$Q$499</definedName>
    <definedName function="false" hidden="false" localSheetId="4" name="efficiency_rate_of_substitution_solids" vbProcedure="false">NZP_SE!$C$505:$Q$509</definedName>
    <definedName function="false" hidden="false" localSheetId="4" name="energy_intensity_target" vbProcedure="false">NZP_SE!$C$253:$AZ$257</definedName>
    <definedName function="false" hidden="false" localSheetId="4" name="energy_scarcity_forgetting_time" vbProcedure="false">NZP_SE!$C$267</definedName>
    <definedName function="false" hidden="false" localSheetId="4" name="energy_scarcity_forgetting_time_H" vbProcedure="false">NZP_SE!$C$271</definedName>
    <definedName function="false" hidden="false" localSheetId="4" name="EROI_feedback_flag" vbProcedure="false">nzp!#ref!</definedName>
    <definedName function="false" hidden="false" localSheetId="4" name="final_year_energy_intensity_target" vbProcedure="false">NZP_SE!$C$250</definedName>
    <definedName function="false" hidden="false" localSheetId="4" name="forest_overexplotation" vbProcedure="false">NZP_SE!$C$463</definedName>
    <definedName function="false" hidden="false" localSheetId="4" name="fuel_share_air_pkm" vbProcedure="false">NZP_SE!$C$172:$H$175</definedName>
    <definedName function="false" hidden="false" localSheetId="4" name="fuel_share_air_tkm" vbProcedure="false">NZP_SE!$C$154:$H$157</definedName>
    <definedName function="false" hidden="false" localSheetId="4" name="fuel_share_households_pkm" vbProcedure="false">NZP_SE!$C$176:$H$179</definedName>
    <definedName function="false" hidden="false" localSheetId="4" name="fuel_share_maritime_pkm" vbProcedure="false">NZP_SE!$C$168:$H$171</definedName>
    <definedName function="false" hidden="false" localSheetId="4" name="fuel_share_maritime_tkm" vbProcedure="false">NZP_SE!$C$150:$H$153</definedName>
    <definedName function="false" hidden="false" localSheetId="4" name="fuel_share_rail_pkm" vbProcedure="false">NZP_SE!$C$160:$H$163</definedName>
    <definedName function="false" hidden="false" localSheetId="4" name="fuel_share_rail_tkm" vbProcedure="false">NZP_SE!$C$138:$H$141</definedName>
    <definedName function="false" hidden="false" localSheetId="4" name="fuel_share_road_pkm" vbProcedure="false">NZP_SE!$C$164:$H$167</definedName>
    <definedName function="false" hidden="false" localSheetId="4" name="fuel_share_road_tkm" vbProcedure="false">NZP_SE!$C$146:$H$149</definedName>
    <definedName function="false" hidden="false" localSheetId="4" name="gas_net_flux_timeseries" vbProcedure="false">NZP_SE!$B$450:$H$450</definedName>
    <definedName function="false" hidden="false" localSheetId="4" name="GWP_time_frame" vbProcedure="false">nzp!#ref!</definedName>
    <definedName function="false" hidden="false" localSheetId="4" name="limit_coal_imports_from_RoW" vbProcedure="false">nzp!#ref!</definedName>
    <definedName function="false" hidden="false" localSheetId="4" name="limit_nat_gas_imports_from_RoW" vbProcedure="false">nzp!#ref!</definedName>
    <definedName function="false" hidden="false" localSheetId="4" name="limit_oil_imports_from_RoW" vbProcedure="false">nzp!#ref!</definedName>
    <definedName function="false" hidden="false" localSheetId="4" name="max_NPP_pot_bioe_residues" vbProcedure="false">nzp!#ref!</definedName>
    <definedName function="false" hidden="false" localSheetId="4" name="max_PE_biogas" vbProcedure="false">nzp!#ref!</definedName>
    <definedName function="false" hidden="false" localSheetId="4" name="max_share_imports_coal" vbProcedure="false">nzp!#ref!</definedName>
    <definedName function="false" hidden="false" localSheetId="4" name="max_share_imports_nat_gas" vbProcedure="false">nzp!#ref!</definedName>
    <definedName function="false" hidden="false" localSheetId="4" name="max_share_imports_oil" vbProcedure="false">nzp!#ref!</definedName>
    <definedName function="false" hidden="false" localSheetId="4" name="minimum_forest" vbProcedure="false">NZP_SE!$C$464</definedName>
    <definedName function="false" hidden="false" localSheetId="4" name="min_FEI_vs_initial" vbProcedure="false">NZP_SE!$C$213</definedName>
    <definedName function="false" hidden="false" localSheetId="4" name="oil_net_flux_timeseries" vbProcedure="false">NZP_SE!$B$448:$H$448</definedName>
    <definedName function="false" hidden="false" localSheetId="4" name="pct_change_energy_intensity_target" vbProcedure="false">NZP_SE!$C$260</definedName>
    <definedName function="false" hidden="false" localSheetId="4" name="percent_2w_tfin_over_hh_veh" vbProcedure="false">nzp!#ref!</definedName>
    <definedName function="false" hidden="false" localSheetId="4" name="percent_electric_2w_tfin" vbProcedure="false">nzp!#ref!</definedName>
    <definedName function="false" hidden="false" localSheetId="4" name="percent_electric_light_cargo_veh_tfin" vbProcedure="false">nzp!#ref!</definedName>
    <definedName function="false" hidden="false" localSheetId="4" name="percent_electric_train_tfin" vbProcedure="false">nzp!#ref!</definedName>
    <definedName function="false" hidden="false" localSheetId="4" name="percent_electr_bus_tfin" vbProcedure="false">nzp!#ref!</definedName>
    <definedName function="false" hidden="false" localSheetId="4" name="percent_electr_hh_4w_tfin" vbProcedure="false">nzp!#ref!</definedName>
    <definedName function="false" hidden="false" localSheetId="4" name="percent_gas_heavy_veh_tfin" vbProcedure="false">nzp!#ref!</definedName>
    <definedName function="false" hidden="false" localSheetId="4" name="percent_gas_hh_veh_4w_tfin" vbProcedure="false">nzp!#ref!</definedName>
    <definedName function="false" hidden="false" localSheetId="4" name="percent_hybrid_bus_tfin" vbProcedure="false">nzp!#ref!</definedName>
    <definedName function="false" hidden="false" localSheetId="4" name="percent_hybrid_heavy_veh_tfin" vbProcedure="false">nzp!#ref!</definedName>
    <definedName function="false" hidden="false" localSheetId="4" name="percent_hybrid_hh_4w_veh_tfin" vbProcedure="false">nzp!#ref!</definedName>
    <definedName function="false" hidden="false" localSheetId="4" name="percent_hybrid_light_cargo_veh_tfin" vbProcedure="false">nzp!#ref!</definedName>
    <definedName function="false" hidden="false" localSheetId="4" name="percent_natgas_bus_tfin" vbProcedure="false">nzp!#ref!</definedName>
    <definedName function="false" hidden="false" localSheetId="4" name="percent_natgas_light_cargo_veh_tfin" vbProcedure="false">nzp!#ref!</definedName>
    <definedName function="false" hidden="false" localSheetId="4" name="phase_out_oil_electr" vbProcedure="false">NZP_SE!$C$102</definedName>
    <definedName function="false" hidden="false" localSheetId="4" name="phase_out_oil_heat" vbProcedure="false">NZP_SE!$C$103</definedName>
    <definedName function="false" hidden="false" localSheetId="4" name="pkm_share" vbProcedure="false">NZP_SE!$D$128:$J$132</definedName>
    <definedName function="false" hidden="false" localSheetId="4" name="policy_change_energy_speed" vbProcedure="false">NZP_SE!$C$234:$AZ$238</definedName>
    <definedName function="false" hidden="false" localSheetId="4" name="policy_improvement_process_emissions_efficiency" vbProcedure="false">NZP_SE!$C$426</definedName>
    <definedName function="false" hidden="false" localSheetId="4" name="policy_to_improve_efficiency_speed" vbProcedure="false">NZP_SE!$C$222:$AZ$226</definedName>
    <definedName function="false" hidden="false" localSheetId="4" name="pop_growth_timeseries" vbProcedure="false">NZP_SE!$C$5:$AL$5</definedName>
    <definedName function="false" hidden="false" localSheetId="4" name="pot_marg_land_biofuels" vbProcedure="false">nzp!#ref!</definedName>
    <definedName function="false" hidden="false" localSheetId="4" name="p_bioe_power" vbProcedure="false">NZP_SE!$C$18:$I$18</definedName>
    <definedName function="false" hidden="false" localSheetId="4" name="p_bioe_residues_growth" vbProcedure="false">NZP_SE!$C$38</definedName>
    <definedName function="false" hidden="false" localSheetId="4" name="p_biofuels_2gen_land_compet" vbProcedure="false">NZP_SE!$C$32</definedName>
    <definedName function="false" hidden="false" localSheetId="4" name="p_biofuels_3gen_land_compet" vbProcedure="false">NZP_SE!$C$34</definedName>
    <definedName function="false" hidden="false" localSheetId="4" name="p_biofuels_marg_land_growth" vbProcedure="false">NZP_SE!$C$40</definedName>
    <definedName function="false" hidden="false" localSheetId="4" name="p_biogas_growth" vbProcedure="false">NZP_SE!$C$42</definedName>
    <definedName function="false" hidden="false" localSheetId="4" name="p_bus_bat" vbProcedure="false">NZP_SE!$C$188:$H$192</definedName>
    <definedName function="false" hidden="false" localSheetId="4" name="p_capital_share" vbProcedure="false">NZP_SE!$F$8</definedName>
    <definedName function="false" hidden="false" localSheetId="4" name="p_CCS" vbProcedure="false">NZP_SE!$C$320:$I$369</definedName>
    <definedName function="false" hidden="false" localSheetId="4" name="p_change_over_hist_max_variation_FEI" vbProcedure="false">NZP_SE!$C$214</definedName>
    <definedName function="false" hidden="false" localSheetId="4" name="P_common_rr_minerals_variation_alt_techn" vbProcedure="false">NZP_SE!$C$301</definedName>
    <definedName function="false" hidden="false" localSheetId="4" name="P_common_rr_minerals_variation_Rest" vbProcedure="false">NZP_SE!$C$303</definedName>
    <definedName function="false" hidden="false" localSheetId="4" name="p_constraint_growth_unconv_gas" vbProcedure="false">NZP_SE!$C$75</definedName>
    <definedName function="false" hidden="false" localSheetId="4" name="p_constraint_growth_unconv_oil" vbProcedure="false">NZP_SE!$C$71</definedName>
    <definedName function="false" hidden="false" localSheetId="4" name="p_CSP_power" vbProcedure="false">NZP_SE!$C$23:$I$23</definedName>
    <definedName function="false" hidden="false" localSheetId="4" name="p_CTL_growth" vbProcedure="false">NZP_SE!$C$78</definedName>
    <definedName function="false" hidden="false" localSheetId="4" name="p_DAC" vbProcedure="false">NZP_SE!$C$422:$I$422</definedName>
    <definedName function="false" hidden="false" localSheetId="4" name="p_ETS" vbProcedure="false">NZP_SE!$C$62:$I$65</definedName>
    <definedName function="false" hidden="false" localSheetId="4" name="p_ev_bat" vbProcedure="false">NZP_SE!$C$183:$H$187</definedName>
    <definedName function="false" hidden="false" localSheetId="4" name="p_geot_heat_growth" vbProcedure="false">NZP_SE!$C$51</definedName>
    <definedName function="false" hidden="false" localSheetId="4" name="p_geot_power" vbProcedure="false">NZP_SE!$C$17:$I$17</definedName>
    <definedName function="false" hidden="false" localSheetId="4" name="p_GTL_growth" vbProcedure="false">NZP_SE!$C$80</definedName>
    <definedName function="false" hidden="false" localSheetId="4" name="p_heavy_trucks_bat" vbProcedure="false">NZP_SE!$C$198:$H$202</definedName>
    <definedName function="false" hidden="false" localSheetId="4" name="p_hydro_power" vbProcedure="false">NZP_SE!$C$16:$I$16</definedName>
    <definedName function="false" hidden="false" localSheetId="4" name="p_labour_share" vbProcedure="false">NZP_SE!$C$8</definedName>
    <definedName function="false" hidden="false" localSheetId="4" name="p_nuclear_scen3_4_variation" vbProcedure="false">NZP_SE!$E$114</definedName>
    <definedName function="false" hidden="false" localSheetId="4" name="p_oceanic_power" vbProcedure="false">NZP_SE!$C$19:$I$19</definedName>
    <definedName function="false" hidden="false" localSheetId="4" name="p_offshore_wind_power" vbProcedure="false">NZP_SE!$C$21:$I$21</definedName>
    <definedName function="false" hidden="false" localSheetId="4" name="p_onshore_wind_power" vbProcedure="false">NZP_SE!$C$20:$I$20</definedName>
    <definedName function="false" hidden="false" localSheetId="4" name="p_PHS_power" vbProcedure="false">NZP_SE!$C$24:$I$24</definedName>
    <definedName function="false" hidden="false" localSheetId="4" name="p_pop_asymptote" vbProcedure="false">nzp!#ref!</definedName>
    <definedName function="false" hidden="false" localSheetId="4" name="p_PV_power" vbProcedure="false">NZP_SE!$C$22:$I$22</definedName>
    <definedName function="false" hidden="false" localSheetId="4" name="p_RES_power" vbProcedure="false">NZP_SE!$C$16:$I$23</definedName>
    <definedName function="false" hidden="false" localSheetId="4" name="P_rr_minerals_alt_techn" vbProcedure="false">NZP_SE!$D$281:$D$299</definedName>
    <definedName function="false" hidden="false" localSheetId="4" name="P_rr_minerals_Rest" vbProcedure="false">NZP_SE!$E$281:$E$299</definedName>
    <definedName function="false" hidden="false" localSheetId="4" name="p_share_FEH_vs_FED" vbProcedure="false">NZP_SE!$C$55:$C$57</definedName>
    <definedName function="false" hidden="false" localSheetId="4" name="p_share_FEH_vs_FED_bioE" vbProcedure="false">NZP_SE!$C$58</definedName>
    <definedName function="false" hidden="false" localSheetId="4" name="p_share_gas_elec" vbProcedure="false">NZP_SE!$C$111</definedName>
    <definedName function="false" hidden="false" localSheetId="4" name="p_solar_heat" vbProcedure="false">NZP_SE!$C$50</definedName>
    <definedName function="false" hidden="false" localSheetId="4" name="p_solid_bioe_heat" vbProcedure="false">NZP_SE!$C$52</definedName>
    <definedName function="false" hidden="false" localSheetId="4" name="p_timeseries_gdp_growth" vbProcedure="false">NZP_SE!$C$10:$AL$10</definedName>
    <definedName function="false" hidden="false" localSheetId="4" name="p_timeseries_pop_growth" vbProcedure="false">NZP_SE!$C$4:$AM$4</definedName>
    <definedName function="false" hidden="false" localSheetId="4" name="p_trucks_bat" vbProcedure="false">NZP_SE!$C$193:$H$197</definedName>
    <definedName function="false" hidden="false" localSheetId="4" name="p_waste_growth" vbProcedure="false">NZP_SE!$C$45</definedName>
    <definedName function="false" hidden="false" localSheetId="4" name="RCP_GHG_emissions_select" vbProcedure="false">NZP_SE!$C$310</definedName>
    <definedName function="false" hidden="false" localSheetId="4" name="scarcity_feedback_final_fuel_replacement_flag" vbProcedure="false">NZP_SE!$C$263</definedName>
    <definedName function="false" hidden="false" localSheetId="4" name="sectoral_FEI_evolution_method" vbProcedure="false">NZP_SE!$C$208</definedName>
    <definedName function="false" hidden="false" localSheetId="4" name="select_gdp_evolution" vbProcedure="false">nzp!#ref!</definedName>
    <definedName function="false" hidden="false" localSheetId="4" name="select_nuclear_scen" vbProcedure="false">NZP_SE!$B$114</definedName>
    <definedName function="false" hidden="false" localSheetId="4" name="select_pop_evolution" vbProcedure="false">nzp!#ref!</definedName>
    <definedName function="false" hidden="false" localSheetId="4" name="sensitivity_to_scarcity_option" vbProcedure="false">NZP_SE!$C$264</definedName>
    <definedName function="false" hidden="false" localSheetId="4" name="sensitivity_to_scarcity_option_H" vbProcedure="false">NZP_SE!$C$268</definedName>
    <definedName function="false" hidden="false" localSheetId="4" name="separate_conv_and_unconv_gas" vbProcedure="false">NZP_SE!$C$74</definedName>
    <definedName function="false" hidden="false" localSheetId="4" name="separate_conv_and_unconv_oil" vbProcedure="false">NZP_SE!$C$70</definedName>
    <definedName function="false" hidden="false" localSheetId="4" name="share_available_roof" vbProcedure="false">NZP_SE!$C$479</definedName>
    <definedName function="false" hidden="false" localSheetId="4" name="share_available_roof_for_rooftop_PV" vbProcedure="false">NZP_SE!$C$480</definedName>
    <definedName function="false" hidden="false" localSheetId="4" name="share_ccs_energy" vbProcedure="false">NZP_SE!$C$371:$I$420</definedName>
    <definedName function="false" hidden="false" localSheetId="4" name="share_cellulosic_biof_vs_bioe_res" vbProcedure="false">NZP_SE!$C$37</definedName>
    <definedName function="false" hidden="false" localSheetId="4" name="share_curtailment" vbProcedure="false">NZP_SE!$C$25:$I$25</definedName>
    <definedName function="false" hidden="false" localSheetId="4" name="share_exports_electricity" vbProcedure="false">NZP_SE!$C$457:$I$457</definedName>
    <definedName function="false" hidden="false" localSheetId="4" name="share_PV_urban_tot_PV" vbProcedure="false">NZP_SE!$C$482</definedName>
    <definedName function="false" hidden="false" localSheetId="4" name="share_roof_solar_thermal" vbProcedure="false">NZP_SE!$C$481</definedName>
    <definedName function="false" hidden="false" localSheetId="4" name="share_RURR_agg_gas_underground" vbProcedure="false">NZP_SE!$C$98</definedName>
    <definedName function="false" hidden="false" localSheetId="4" name="share_RURR_agg_oil_underground" vbProcedure="false">NZP_SE!$C$96</definedName>
    <definedName function="false" hidden="false" localSheetId="4" name="share_RURR_coal_underground" vbProcedure="false">NZP_SE!$C$94</definedName>
    <definedName function="false" hidden="false" localSheetId="4" name="share_RURR_conv_gas_underground" vbProcedure="false">NZP_SE!$C$90</definedName>
    <definedName function="false" hidden="false" localSheetId="4" name="share_RURR_conv_oil_underground" vbProcedure="false">NZP_SE!$C$86</definedName>
    <definedName function="false" hidden="false" localSheetId="4" name="share_RURR_unconv_gas_underground" vbProcedure="false">NZP_SE!$C$92</definedName>
    <definedName function="false" hidden="false" localSheetId="4" name="share_RURR_unconv_oil_underground" vbProcedure="false">NZP_SE!$C$88</definedName>
    <definedName function="false" hidden="false" localSheetId="4" name="share_target_year_oil_for_elec" vbProcedure="false">NZP_SE!$C$108</definedName>
    <definedName function="false" hidden="false" localSheetId="4" name="share_target_year_oil_for_heat" vbProcedure="false">NZP_SE!$C$109</definedName>
    <definedName function="false" hidden="false" localSheetId="4" name="share_trans_loss" vbProcedure="false">NZP_SE!$C$26:$I$26</definedName>
    <definedName function="false" hidden="false" localSheetId="4" name="start_policy_year_agg_gas_underground" vbProcedure="false">NZP_SE!$C$97</definedName>
    <definedName function="false" hidden="false" localSheetId="4" name="start_policy_year_agg_oil_underground" vbProcedure="false">NZP_SE!$C$95</definedName>
    <definedName function="false" hidden="false" localSheetId="4" name="start_policy_year_coal_underground" vbProcedure="false">NZP_SE!$C$93</definedName>
    <definedName function="false" hidden="false" localSheetId="4" name="start_policy_year_conv_gas_underground" vbProcedure="false">NZP_SE!$C$89</definedName>
    <definedName function="false" hidden="false" localSheetId="4" name="start_policy_year_conv_oil_underground" vbProcedure="false">NZP_SE!$C$85</definedName>
    <definedName function="false" hidden="false" localSheetId="4" name="start_policy_year_unconv_gas_underground" vbProcedure="false">NZP_SE!$C$91</definedName>
    <definedName function="false" hidden="false" localSheetId="4" name="start_policy_year_unconv_oil_underground" vbProcedure="false">NZP_SE!$C$87</definedName>
    <definedName function="false" hidden="false" localSheetId="4" name="start_policy_year_unconv_opil_underground" vbProcedure="false">NZP_SE!$C$87</definedName>
    <definedName function="false" hidden="false" localSheetId="4" name="start_year_3gen_cell_biofuels" vbProcedure="false">NZP_SE!$C$33</definedName>
    <definedName function="false" hidden="false" localSheetId="4" name="start_year_bioe_residues_non_biofuels" vbProcedure="false">NZP_SE!$C$36</definedName>
    <definedName function="false" hidden="false" localSheetId="4" name="start_year_biofuels_land_marg" vbProcedure="false">NZP_SE!$C$39</definedName>
    <definedName function="false" hidden="false" localSheetId="4" name="start_year_cell_efficency_PV" vbProcedure="false">NZP_SE!$C$474</definedName>
    <definedName function="false" hidden="false" localSheetId="4" name="start_year_modification_EI" vbProcedure="false">NZP_SE!$C$249</definedName>
    <definedName function="false" hidden="false" localSheetId="4" name="start_year_nuclear_variation_scen3_4" vbProcedure="false">NZP_SE!$E$115</definedName>
    <definedName function="false" hidden="false" localSheetId="4" name="start_year_policies_transport" vbProcedure="false">NZP_SE!$E$122</definedName>
    <definedName function="false" hidden="false" localSheetId="4" name="start_year_policy_phase_out_oil_for_electricity" vbProcedure="false">NZP_SE!$C$104</definedName>
    <definedName function="false" hidden="false" localSheetId="4" name="start_year_policy_phase_out_oil_for_heat" vbProcedure="false">NZP_SE!$C$105</definedName>
    <definedName function="false" hidden="false" localSheetId="4" name="start_year_P_common_rr_minerals_alt_techn" vbProcedure="false">NZP_SE!$C$302</definedName>
    <definedName function="false" hidden="false" localSheetId="4" name="start_year_P_common_rr_minerals_Rest" vbProcedure="false">NZP_SE!$C$304</definedName>
    <definedName function="false" hidden="false" localSheetId="4" name="start_year_p_growth_RES_elec" vbProcedure="false">NZP_SE!$C$15</definedName>
    <definedName function="false" hidden="false" localSheetId="4" name="start_year_p_growth_RES_heat" vbProcedure="false">NZP_SE!$C$48</definedName>
    <definedName function="false" hidden="false" localSheetId="4" name="start_year_P_rr_minerals" vbProcedure="false">NZP_SE!$B$280</definedName>
    <definedName function="false" hidden="false" localSheetId="4" name="start_year_P_urban_land_density" vbProcedure="false">NZP_SE!$C$468</definedName>
    <definedName function="false" hidden="false" localSheetId="4" name="start_year_variation_primary_forest" vbProcedure="false">NZP_SE!$C$466</definedName>
    <definedName function="false" hidden="false" localSheetId="4" name="target_year_asymptote_gdp" vbProcedure="false">nzp!#ref!</definedName>
    <definedName function="false" hidden="false" localSheetId="4" name="target_year_asymptote_pop" vbProcedure="false">nzp!#ref!</definedName>
    <definedName function="false" hidden="false" localSheetId="4" name="target_year_policy_gas_electricity" vbProcedure="false">NZP_SE!$C$110</definedName>
    <definedName function="false" hidden="false" localSheetId="4" name="target_year_policy_phase_out_oil_electricity" vbProcedure="false">NZP_SE!$C$106</definedName>
    <definedName function="false" hidden="false" localSheetId="4" name="target_year_policy_phase_out_oil_heat" vbProcedure="false">NZP_SE!$C$107</definedName>
    <definedName function="false" hidden="false" localSheetId="4" name="target_year_process_emissions" vbProcedure="false">NZP_SE!$C$425</definedName>
    <definedName function="false" hidden="false" localSheetId="4" name="target_year_p_growth_RES_elec" vbProcedure="false">nzp!#ref!</definedName>
    <definedName function="false" hidden="false" localSheetId="4" name="target_year_p_growth_RES_heat" vbProcedure="false">NZP_SE!$C$49</definedName>
    <definedName function="false" hidden="false" localSheetId="4" name="target_year_P_rr_minerals" vbProcedure="false">NZP_SE!$B$279</definedName>
    <definedName function="false" hidden="false" localSheetId="4" name="target_year_P_urban_land_density" vbProcedure="false">NZP_SE!$C$469</definedName>
    <definedName function="false" hidden="false" localSheetId="4" name="targ_year_cell_efficiency_PV" vbProcedure="false">NZP_SE!$C$475</definedName>
    <definedName function="false" hidden="false" localSheetId="4" name="tfin_policy_hh_veh" vbProcedure="false">nzp!#ref!</definedName>
    <definedName function="false" hidden="false" localSheetId="4" name="tfin_policy_inland_transp_veh" vbProcedure="false">nzp!#ref!</definedName>
    <definedName function="false" hidden="false" localSheetId="4" name="time_afforestation" vbProcedure="false">NZP_SE!$C$433:$X$433</definedName>
    <definedName function="false" hidden="false" localSheetId="4" name="tini_policy_hh_veh" vbProcedure="false">nzp!#ref!</definedName>
    <definedName function="false" hidden="false" localSheetId="4" name="tini_policy_inland_transp_veh" vbProcedure="false">nzp!#ref!</definedName>
    <definedName function="false" hidden="false" localSheetId="4" name="tkm_share" vbProcedure="false">NZP_SE!$D$123:$J$127</definedName>
    <definedName function="false" hidden="false" localSheetId="4" name="unlimited_coal" vbProcedure="false">nzp!#ref!</definedName>
    <definedName function="false" hidden="false" localSheetId="4" name="unlimited_gas" vbProcedure="false">nzp!#ref!</definedName>
    <definedName function="false" hidden="false" localSheetId="4" name="unlimited_NRE" vbProcedure="false">nzp!#ref!</definedName>
    <definedName function="false" hidden="false" localSheetId="4" name="unlimited_oil" vbProcedure="false">nzp!#ref!</definedName>
    <definedName function="false" hidden="false" localSheetId="4" name="unlimited_uranium" vbProcedure="false">nzp!#ref!</definedName>
    <definedName function="false" hidden="false" localSheetId="4" name="urban_land_density" vbProcedure="false">NZP_SE!$C$467</definedName>
    <definedName function="false" hidden="false" localSheetId="4" name="variation_primary_forest" vbProcedure="false">NZP_SE!$C$465</definedName>
    <definedName function="false" hidden="false" localSheetId="4" name="years_co2_luc" vbProcedure="false">NZP_SE!$C$429:$I$429</definedName>
    <definedName function="false" hidden="false" localSheetId="4" name="years_pop_growth" vbProcedure="false">NZP_SE!$C$4:$AL$4</definedName>
    <definedName function="false" hidden="false" localSheetId="4" name="year_change_pct_energy_intensity_target" vbProcedure="false">NZP_SE!$C$259</definedName>
    <definedName function="false" hidden="false" localSheetId="4" name="year_customized_gdp_evol" vbProcedure="false">nzp!#ref!</definedName>
    <definedName function="false" hidden="false" localSheetId="4" name="year_customized_pop_evol" vbProcedure="false">nzp!#ref!</definedName>
    <definedName function="false" hidden="false" localSheetId="4" name="year_ev_bat" vbProcedure="false">NZP_SE!$C$182:$H$182</definedName>
    <definedName function="false" hidden="false" localSheetId="4" name="year_gdp_timeseries" vbProcedure="false">NZP_SE!$C$9:$AL$9</definedName>
    <definedName function="false" hidden="false" localSheetId="4" name="year_net_energy_flux" vbProcedure="false">NZP_SE!$B$446:$H$446</definedName>
    <definedName function="false" hidden="false" localSheetId="4" name="year_policy_change_energy" vbProcedure="false">NZP_SE!$C$228:$AZ$232</definedName>
    <definedName function="false" hidden="false" localSheetId="4" name="Year_policy_share_res_heat" vbProcedure="false">NZP_SE!$C$54</definedName>
    <definedName function="false" hidden="false" localSheetId="4" name="year_policy_to_improve_efficiency" vbProcedure="false">NZP_SE!$C$216:$AZ$220</definedName>
    <definedName function="false" hidden="false" localSheetId="4" name="year_pop_timeseries" vbProcedure="false">NZP_SE!$C$4:$AL$4</definedName>
    <definedName function="false" hidden="false" localSheetId="4" name="year_ref_RURR" vbProcedure="false">NZP_SE!$C$84</definedName>
    <definedName function="false" hidden="false" localSheetId="4" name="year_RES_power" vbProcedure="false">NZP_SE!$C$15:$I$15</definedName>
    <definedName function="false" hidden="false" localSheetId="4" name="year_RURR_coal" vbProcedure="false">NZP_SE!$C$84</definedName>
    <definedName function="false" hidden="false" localSheetId="4" name="year_synthetic" vbProcedure="false">NZP_SE!$C$61:$I$61</definedName>
    <definedName function="false" hidden="false" localSheetId="4" name="year_to_finish_energy_intensity_policies" vbProcedure="false">NZP_SE!$C$240:$AZ$244</definedName>
    <definedName function="false" hidden="false" localSheetId="4" name="year_transport_fuel_share_pkm" vbProcedure="false">NZP_SE!$C$159:$H$159</definedName>
    <definedName function="false" hidden="false" localSheetId="4" name="year_transport_fuel_share_tkm" vbProcedure="false">NZP_SE!$C$137:$H$137</definedName>
    <definedName function="false" hidden="false" localSheetId="4" name="Year_transport_share" vbProcedure="false">NZP_SE!$D$122:$J$122</definedName>
    <definedName function="false" hidden="false" localSheetId="5" name="activate_afforestation_program" vbProcedure="false">NZP_rail_old!$B$352</definedName>
    <definedName function="false" hidden="false" localSheetId="5" name="activate_ELF" vbProcedure="false">NZP_rail_old!$C$344</definedName>
    <definedName function="false" hidden="false" localSheetId="5" name="activate_policy_leaving_underground" vbProcedure="false">NZP_rail_old!$C$83</definedName>
    <definedName function="false" hidden="false" localSheetId="5" name="afforestation" vbProcedure="false">NZP_rail_old!$C$470:$X$470</definedName>
    <definedName function="false" hidden="false" localSheetId="5" name="average_solar_I" vbProcedure="false">NZP_rail_old!$C$508</definedName>
    <definedName function="false" hidden="false" localSheetId="5" name="cell_efficiency_target_year" vbProcedure="false">NZP_rail_old!$C$509</definedName>
    <definedName function="false" hidden="false" localSheetId="5" name="choose_energy_intensity_target_method" vbProcedure="false">NZP_rail_old!$C$283</definedName>
    <definedName function="false" hidden="false" localSheetId="5" name="choose_targets_mineral_recycling_rates" vbProcedure="false">NZP_rail_old!$D$313</definedName>
    <definedName function="false" hidden="false" localSheetId="5" name="co2_luc" vbProcedure="false">NZP_rail_old!$C$466:$I$466</definedName>
    <definedName function="false" hidden="false" localSheetId="5" name="coal_net_flux_timeseries" vbProcedure="false">NZP_rail_old!$B$488:$H$488</definedName>
    <definedName function="false" hidden="false" localSheetId="5" name="crash_programme_CTL" vbProcedure="false">NZP_rail_old!$D$78</definedName>
    <definedName function="false" hidden="false" localSheetId="5" name="crash_programme_GTL" vbProcedure="false">NZP_rail_old!$D$80</definedName>
    <definedName function="false" hidden="false" localSheetId="5" name="efficiency_rate_of_substitution_electricity" vbProcedure="false">NZP_rail_old!$C$521:$Q$525</definedName>
    <definedName function="false" hidden="false" localSheetId="5" name="efficiency_rate_of_substitution_gases" vbProcedure="false">NZP_rail_old!$C$536:$Q$540</definedName>
    <definedName function="false" hidden="false" localSheetId="5" name="efficiency_rate_of_substitution_heat" vbProcedure="false">NZP_rail_old!$C$526:$Q$530</definedName>
    <definedName function="false" hidden="false" localSheetId="5" name="efficiency_rate_of_substitution_liquids" vbProcedure="false">NZP_rail_old!$C$531:$Q$535</definedName>
    <definedName function="false" hidden="false" localSheetId="5" name="efficiency_rate_of_substitution_solids" vbProcedure="false">NZP_rail_old!$C$541:$Q$545</definedName>
    <definedName function="false" hidden="false" localSheetId="5" name="energy_intensity_target" vbProcedure="false">NZP_rail_old!$C$289:$AZ$293</definedName>
    <definedName function="false" hidden="false" localSheetId="5" name="energy_scarcity_forgetting_time" vbProcedure="false">NZP_rail_old!$C$303</definedName>
    <definedName function="false" hidden="false" localSheetId="5" name="energy_scarcity_forgetting_time_H" vbProcedure="false">NZP_rail_old!$C$307</definedName>
    <definedName function="false" hidden="false" localSheetId="5" name="EROI_feedback_flag" vbProcedure="false">nzp_rail_transport!#ref!</definedName>
    <definedName function="false" hidden="false" localSheetId="5" name="final_year_energy_intensity_target" vbProcedure="false">NZP_rail_old!$C$286</definedName>
    <definedName function="false" hidden="false" localSheetId="5" name="forest_overexplotation" vbProcedure="false">NZP_rail_old!$C$499</definedName>
    <definedName function="false" hidden="false" localSheetId="5" name="fuel_share_air_pkm" vbProcedure="false">NZP_rail_old!$C$167:$H$170</definedName>
    <definedName function="false" hidden="false" localSheetId="5" name="fuel_share_air_tkm" vbProcedure="false">NZP_rail_old!$C$149:$H$152</definedName>
    <definedName function="false" hidden="false" localSheetId="5" name="fuel_share_households_pkm" vbProcedure="false">NZP_rail_old!$C$171:$H$174</definedName>
    <definedName function="false" hidden="false" localSheetId="5" name="fuel_share_maritime_pkm" vbProcedure="false">NZP_rail_old!$C$163:$H$166</definedName>
    <definedName function="false" hidden="false" localSheetId="5" name="fuel_share_maritime_tkm" vbProcedure="false">NZP_rail_old!$C$145:$H$148</definedName>
    <definedName function="false" hidden="false" localSheetId="5" name="fuel_share_rail_pkm" vbProcedure="false">NZP_rail_old!$C$155:$H$158</definedName>
    <definedName function="false" hidden="false" localSheetId="5" name="fuel_share_rail_tkm" vbProcedure="false">NZP_rail_old!$C$137:$H$140</definedName>
    <definedName function="false" hidden="false" localSheetId="5" name="fuel_share_road_pkm" vbProcedure="false">NZP_rail_old!$C$159:$H$162</definedName>
    <definedName function="false" hidden="false" localSheetId="5" name="fuel_share_road_tkm" vbProcedure="false">NZP_rail_old!$C$141:$H$144</definedName>
    <definedName function="false" hidden="false" localSheetId="5" name="gas_net_flux_timeseries" vbProcedure="false">NZP_rail_old!$B$486:$H$486</definedName>
    <definedName function="false" hidden="false" localSheetId="5" name="GWP_time_frame" vbProcedure="false">nzp_rail_transport!#ref!</definedName>
    <definedName function="false" hidden="false" localSheetId="5" name="limit_coal_imports_from_RoW" vbProcedure="false">nzp_rail_transport!#ref!</definedName>
    <definedName function="false" hidden="false" localSheetId="5" name="limit_nat_gas_imports_from_RoW" vbProcedure="false">nzp_rail_transport!#ref!</definedName>
    <definedName function="false" hidden="false" localSheetId="5" name="limit_oil_imports_from_RoW" vbProcedure="false">nzp_rail_transport!#ref!</definedName>
    <definedName function="false" hidden="false" localSheetId="5" name="max_NPP_pot_bioe_residues" vbProcedure="false">nzp_rail_transport!#ref!</definedName>
    <definedName function="false" hidden="false" localSheetId="5" name="max_PE_biogas" vbProcedure="false">nzp_rail_transport!#ref!</definedName>
    <definedName function="false" hidden="false" localSheetId="5" name="max_share_imports_coal" vbProcedure="false">nzp_rail_transport!#ref!</definedName>
    <definedName function="false" hidden="false" localSheetId="5" name="max_share_imports_nat_gas" vbProcedure="false">nzp_rail_transport!#ref!</definedName>
    <definedName function="false" hidden="false" localSheetId="5" name="max_share_imports_oil" vbProcedure="false">nzp_rail_transport!#ref!</definedName>
    <definedName function="false" hidden="false" localSheetId="5" name="minimum_forest" vbProcedure="false">NZP_rail_old!$C$500</definedName>
    <definedName function="false" hidden="false" localSheetId="5" name="min_FEI_vs_initial" vbProcedure="false">NZP_rail_old!$C$249</definedName>
    <definedName function="false" hidden="false" localSheetId="5" name="oil_net_flux_timeseries" vbProcedure="false">NZP_rail_old!$B$484:$H$484</definedName>
    <definedName function="false" hidden="false" localSheetId="5" name="pct_change_energy_intensity_target" vbProcedure="false">NZP_rail_old!$C$296</definedName>
    <definedName function="false" hidden="false" localSheetId="5" name="percent_2w_tfin_over_hh_veh" vbProcedure="false">nzp_rail_transport!#ref!</definedName>
    <definedName function="false" hidden="false" localSheetId="5" name="percent_electric_2w_tfin" vbProcedure="false">nzp_rail_transport!#ref!</definedName>
    <definedName function="false" hidden="false" localSheetId="5" name="percent_electric_light_cargo_veh_tfin" vbProcedure="false">nzp_rail_transport!#ref!</definedName>
    <definedName function="false" hidden="false" localSheetId="5" name="percent_electric_train_tfin" vbProcedure="false">nzp_rail_transport!#ref!</definedName>
    <definedName function="false" hidden="false" localSheetId="5" name="percent_electr_bus_tfin" vbProcedure="false">nzp_rail_transport!#ref!</definedName>
    <definedName function="false" hidden="false" localSheetId="5" name="percent_electr_hh_4w_tfin" vbProcedure="false">nzp_rail_transport!#ref!</definedName>
    <definedName function="false" hidden="false" localSheetId="5" name="percent_gas_heavy_veh_tfin" vbProcedure="false">nzp_rail_transport!#ref!</definedName>
    <definedName function="false" hidden="false" localSheetId="5" name="percent_gas_hh_veh_4w_tfin" vbProcedure="false">nzp_rail_transport!#ref!</definedName>
    <definedName function="false" hidden="false" localSheetId="5" name="percent_hybrid_bus_tfin" vbProcedure="false">nzp_rail_transport!#ref!</definedName>
    <definedName function="false" hidden="false" localSheetId="5" name="percent_hybrid_heavy_veh_tfin" vbProcedure="false">nzp_rail_transport!#ref!</definedName>
    <definedName function="false" hidden="false" localSheetId="5" name="percent_hybrid_hh_4w_veh_tfin" vbProcedure="false">nzp_rail_transport!#ref!</definedName>
    <definedName function="false" hidden="false" localSheetId="5" name="percent_hybrid_light_cargo_veh_tfin" vbProcedure="false">nzp_rail_transport!#ref!</definedName>
    <definedName function="false" hidden="false" localSheetId="5" name="percent_natgas_bus_tfin" vbProcedure="false">nzp_rail_transport!#ref!</definedName>
    <definedName function="false" hidden="false" localSheetId="5" name="percent_natgas_light_cargo_veh_tfin" vbProcedure="false">nzp_rail_transport!#ref!</definedName>
    <definedName function="false" hidden="false" localSheetId="5" name="phase_out_oil_electr" vbProcedure="false">NZP_rail_old!$C$102</definedName>
    <definedName function="false" hidden="false" localSheetId="5" name="phase_out_oil_heat" vbProcedure="false">NZP_rail_old!$C$103</definedName>
    <definedName function="false" hidden="false" localSheetId="5" name="pkm_share" vbProcedure="false">NZP_rail_old!$D$127:$J$131</definedName>
    <definedName function="false" hidden="false" localSheetId="5" name="policy_change_energy_speed" vbProcedure="false">NZP_rail_old!$C$270:$AZ$274</definedName>
    <definedName function="false" hidden="false" localSheetId="5" name="policy_improvement_process_emissions_efficiency" vbProcedure="false">NZP_rail_old!$C$462</definedName>
    <definedName function="false" hidden="false" localSheetId="5" name="policy_to_improve_efficiency_speed" vbProcedure="false">NZP_rail_old!$C$258:$AZ$262</definedName>
    <definedName function="false" hidden="false" localSheetId="5" name="pop_growth_timeseries" vbProcedure="false">NZP_rail_old!$C$5:$AL$5</definedName>
    <definedName function="false" hidden="false" localSheetId="5" name="pot_marg_land_biofuels" vbProcedure="false">nzp_rail_transport!#ref!</definedName>
    <definedName function="false" hidden="false" localSheetId="5" name="p_bioe_power" vbProcedure="false">NZP_rail_old!$C$18:$I$18</definedName>
    <definedName function="false" hidden="false" localSheetId="5" name="p_bioe_residues_growth" vbProcedure="false">NZP_rail_old!$C$38</definedName>
    <definedName function="false" hidden="false" localSheetId="5" name="p_biofuels_2gen_land_compet" vbProcedure="false">NZP_rail_old!$C$32</definedName>
    <definedName function="false" hidden="false" localSheetId="5" name="p_biofuels_3gen_land_compet" vbProcedure="false">NZP_rail_old!$C$34</definedName>
    <definedName function="false" hidden="false" localSheetId="5" name="p_biofuels_marg_land_growth" vbProcedure="false">NZP_rail_old!$C$40</definedName>
    <definedName function="false" hidden="false" localSheetId="5" name="p_biogas_growth" vbProcedure="false">NZP_rail_old!$C$42</definedName>
    <definedName function="false" hidden="false" localSheetId="5" name="p_capital_share" vbProcedure="false">NZP_rail_old!$F$8</definedName>
    <definedName function="false" hidden="false" localSheetId="5" name="p_CCS" vbProcedure="false">NZP_rail_old!$C$356:$I$405</definedName>
    <definedName function="false" hidden="false" localSheetId="5" name="p_change_over_hist_max_variation_FEI" vbProcedure="false">NZP_rail_old!$C$250</definedName>
    <definedName function="false" hidden="false" localSheetId="5" name="P_common_rr_minerals_variation_alt_techn" vbProcedure="false">NZP_rail_old!$C$337</definedName>
    <definedName function="false" hidden="false" localSheetId="5" name="P_common_rr_minerals_variation_Rest" vbProcedure="false">NZP_rail_old!$C$339</definedName>
    <definedName function="false" hidden="false" localSheetId="5" name="p_constraint_growth_unconv_gas" vbProcedure="false">NZP_rail_old!$C$75</definedName>
    <definedName function="false" hidden="false" localSheetId="5" name="p_constraint_growth_unconv_oil" vbProcedure="false">NZP_rail_old!$C$71</definedName>
    <definedName function="false" hidden="false" localSheetId="5" name="p_CSP_power" vbProcedure="false">NZP_rail_old!$C$23:$I$23</definedName>
    <definedName function="false" hidden="false" localSheetId="5" name="p_CTL_growth" vbProcedure="false">NZP_rail_old!$C$78</definedName>
    <definedName function="false" hidden="false" localSheetId="5" name="p_DAC" vbProcedure="false">NZP_rail_old!$C$458:$I$458</definedName>
    <definedName function="false" hidden="false" localSheetId="5" name="p_ETS" vbProcedure="false">NZP_rail_old!$C$62:$I$65</definedName>
    <definedName function="false" hidden="false" localSheetId="5" name="p_geot_heat_growth" vbProcedure="false">NZP_rail_old!$C$51</definedName>
    <definedName function="false" hidden="false" localSheetId="5" name="p_geot_power" vbProcedure="false">NZP_rail_old!$C$17:$I$17</definedName>
    <definedName function="false" hidden="false" localSheetId="5" name="p_GTL_growth" vbProcedure="false">NZP_rail_old!$C$80</definedName>
    <definedName function="false" hidden="false" localSheetId="5" name="p_hydro_power" vbProcedure="false">NZP_rail_old!$C$16:$I$16</definedName>
    <definedName function="false" hidden="false" localSheetId="5" name="p_labour_share" vbProcedure="false">NZP_rail_old!$C$8</definedName>
    <definedName function="false" hidden="false" localSheetId="5" name="p_nuclear_scen3_4_variation" vbProcedure="false">NZP_rail_old!$E$114</definedName>
    <definedName function="false" hidden="false" localSheetId="5" name="p_oceanic_power" vbProcedure="false">NZP_rail_old!$C$19:$I$19</definedName>
    <definedName function="false" hidden="false" localSheetId="5" name="p_offshore_wind_power" vbProcedure="false">NZP_rail_old!$C$21:$I$21</definedName>
    <definedName function="false" hidden="false" localSheetId="5" name="p_onshore_wind_power" vbProcedure="false">NZP_rail_old!$C$20:$I$20</definedName>
    <definedName function="false" hidden="false" localSheetId="5" name="p_PHS_power" vbProcedure="false">NZP_rail_old!$C$24:$I$24</definedName>
    <definedName function="false" hidden="false" localSheetId="5" name="p_pop_asymptote" vbProcedure="false">nzp_rail_transport!#ref!</definedName>
    <definedName function="false" hidden="false" localSheetId="5" name="p_PV_power" vbProcedure="false">NZP_rail_old!$C$22:$I$22</definedName>
    <definedName function="false" hidden="false" localSheetId="5" name="p_RES_power" vbProcedure="false">NZP_rail_old!$C$16:$I$23</definedName>
    <definedName function="false" hidden="false" localSheetId="5" name="P_rr_minerals_alt_techn" vbProcedure="false">NZP_rail_old!$D$317:$D$335</definedName>
    <definedName function="false" hidden="false" localSheetId="5" name="P_rr_minerals_Rest" vbProcedure="false">NZP_rail_old!$E$317:$E$335</definedName>
    <definedName function="false" hidden="false" localSheetId="5" name="p_share_FEH_vs_FED" vbProcedure="false">NZP_rail_old!$C$55:$C$57</definedName>
    <definedName function="false" hidden="false" localSheetId="5" name="p_share_FEH_vs_FED_bioE" vbProcedure="false">NZP_rail_old!$C$58</definedName>
    <definedName function="false" hidden="false" localSheetId="5" name="p_share_gas_elec" vbProcedure="false">NZP_rail_old!$C$111</definedName>
    <definedName function="false" hidden="false" localSheetId="5" name="p_solar_heat" vbProcedure="false">NZP_rail_old!$C$50</definedName>
    <definedName function="false" hidden="false" localSheetId="5" name="p_solid_bioe_heat" vbProcedure="false">NZP_rail_old!$C$52</definedName>
    <definedName function="false" hidden="false" localSheetId="5" name="p_timeseries_gdp_growth" vbProcedure="false">NZP_rail_old!$C$10:$AL$10</definedName>
    <definedName function="false" hidden="false" localSheetId="5" name="p_timeseries_pop_growth" vbProcedure="false">NZP_rail_old!$C$4:$AM$4</definedName>
    <definedName function="false" hidden="false" localSheetId="5" name="p_waste_growth" vbProcedure="false">NZP_rail_old!$C$45</definedName>
    <definedName function="false" hidden="false" localSheetId="5" name="RCP_GHG_emissions_select" vbProcedure="false">NZP_rail_old!$C$346</definedName>
    <definedName function="false" hidden="false" localSheetId="5" name="scarcity_feedback_final_fuel_replacement_flag" vbProcedure="false">NZP_rail_old!$C$299</definedName>
    <definedName function="false" hidden="false" localSheetId="5" name="sectoral_FEI_evolution_method" vbProcedure="false">NZP_rail_old!$C$244</definedName>
    <definedName function="false" hidden="false" localSheetId="5" name="select_gdp_evolution" vbProcedure="false">nzp_rail_transport!#ref!</definedName>
    <definedName function="false" hidden="false" localSheetId="5" name="select_nuclear_scen" vbProcedure="false">NZP_rail_old!$B$114</definedName>
    <definedName function="false" hidden="false" localSheetId="5" name="select_pop_evolution" vbProcedure="false">nzp_rail_transport!#ref!</definedName>
    <definedName function="false" hidden="false" localSheetId="5" name="sensitivity_to_scarcity_option" vbProcedure="false">NZP_rail_old!$C$300</definedName>
    <definedName function="false" hidden="false" localSheetId="5" name="sensitivity_to_scarcity_option_H" vbProcedure="false">NZP_rail_old!$C$304</definedName>
    <definedName function="false" hidden="false" localSheetId="5" name="separate_conv_and_unconv_gas" vbProcedure="false">NZP_rail_old!$C$74</definedName>
    <definedName function="false" hidden="false" localSheetId="5" name="separate_conv_and_unconv_oil" vbProcedure="false">NZP_rail_old!$C$70</definedName>
    <definedName function="false" hidden="false" localSheetId="5" name="share_available_roof" vbProcedure="false">NZP_rail_old!$C$515</definedName>
    <definedName function="false" hidden="false" localSheetId="5" name="share_available_roof_for_rooftop_PV" vbProcedure="false">NZP_rail_old!$C$516</definedName>
    <definedName function="false" hidden="false" localSheetId="5" name="share_ccs_energy" vbProcedure="false">NZP_rail_old!$C$407:$I$456</definedName>
    <definedName function="false" hidden="false" localSheetId="5" name="share_cellulosic_biof_vs_bioe_res" vbProcedure="false">NZP_rail_old!$C$37</definedName>
    <definedName function="false" hidden="false" localSheetId="5" name="share_curtailment" vbProcedure="false">NZP_rail_old!$C$25:$I$25</definedName>
    <definedName function="false" hidden="false" localSheetId="5" name="share_exports_electricity" vbProcedure="false">NZP_rail_old!$C$493:$I$493</definedName>
    <definedName function="false" hidden="false" localSheetId="5" name="share_PV_urban_tot_PV" vbProcedure="false">NZP_rail_old!$C$518</definedName>
    <definedName function="false" hidden="false" localSheetId="5" name="share_roof_solar_thermal" vbProcedure="false">NZP_rail_old!$C$517</definedName>
    <definedName function="false" hidden="false" localSheetId="5" name="share_RURR_agg_gas_underground" vbProcedure="false">NZP_rail_old!$C$98</definedName>
    <definedName function="false" hidden="false" localSheetId="5" name="share_RURR_agg_oil_underground" vbProcedure="false">NZP_rail_old!$C$96</definedName>
    <definedName function="false" hidden="false" localSheetId="5" name="share_RURR_coal_underground" vbProcedure="false">NZP_rail_old!$C$94</definedName>
    <definedName function="false" hidden="false" localSheetId="5" name="share_RURR_conv_gas_underground" vbProcedure="false">NZP_rail_old!$C$90</definedName>
    <definedName function="false" hidden="false" localSheetId="5" name="share_RURR_conv_oil_underground" vbProcedure="false">NZP_rail_old!$C$86</definedName>
    <definedName function="false" hidden="false" localSheetId="5" name="share_RURR_unconv_gas_underground" vbProcedure="false">NZP_rail_old!$C$92</definedName>
    <definedName function="false" hidden="false" localSheetId="5" name="share_RURR_unconv_oil_underground" vbProcedure="false">NZP_rail_old!$C$88</definedName>
    <definedName function="false" hidden="false" localSheetId="5" name="share_target_year_oil_for_elec" vbProcedure="false">NZP_rail_old!$C$108</definedName>
    <definedName function="false" hidden="false" localSheetId="5" name="share_target_year_oil_for_heat" vbProcedure="false">NZP_rail_old!$C$109</definedName>
    <definedName function="false" hidden="false" localSheetId="5" name="share_trans_loss" vbProcedure="false">NZP_rail_old!$C$26:$I$26</definedName>
    <definedName function="false" hidden="false" localSheetId="5" name="start_policy_year_agg_gas_underground" vbProcedure="false">NZP_rail_old!$C$97</definedName>
    <definedName function="false" hidden="false" localSheetId="5" name="start_policy_year_agg_oil_underground" vbProcedure="false">NZP_rail_old!$C$95</definedName>
    <definedName function="false" hidden="false" localSheetId="5" name="start_policy_year_coal_underground" vbProcedure="false">NZP_rail_old!$C$93</definedName>
    <definedName function="false" hidden="false" localSheetId="5" name="start_policy_year_conv_gas_underground" vbProcedure="false">NZP_rail_old!$C$89</definedName>
    <definedName function="false" hidden="false" localSheetId="5" name="start_policy_year_conv_oil_underground" vbProcedure="false">NZP_rail_old!$C$85</definedName>
    <definedName function="false" hidden="false" localSheetId="5" name="start_policy_year_unconv_gas_underground" vbProcedure="false">NZP_rail_old!$C$91</definedName>
    <definedName function="false" hidden="false" localSheetId="5" name="start_policy_year_unconv_oil_underground" vbProcedure="false">NZP_rail_old!$C$87</definedName>
    <definedName function="false" hidden="false" localSheetId="5" name="start_policy_year_unconv_opil_underground" vbProcedure="false">NZP_rail_old!$C$87</definedName>
    <definedName function="false" hidden="false" localSheetId="5" name="start_year_3gen_cell_biofuels" vbProcedure="false">NZP_rail_old!$C$33</definedName>
    <definedName function="false" hidden="false" localSheetId="5" name="start_year_bioe_residues_non_biofuels" vbProcedure="false">NZP_rail_old!$C$36</definedName>
    <definedName function="false" hidden="false" localSheetId="5" name="start_year_biofuels_land_marg" vbProcedure="false">NZP_rail_old!$C$39</definedName>
    <definedName function="false" hidden="false" localSheetId="5" name="start_year_cell_efficency_PV" vbProcedure="false">NZP_rail_old!$C$510</definedName>
    <definedName function="false" hidden="false" localSheetId="5" name="start_year_modification_EI" vbProcedure="false">NZP_rail_old!$C$285</definedName>
    <definedName function="false" hidden="false" localSheetId="5" name="start_year_nuclear_variation_scen3_4" vbProcedure="false">NZP_rail_old!$E$115</definedName>
    <definedName function="false" hidden="false" localSheetId="5" name="start_year_policies_transport" vbProcedure="false">NZP_rail_old!$E$122</definedName>
    <definedName function="false" hidden="false" localSheetId="5" name="start_year_policy_phase_out_oil_for_electricity" vbProcedure="false">NZP_rail_old!$C$104</definedName>
    <definedName function="false" hidden="false" localSheetId="5" name="start_year_policy_phase_out_oil_for_heat" vbProcedure="false">NZP_rail_old!$C$105</definedName>
    <definedName function="false" hidden="false" localSheetId="5" name="start_year_P_common_rr_minerals_alt_techn" vbProcedure="false">NZP_rail_old!$C$338</definedName>
    <definedName function="false" hidden="false" localSheetId="5" name="start_year_P_common_rr_minerals_Rest" vbProcedure="false">NZP_rail_old!$C$340</definedName>
    <definedName function="false" hidden="false" localSheetId="5" name="start_year_p_growth_RES_elec" vbProcedure="false">NZP_rail_old!$C$15</definedName>
    <definedName function="false" hidden="false" localSheetId="5" name="start_year_p_growth_RES_heat" vbProcedure="false">NZP_rail_old!$C$48</definedName>
    <definedName function="false" hidden="false" localSheetId="5" name="start_year_P_rr_minerals" vbProcedure="false">NZP_rail_old!$B$316</definedName>
    <definedName function="false" hidden="false" localSheetId="5" name="start_year_P_urban_land_density" vbProcedure="false">NZP_rail_old!$C$504</definedName>
    <definedName function="false" hidden="false" localSheetId="5" name="start_year_variation_primary_forest" vbProcedure="false">NZP_rail_old!$C$502</definedName>
    <definedName function="false" hidden="false" localSheetId="5" name="target_year_asymptote_gdp" vbProcedure="false">nzp_rail_transport!#ref!</definedName>
    <definedName function="false" hidden="false" localSheetId="5" name="target_year_asymptote_pop" vbProcedure="false">nzp_rail_transport!#ref!</definedName>
    <definedName function="false" hidden="false" localSheetId="5" name="target_year_policy_gas_electricity" vbProcedure="false">NZP_rail_old!$C$110</definedName>
    <definedName function="false" hidden="false" localSheetId="5" name="target_year_policy_phase_out_oil_electricity" vbProcedure="false">NZP_rail_old!$C$106</definedName>
    <definedName function="false" hidden="false" localSheetId="5" name="target_year_policy_phase_out_oil_heat" vbProcedure="false">NZP_rail_old!$C$107</definedName>
    <definedName function="false" hidden="false" localSheetId="5" name="target_year_process_emissions" vbProcedure="false">NZP_rail_old!$C$461</definedName>
    <definedName function="false" hidden="false" localSheetId="5" name="target_year_p_growth_RES_elec" vbProcedure="false">nzp_rail_transport!#ref!</definedName>
    <definedName function="false" hidden="false" localSheetId="5" name="target_year_p_growth_RES_heat" vbProcedure="false">NZP_rail_old!$C$49</definedName>
    <definedName function="false" hidden="false" localSheetId="5" name="target_year_P_rr_minerals" vbProcedure="false">NZP_rail_old!$B$315</definedName>
    <definedName function="false" hidden="false" localSheetId="5" name="target_year_P_urban_land_density" vbProcedure="false">NZP_rail_old!$C$505</definedName>
    <definedName function="false" hidden="false" localSheetId="5" name="targ_year_cell_efficiency_PV" vbProcedure="false">NZP_rail_old!$C$511</definedName>
    <definedName function="false" hidden="false" localSheetId="5" name="tfin_policy_hh_veh" vbProcedure="false">nzp_rail_transport!#ref!</definedName>
    <definedName function="false" hidden="false" localSheetId="5" name="tfin_policy_inland_transp_veh" vbProcedure="false">nzp_rail_transport!#ref!</definedName>
    <definedName function="false" hidden="false" localSheetId="5" name="time_afforestation" vbProcedure="false">NZP_rail_old!$C$469:$X$469</definedName>
    <definedName function="false" hidden="false" localSheetId="5" name="tini_policy_hh_veh" vbProcedure="false">nzp_rail_transport!#ref!</definedName>
    <definedName function="false" hidden="false" localSheetId="5" name="tini_policy_inland_transp_veh" vbProcedure="false">nzp_rail_transport!#ref!</definedName>
    <definedName function="false" hidden="false" localSheetId="5" name="tkm_share" vbProcedure="false">NZP_rail_old!$D$123:$J$126</definedName>
    <definedName function="false" hidden="false" localSheetId="5" name="unlimited_coal" vbProcedure="false">nzp_rail_transport!#ref!</definedName>
    <definedName function="false" hidden="false" localSheetId="5" name="unlimited_gas" vbProcedure="false">nzp_rail_transport!#ref!</definedName>
    <definedName function="false" hidden="false" localSheetId="5" name="unlimited_NRE" vbProcedure="false">nzp_rail_transport!#ref!</definedName>
    <definedName function="false" hidden="false" localSheetId="5" name="unlimited_oil" vbProcedure="false">nzp_rail_transport!#ref!</definedName>
    <definedName function="false" hidden="false" localSheetId="5" name="unlimited_uranium" vbProcedure="false">nzp_rail_transport!#ref!</definedName>
    <definedName function="false" hidden="false" localSheetId="5" name="urban_land_density" vbProcedure="false">NZP_rail_old!$C$503</definedName>
    <definedName function="false" hidden="false" localSheetId="5" name="variation_primary_forest" vbProcedure="false">NZP_rail_old!$C$501</definedName>
    <definedName function="false" hidden="false" localSheetId="5" name="years_co2_luc" vbProcedure="false">NZP_rail_old!$C$465:$I$465</definedName>
    <definedName function="false" hidden="false" localSheetId="5" name="years_pop_growth" vbProcedure="false">NZP_rail_old!$C$4:$AL$4</definedName>
    <definedName function="false" hidden="false" localSheetId="5" name="year_change_pct_energy_intensity_target" vbProcedure="false">NZP_rail_old!$C$295</definedName>
    <definedName function="false" hidden="false" localSheetId="5" name="year_customized_gdp_evol" vbProcedure="false">nzp_rail_transport!#ref!</definedName>
    <definedName function="false" hidden="false" localSheetId="5" name="year_customized_pop_evol" vbProcedure="false">nzp_rail_transport!#ref!</definedName>
    <definedName function="false" hidden="false" localSheetId="5" name="year_gdp_timeseries" vbProcedure="false">NZP_rail_old!$C$9:$AL$9</definedName>
    <definedName function="false" hidden="false" localSheetId="5" name="year_net_energy_flux" vbProcedure="false">NZP_rail_old!$B$482:$H$482</definedName>
    <definedName function="false" hidden="false" localSheetId="5" name="year_policy_change_energy" vbProcedure="false">NZP_rail_old!$C$264:$AZ$268</definedName>
    <definedName function="false" hidden="false" localSheetId="5" name="Year_policy_share_res_heat" vbProcedure="false">NZP_rail_old!$C$54</definedName>
    <definedName function="false" hidden="false" localSheetId="5" name="year_policy_to_improve_efficiency" vbProcedure="false">NZP_rail_old!$C$252:$AZ$256</definedName>
    <definedName function="false" hidden="false" localSheetId="5" name="year_pop_timeseries" vbProcedure="false">NZP_rail_old!$C$4:$AL$4</definedName>
    <definedName function="false" hidden="false" localSheetId="5" name="year_ref_RURR" vbProcedure="false">NZP_rail_old!$C$84</definedName>
    <definedName function="false" hidden="false" localSheetId="5" name="year_RES_power" vbProcedure="false">NZP_rail_old!$C$15:$I$15</definedName>
    <definedName function="false" hidden="false" localSheetId="5" name="year_RURR_coal" vbProcedure="false">NZP_rail_old!$C$84</definedName>
    <definedName function="false" hidden="false" localSheetId="5" name="year_synthetic" vbProcedure="false">NZP_rail_old!$C$61:$I$61</definedName>
    <definedName function="false" hidden="false" localSheetId="5" name="year_to_finish_energy_intensity_policies" vbProcedure="false">NZP_rail_old!$C$276:$AZ$280</definedName>
    <definedName function="false" hidden="false" localSheetId="5" name="year_transport_fuel_share_pkm" vbProcedure="false">NZP_rail_old!$C$154:$H$154</definedName>
    <definedName function="false" hidden="false" localSheetId="5" name="year_transport_fuel_share_tkm" vbProcedure="false">NZP_rail_old!$C$136:$H$136</definedName>
    <definedName function="false" hidden="false" localSheetId="5" name="Year_transport_share" vbProcedure="false">NZP_rail_old!$D$122:$J$122</definedName>
    <definedName function="false" hidden="false" localSheetId="6" name="activate_afforestation_program" vbProcedure="false">NZP_rail!$B$316</definedName>
    <definedName function="false" hidden="false" localSheetId="6" name="activate_ELF" vbProcedure="false">NZP_rail!$C$308</definedName>
    <definedName function="false" hidden="false" localSheetId="6" name="activate_policy_leaving_underground" vbProcedure="false">NZP_rail!$C$83</definedName>
    <definedName function="false" hidden="false" localSheetId="6" name="afforestation" vbProcedure="false">NZP_rail!$C$434:$X$434</definedName>
    <definedName function="false" hidden="false" localSheetId="6" name="average_solar_I" vbProcedure="false">NZP_rail!$C$472</definedName>
    <definedName function="false" hidden="false" localSheetId="6" name="cell_efficiency_target_year" vbProcedure="false">NZP_rail!$C$473</definedName>
    <definedName function="false" hidden="false" localSheetId="6" name="choose_energy_intensity_target_method" vbProcedure="false">NZP_rail!$C$247</definedName>
    <definedName function="false" hidden="false" localSheetId="6" name="choose_targets_mineral_recycling_rates" vbProcedure="false">NZP_rail!$D$277</definedName>
    <definedName function="false" hidden="false" localSheetId="6" name="co2_luc" vbProcedure="false">NZP_rail!$C$430:$I$430</definedName>
    <definedName function="false" hidden="false" localSheetId="6" name="coal_net_flux_timeseries" vbProcedure="false">NZP_rail!$B$452:$H$452</definedName>
    <definedName function="false" hidden="false" localSheetId="6" name="crash_programme_CTL" vbProcedure="false">NZP_rail!$D$78</definedName>
    <definedName function="false" hidden="false" localSheetId="6" name="crash_programme_GTL" vbProcedure="false">NZP_rail!$D$80</definedName>
    <definedName function="false" hidden="false" localSheetId="6" name="efficiency_rate_of_substitution_electricity" vbProcedure="false">NZP_rail!$C$485:$Q$489</definedName>
    <definedName function="false" hidden="false" localSheetId="6" name="efficiency_rate_of_substitution_gases" vbProcedure="false">NZP_rail!$C$500:$Q$504</definedName>
    <definedName function="false" hidden="false" localSheetId="6" name="efficiency_rate_of_substitution_heat" vbProcedure="false">NZP_rail!$C$490:$Q$494</definedName>
    <definedName function="false" hidden="false" localSheetId="6" name="efficiency_rate_of_substitution_liquids" vbProcedure="false">NZP_rail!$C$495:$Q$499</definedName>
    <definedName function="false" hidden="false" localSheetId="6" name="efficiency_rate_of_substitution_solids" vbProcedure="false">NZP_rail!$C$505:$Q$509</definedName>
    <definedName function="false" hidden="false" localSheetId="6" name="energy_intensity_target" vbProcedure="false">NZP_rail!$C$253:$AZ$257</definedName>
    <definedName function="false" hidden="false" localSheetId="6" name="energy_scarcity_forgetting_time" vbProcedure="false">NZP_rail!$C$267</definedName>
    <definedName function="false" hidden="false" localSheetId="6" name="energy_scarcity_forgetting_time_H" vbProcedure="false">NZP_rail!$C$271</definedName>
    <definedName function="false" hidden="false" localSheetId="6" name="EROI_feedback_flag" vbProcedure="false">nzp_rail_update!#ref!</definedName>
    <definedName function="false" hidden="false" localSheetId="6" name="final_year_energy_intensity_target" vbProcedure="false">NZP_rail!$C$250</definedName>
    <definedName function="false" hidden="false" localSheetId="6" name="forest_overexplotation" vbProcedure="false">NZP_rail!$C$463</definedName>
    <definedName function="false" hidden="false" localSheetId="6" name="fuel_share_air_pkm" vbProcedure="false">NZP_rail!$C$172:$H$175</definedName>
    <definedName function="false" hidden="false" localSheetId="6" name="fuel_share_air_tkm" vbProcedure="false">NZP_rail!$C$154:$H$157</definedName>
    <definedName function="false" hidden="false" localSheetId="6" name="fuel_share_households_pkm" vbProcedure="false">NZP_rail!$C$176:$H$179</definedName>
    <definedName function="false" hidden="false" localSheetId="6" name="fuel_share_maritime_pkm" vbProcedure="false">NZP_rail!$C$168:$H$171</definedName>
    <definedName function="false" hidden="false" localSheetId="6" name="fuel_share_maritime_tkm" vbProcedure="false">NZP_rail!$C$150:$H$153</definedName>
    <definedName function="false" hidden="false" localSheetId="6" name="fuel_share_rail_pkm" vbProcedure="false">NZP_rail!$C$160:$H$163</definedName>
    <definedName function="false" hidden="false" localSheetId="6" name="fuel_share_rail_tkm" vbProcedure="false">NZP_rail!$C$138:$H$141</definedName>
    <definedName function="false" hidden="false" localSheetId="6" name="fuel_share_road_pkm" vbProcedure="false">NZP_rail!$C$164:$H$167</definedName>
    <definedName function="false" hidden="false" localSheetId="6" name="fuel_share_road_tkm" vbProcedure="false">NZP_rail!$C$146:$H$149</definedName>
    <definedName function="false" hidden="false" localSheetId="6" name="gas_net_flux_timeseries" vbProcedure="false">NZP_rail!$B$450:$H$450</definedName>
    <definedName function="false" hidden="false" localSheetId="6" name="GWP_time_frame" vbProcedure="false">nzp_rail_update!#ref!</definedName>
    <definedName function="false" hidden="false" localSheetId="6" name="limit_coal_imports_from_RoW" vbProcedure="false">nzp_rail_update!#ref!</definedName>
    <definedName function="false" hidden="false" localSheetId="6" name="limit_nat_gas_imports_from_RoW" vbProcedure="false">nzp_rail_update!#ref!</definedName>
    <definedName function="false" hidden="false" localSheetId="6" name="limit_oil_imports_from_RoW" vbProcedure="false">nzp_rail_update!#ref!</definedName>
    <definedName function="false" hidden="false" localSheetId="6" name="max_NPP_pot_bioe_residues" vbProcedure="false">nzp_rail_update!#ref!</definedName>
    <definedName function="false" hidden="false" localSheetId="6" name="max_PE_biogas" vbProcedure="false">nzp_rail_update!#ref!</definedName>
    <definedName function="false" hidden="false" localSheetId="6" name="max_share_imports_coal" vbProcedure="false">nzp_rail_update!#ref!</definedName>
    <definedName function="false" hidden="false" localSheetId="6" name="max_share_imports_nat_gas" vbProcedure="false">nzp_rail_update!#ref!</definedName>
    <definedName function="false" hidden="false" localSheetId="6" name="max_share_imports_oil" vbProcedure="false">nzp_rail_update!#ref!</definedName>
    <definedName function="false" hidden="false" localSheetId="6" name="minimum_forest" vbProcedure="false">NZP_rail!$C$464</definedName>
    <definedName function="false" hidden="false" localSheetId="6" name="min_FEI_vs_initial" vbProcedure="false">NZP_rail!$C$213</definedName>
    <definedName function="false" hidden="false" localSheetId="6" name="oil_net_flux_timeseries" vbProcedure="false">NZP_rail!$B$448:$H$448</definedName>
    <definedName function="false" hidden="false" localSheetId="6" name="pct_change_energy_intensity_target" vbProcedure="false">NZP_rail!$C$260</definedName>
    <definedName function="false" hidden="false" localSheetId="6" name="percent_2w_tfin_over_hh_veh" vbProcedure="false">nzp_rail_update!#ref!</definedName>
    <definedName function="false" hidden="false" localSheetId="6" name="percent_electric_2w_tfin" vbProcedure="false">nzp_rail_update!#ref!</definedName>
    <definedName function="false" hidden="false" localSheetId="6" name="percent_electric_light_cargo_veh_tfin" vbProcedure="false">nzp_rail_update!#ref!</definedName>
    <definedName function="false" hidden="false" localSheetId="6" name="percent_electric_train_tfin" vbProcedure="false">nzp_rail_update!#ref!</definedName>
    <definedName function="false" hidden="false" localSheetId="6" name="percent_electr_bus_tfin" vbProcedure="false">nzp_rail_update!#ref!</definedName>
    <definedName function="false" hidden="false" localSheetId="6" name="percent_electr_hh_4w_tfin" vbProcedure="false">nzp_rail_update!#ref!</definedName>
    <definedName function="false" hidden="false" localSheetId="6" name="percent_gas_heavy_veh_tfin" vbProcedure="false">nzp_rail_update!#ref!</definedName>
    <definedName function="false" hidden="false" localSheetId="6" name="percent_gas_hh_veh_4w_tfin" vbProcedure="false">nzp_rail_update!#ref!</definedName>
    <definedName function="false" hidden="false" localSheetId="6" name="percent_hybrid_bus_tfin" vbProcedure="false">nzp_rail_update!#ref!</definedName>
    <definedName function="false" hidden="false" localSheetId="6" name="percent_hybrid_heavy_veh_tfin" vbProcedure="false">nzp_rail_update!#ref!</definedName>
    <definedName function="false" hidden="false" localSheetId="6" name="percent_hybrid_hh_4w_veh_tfin" vbProcedure="false">nzp_rail_update!#ref!</definedName>
    <definedName function="false" hidden="false" localSheetId="6" name="percent_hybrid_light_cargo_veh_tfin" vbProcedure="false">nzp_rail_update!#ref!</definedName>
    <definedName function="false" hidden="false" localSheetId="6" name="percent_natgas_bus_tfin" vbProcedure="false">nzp_rail_update!#ref!</definedName>
    <definedName function="false" hidden="false" localSheetId="6" name="percent_natgas_light_cargo_veh_tfin" vbProcedure="false">nzp_rail_update!#ref!</definedName>
    <definedName function="false" hidden="false" localSheetId="6" name="phase_out_oil_electr" vbProcedure="false">NZP_rail!$C$102</definedName>
    <definedName function="false" hidden="false" localSheetId="6" name="phase_out_oil_heat" vbProcedure="false">NZP_rail!$C$103</definedName>
    <definedName function="false" hidden="false" localSheetId="6" name="pkm_share" vbProcedure="false">NZP_rail!$D$128:$J$132</definedName>
    <definedName function="false" hidden="false" localSheetId="6" name="policy_change_energy_speed" vbProcedure="false">NZP_rail!$C$234:$AZ$238</definedName>
    <definedName function="false" hidden="false" localSheetId="6" name="policy_improvement_process_emissions_efficiency" vbProcedure="false">NZP_rail!$C$426</definedName>
    <definedName function="false" hidden="false" localSheetId="6" name="policy_to_improve_efficiency_speed" vbProcedure="false">NZP_rail!$C$222:$AZ$226</definedName>
    <definedName function="false" hidden="false" localSheetId="6" name="pop_growth_timeseries" vbProcedure="false">NZP_rail!$C$5:$AL$5</definedName>
    <definedName function="false" hidden="false" localSheetId="6" name="pot_marg_land_biofuels" vbProcedure="false">nzp_rail_update!#ref!</definedName>
    <definedName function="false" hidden="false" localSheetId="6" name="p_bioe_power" vbProcedure="false">NZP_rail!$C$18:$I$18</definedName>
    <definedName function="false" hidden="false" localSheetId="6" name="p_bioe_residues_growth" vbProcedure="false">NZP_rail!$C$38</definedName>
    <definedName function="false" hidden="false" localSheetId="6" name="p_biofuels_2gen_land_compet" vbProcedure="false">NZP_rail!$C$32</definedName>
    <definedName function="false" hidden="false" localSheetId="6" name="p_biofuels_3gen_land_compet" vbProcedure="false">NZP_rail!$C$34</definedName>
    <definedName function="false" hidden="false" localSheetId="6" name="p_biofuels_marg_land_growth" vbProcedure="false">NZP_rail!$C$40</definedName>
    <definedName function="false" hidden="false" localSheetId="6" name="p_biogas_growth" vbProcedure="false">NZP_rail!$C$42</definedName>
    <definedName function="false" hidden="false" localSheetId="6" name="p_bus_bat" vbProcedure="false">NZP_rail!$C$188:$H$192</definedName>
    <definedName function="false" hidden="false" localSheetId="6" name="p_capital_share" vbProcedure="false">NZP_rail!$F$8</definedName>
    <definedName function="false" hidden="false" localSheetId="6" name="p_CCS" vbProcedure="false">NZP_rail!$C$320:$I$369</definedName>
    <definedName function="false" hidden="false" localSheetId="6" name="p_change_over_hist_max_variation_FEI" vbProcedure="false">NZP_rail!$C$214</definedName>
    <definedName function="false" hidden="false" localSheetId="6" name="P_common_rr_minerals_variation_alt_techn" vbProcedure="false">NZP_rail!$C$301</definedName>
    <definedName function="false" hidden="false" localSheetId="6" name="P_common_rr_minerals_variation_Rest" vbProcedure="false">NZP_rail!$C$303</definedName>
    <definedName function="false" hidden="false" localSheetId="6" name="p_constraint_growth_unconv_gas" vbProcedure="false">NZP_rail!$C$75</definedName>
    <definedName function="false" hidden="false" localSheetId="6" name="p_constraint_growth_unconv_oil" vbProcedure="false">NZP_rail!$C$71</definedName>
    <definedName function="false" hidden="false" localSheetId="6" name="p_CSP_power" vbProcedure="false">NZP_rail!$C$23:$I$23</definedName>
    <definedName function="false" hidden="false" localSheetId="6" name="p_CTL_growth" vbProcedure="false">NZP_rail!$C$78</definedName>
    <definedName function="false" hidden="false" localSheetId="6" name="p_DAC" vbProcedure="false">NZP_rail!$C$422:$I$422</definedName>
    <definedName function="false" hidden="false" localSheetId="6" name="p_ETS" vbProcedure="false">NZP_rail!$C$62:$I$65</definedName>
    <definedName function="false" hidden="false" localSheetId="6" name="p_ev_bat" vbProcedure="false">NZP_rail!$C$183:$H$187</definedName>
    <definedName function="false" hidden="false" localSheetId="6" name="p_geot_heat_growth" vbProcedure="false">NZP_rail!$C$51</definedName>
    <definedName function="false" hidden="false" localSheetId="6" name="p_geot_power" vbProcedure="false">NZP_rail!$C$17:$I$17</definedName>
    <definedName function="false" hidden="false" localSheetId="6" name="p_GTL_growth" vbProcedure="false">NZP_rail!$C$80</definedName>
    <definedName function="false" hidden="false" localSheetId="6" name="p_heavy_trucks_bat" vbProcedure="false">NZP_rail!$C$198:$H$202</definedName>
    <definedName function="false" hidden="false" localSheetId="6" name="p_hydro_power" vbProcedure="false">NZP_rail!$C$16:$I$16</definedName>
    <definedName function="false" hidden="false" localSheetId="6" name="p_labour_share" vbProcedure="false">NZP_rail!$C$8</definedName>
    <definedName function="false" hidden="false" localSheetId="6" name="p_nuclear_scen3_4_variation" vbProcedure="false">NZP_rail!$E$114</definedName>
    <definedName function="false" hidden="false" localSheetId="6" name="p_oceanic_power" vbProcedure="false">NZP_rail!$C$19:$I$19</definedName>
    <definedName function="false" hidden="false" localSheetId="6" name="p_offshore_wind_power" vbProcedure="false">NZP_rail!$C$21:$I$21</definedName>
    <definedName function="false" hidden="false" localSheetId="6" name="p_onshore_wind_power" vbProcedure="false">NZP_rail!$C$20:$I$20</definedName>
    <definedName function="false" hidden="false" localSheetId="6" name="p_PHS_power" vbProcedure="false">NZP_rail!$C$24:$I$24</definedName>
    <definedName function="false" hidden="false" localSheetId="6" name="p_pop_asymptote" vbProcedure="false">nzp_rail_update!#ref!</definedName>
    <definedName function="false" hidden="false" localSheetId="6" name="p_PV_power" vbProcedure="false">NZP_rail!$C$22:$I$22</definedName>
    <definedName function="false" hidden="false" localSheetId="6" name="p_RES_power" vbProcedure="false">NZP_rail!$C$16:$I$23</definedName>
    <definedName function="false" hidden="false" localSheetId="6" name="P_rr_minerals_alt_techn" vbProcedure="false">NZP_rail!$D$281:$D$299</definedName>
    <definedName function="false" hidden="false" localSheetId="6" name="P_rr_minerals_Rest" vbProcedure="false">NZP_rail!$E$281:$E$299</definedName>
    <definedName function="false" hidden="false" localSheetId="6" name="p_share_FEH_vs_FED" vbProcedure="false">NZP_rail!$C$55:$C$57</definedName>
    <definedName function="false" hidden="false" localSheetId="6" name="p_share_FEH_vs_FED_bioE" vbProcedure="false">NZP_rail!$C$58</definedName>
    <definedName function="false" hidden="false" localSheetId="6" name="p_share_gas_elec" vbProcedure="false">NZP_rail!$C$111</definedName>
    <definedName function="false" hidden="false" localSheetId="6" name="p_solar_heat" vbProcedure="false">NZP_rail!$C$50</definedName>
    <definedName function="false" hidden="false" localSheetId="6" name="p_solid_bioe_heat" vbProcedure="false">NZP_rail!$C$52</definedName>
    <definedName function="false" hidden="false" localSheetId="6" name="p_timeseries_gdp_growth" vbProcedure="false">NZP_rail!$C$10:$AL$10</definedName>
    <definedName function="false" hidden="false" localSheetId="6" name="p_timeseries_pop_growth" vbProcedure="false">NZP_rail!$C$4:$AM$4</definedName>
    <definedName function="false" hidden="false" localSheetId="6" name="p_trucks_bat" vbProcedure="false">NZP_rail!$C$193:$H$197</definedName>
    <definedName function="false" hidden="false" localSheetId="6" name="p_waste_growth" vbProcedure="false">NZP_rail!$C$45</definedName>
    <definedName function="false" hidden="false" localSheetId="6" name="RCP_GHG_emissions_select" vbProcedure="false">NZP_rail!$C$310</definedName>
    <definedName function="false" hidden="false" localSheetId="6" name="scarcity_feedback_final_fuel_replacement_flag" vbProcedure="false">NZP_rail!$C$263</definedName>
    <definedName function="false" hidden="false" localSheetId="6" name="sectoral_FEI_evolution_method" vbProcedure="false">NZP_rail!$C$208</definedName>
    <definedName function="false" hidden="false" localSheetId="6" name="select_gdp_evolution" vbProcedure="false">nzp_rail_update!#ref!</definedName>
    <definedName function="false" hidden="false" localSheetId="6" name="select_nuclear_scen" vbProcedure="false">NZP_rail!$B$114</definedName>
    <definedName function="false" hidden="false" localSheetId="6" name="select_pop_evolution" vbProcedure="false">nzp_rail_update!#ref!</definedName>
    <definedName function="false" hidden="false" localSheetId="6" name="sensitivity_to_scarcity_option" vbProcedure="false">NZP_rail!$C$264</definedName>
    <definedName function="false" hidden="false" localSheetId="6" name="sensitivity_to_scarcity_option_H" vbProcedure="false">NZP_rail!$C$268</definedName>
    <definedName function="false" hidden="false" localSheetId="6" name="separate_conv_and_unconv_gas" vbProcedure="false">NZP_rail!$C$74</definedName>
    <definedName function="false" hidden="false" localSheetId="6" name="separate_conv_and_unconv_oil" vbProcedure="false">NZP_rail!$C$70</definedName>
    <definedName function="false" hidden="false" localSheetId="6" name="share_available_roof" vbProcedure="false">NZP_rail!$C$479</definedName>
    <definedName function="false" hidden="false" localSheetId="6" name="share_available_roof_for_rooftop_PV" vbProcedure="false">NZP_rail!$C$480</definedName>
    <definedName function="false" hidden="false" localSheetId="6" name="share_ccs_energy" vbProcedure="false">NZP_rail!$C$371:$I$420</definedName>
    <definedName function="false" hidden="false" localSheetId="6" name="share_cellulosic_biof_vs_bioe_res" vbProcedure="false">NZP_rail!$C$37</definedName>
    <definedName function="false" hidden="false" localSheetId="6" name="share_curtailment" vbProcedure="false">NZP_rail!$C$25:$I$25</definedName>
    <definedName function="false" hidden="false" localSheetId="6" name="share_exports_electricity" vbProcedure="false">NZP_rail!$C$457:$I$457</definedName>
    <definedName function="false" hidden="false" localSheetId="6" name="share_PV_urban_tot_PV" vbProcedure="false">NZP_rail!$C$482</definedName>
    <definedName function="false" hidden="false" localSheetId="6" name="share_roof_solar_thermal" vbProcedure="false">NZP_rail!$C$481</definedName>
    <definedName function="false" hidden="false" localSheetId="6" name="share_RURR_agg_gas_underground" vbProcedure="false">NZP_rail!$C$98</definedName>
    <definedName function="false" hidden="false" localSheetId="6" name="share_RURR_agg_oil_underground" vbProcedure="false">NZP_rail!$C$96</definedName>
    <definedName function="false" hidden="false" localSheetId="6" name="share_RURR_coal_underground" vbProcedure="false">NZP_rail!$C$94</definedName>
    <definedName function="false" hidden="false" localSheetId="6" name="share_RURR_conv_gas_underground" vbProcedure="false">NZP_rail!$C$90</definedName>
    <definedName function="false" hidden="false" localSheetId="6" name="share_RURR_conv_oil_underground" vbProcedure="false">NZP_rail!$C$86</definedName>
    <definedName function="false" hidden="false" localSheetId="6" name="share_RURR_unconv_gas_underground" vbProcedure="false">NZP_rail!$C$92</definedName>
    <definedName function="false" hidden="false" localSheetId="6" name="share_RURR_unconv_oil_underground" vbProcedure="false">NZP_rail!$C$88</definedName>
    <definedName function="false" hidden="false" localSheetId="6" name="share_target_year_oil_for_elec" vbProcedure="false">NZP_rail!$C$108</definedName>
    <definedName function="false" hidden="false" localSheetId="6" name="share_target_year_oil_for_heat" vbProcedure="false">NZP_rail!$C$109</definedName>
    <definedName function="false" hidden="false" localSheetId="6" name="share_trans_loss" vbProcedure="false">NZP_rail!$C$26:$I$26</definedName>
    <definedName function="false" hidden="false" localSheetId="6" name="start_policy_year_agg_gas_underground" vbProcedure="false">NZP_rail!$C$97</definedName>
    <definedName function="false" hidden="false" localSheetId="6" name="start_policy_year_agg_oil_underground" vbProcedure="false">NZP_rail!$C$95</definedName>
    <definedName function="false" hidden="false" localSheetId="6" name="start_policy_year_coal_underground" vbProcedure="false">NZP_rail!$C$93</definedName>
    <definedName function="false" hidden="false" localSheetId="6" name="start_policy_year_conv_gas_underground" vbProcedure="false">NZP_rail!$C$89</definedName>
    <definedName function="false" hidden="false" localSheetId="6" name="start_policy_year_conv_oil_underground" vbProcedure="false">NZP_rail!$C$85</definedName>
    <definedName function="false" hidden="false" localSheetId="6" name="start_policy_year_unconv_gas_underground" vbProcedure="false">NZP_rail!$C$91</definedName>
    <definedName function="false" hidden="false" localSheetId="6" name="start_policy_year_unconv_oil_underground" vbProcedure="false">NZP_rail!$C$87</definedName>
    <definedName function="false" hidden="false" localSheetId="6" name="start_policy_year_unconv_opil_underground" vbProcedure="false">NZP_rail!$C$87</definedName>
    <definedName function="false" hidden="false" localSheetId="6" name="start_year_3gen_cell_biofuels" vbProcedure="false">NZP_rail!$C$33</definedName>
    <definedName function="false" hidden="false" localSheetId="6" name="start_year_bioe_residues_non_biofuels" vbProcedure="false">NZP_rail!$C$36</definedName>
    <definedName function="false" hidden="false" localSheetId="6" name="start_year_biofuels_land_marg" vbProcedure="false">NZP_rail!$C$39</definedName>
    <definedName function="false" hidden="false" localSheetId="6" name="start_year_cell_efficency_PV" vbProcedure="false">NZP_rail!$C$474</definedName>
    <definedName function="false" hidden="false" localSheetId="6" name="start_year_modification_EI" vbProcedure="false">NZP_rail!$C$249</definedName>
    <definedName function="false" hidden="false" localSheetId="6" name="start_year_nuclear_variation_scen3_4" vbProcedure="false">NZP_rail!$E$115</definedName>
    <definedName function="false" hidden="false" localSheetId="6" name="start_year_policies_transport" vbProcedure="false">NZP_rail!$E$122</definedName>
    <definedName function="false" hidden="false" localSheetId="6" name="start_year_policy_phase_out_oil_for_electricity" vbProcedure="false">NZP_rail!$C$104</definedName>
    <definedName function="false" hidden="false" localSheetId="6" name="start_year_policy_phase_out_oil_for_heat" vbProcedure="false">NZP_rail!$C$105</definedName>
    <definedName function="false" hidden="false" localSheetId="6" name="start_year_P_common_rr_minerals_alt_techn" vbProcedure="false">NZP_rail!$C$302</definedName>
    <definedName function="false" hidden="false" localSheetId="6" name="start_year_P_common_rr_minerals_Rest" vbProcedure="false">NZP_rail!$C$304</definedName>
    <definedName function="false" hidden="false" localSheetId="6" name="start_year_p_growth_RES_elec" vbProcedure="false">NZP_rail!$C$15</definedName>
    <definedName function="false" hidden="false" localSheetId="6" name="start_year_p_growth_RES_heat" vbProcedure="false">NZP_rail!$C$48</definedName>
    <definedName function="false" hidden="false" localSheetId="6" name="start_year_P_rr_minerals" vbProcedure="false">NZP_rail!$B$280</definedName>
    <definedName function="false" hidden="false" localSheetId="6" name="start_year_P_urban_land_density" vbProcedure="false">NZP_rail!$C$468</definedName>
    <definedName function="false" hidden="false" localSheetId="6" name="start_year_variation_primary_forest" vbProcedure="false">NZP_rail!$C$466</definedName>
    <definedName function="false" hidden="false" localSheetId="6" name="target_year_asymptote_gdp" vbProcedure="false">nzp_rail_update!#ref!</definedName>
    <definedName function="false" hidden="false" localSheetId="6" name="target_year_asymptote_pop" vbProcedure="false">nzp_rail_update!#ref!</definedName>
    <definedName function="false" hidden="false" localSheetId="6" name="target_year_policy_gas_electricity" vbProcedure="false">NZP_rail!$C$110</definedName>
    <definedName function="false" hidden="false" localSheetId="6" name="target_year_policy_phase_out_oil_electricity" vbProcedure="false">NZP_rail!$C$106</definedName>
    <definedName function="false" hidden="false" localSheetId="6" name="target_year_policy_phase_out_oil_heat" vbProcedure="false">NZP_rail!$C$107</definedName>
    <definedName function="false" hidden="false" localSheetId="6" name="target_year_process_emissions" vbProcedure="false">NZP_rail!$C$425</definedName>
    <definedName function="false" hidden="false" localSheetId="6" name="target_year_p_growth_RES_elec" vbProcedure="false">nzp_rail_update!#ref!</definedName>
    <definedName function="false" hidden="false" localSheetId="6" name="target_year_p_growth_RES_heat" vbProcedure="false">NZP_rail!$C$49</definedName>
    <definedName function="false" hidden="false" localSheetId="6" name="target_year_P_rr_minerals" vbProcedure="false">NZP_rail!$B$279</definedName>
    <definedName function="false" hidden="false" localSheetId="6" name="target_year_P_urban_land_density" vbProcedure="false">NZP_rail!$C$469</definedName>
    <definedName function="false" hidden="false" localSheetId="6" name="targ_year_cell_efficiency_PV" vbProcedure="false">NZP_rail!$C$475</definedName>
    <definedName function="false" hidden="false" localSheetId="6" name="tfin_policy_hh_veh" vbProcedure="false">nzp_rail_update!#ref!</definedName>
    <definedName function="false" hidden="false" localSheetId="6" name="tfin_policy_inland_transp_veh" vbProcedure="false">nzp_rail_update!#ref!</definedName>
    <definedName function="false" hidden="false" localSheetId="6" name="time_afforestation" vbProcedure="false">NZP_rail!$C$433:$X$433</definedName>
    <definedName function="false" hidden="false" localSheetId="6" name="tini_policy_hh_veh" vbProcedure="false">nzp_rail_update!#ref!</definedName>
    <definedName function="false" hidden="false" localSheetId="6" name="tini_policy_inland_transp_veh" vbProcedure="false">nzp_rail_update!#ref!</definedName>
    <definedName function="false" hidden="false" localSheetId="6" name="tkm_share" vbProcedure="false">NZP_rail!$D$123:$J$127</definedName>
    <definedName function="false" hidden="false" localSheetId="6" name="unlimited_coal" vbProcedure="false">nzp_rail_update!#ref!</definedName>
    <definedName function="false" hidden="false" localSheetId="6" name="unlimited_gas" vbProcedure="false">nzp_rail_update!#ref!</definedName>
    <definedName function="false" hidden="false" localSheetId="6" name="unlimited_NRE" vbProcedure="false">nzp_rail_update!#ref!</definedName>
    <definedName function="false" hidden="false" localSheetId="6" name="unlimited_oil" vbProcedure="false">nzp_rail_update!#ref!</definedName>
    <definedName function="false" hidden="false" localSheetId="6" name="unlimited_uranium" vbProcedure="false">nzp_rail_update!#ref!</definedName>
    <definedName function="false" hidden="false" localSheetId="6" name="urban_land_density" vbProcedure="false">NZP_rail!$C$467</definedName>
    <definedName function="false" hidden="false" localSheetId="6" name="variation_primary_forest" vbProcedure="false">NZP_rail!$C$465</definedName>
    <definedName function="false" hidden="false" localSheetId="6" name="years_co2_luc" vbProcedure="false">NZP_rail!$C$429:$I$429</definedName>
    <definedName function="false" hidden="false" localSheetId="6" name="years_pop_growth" vbProcedure="false">NZP_rail!$C$4:$AL$4</definedName>
    <definedName function="false" hidden="false" localSheetId="6" name="year_change_pct_energy_intensity_target" vbProcedure="false">NZP_rail!$C$259</definedName>
    <definedName function="false" hidden="false" localSheetId="6" name="year_customized_gdp_evol" vbProcedure="false">nzp_rail_update!#ref!</definedName>
    <definedName function="false" hidden="false" localSheetId="6" name="year_customized_pop_evol" vbProcedure="false">nzp_rail_update!#ref!</definedName>
    <definedName function="false" hidden="false" localSheetId="6" name="year_ev_bat" vbProcedure="false">NZP_rail!$C$182:$H$182</definedName>
    <definedName function="false" hidden="false" localSheetId="6" name="year_gdp_timeseries" vbProcedure="false">NZP_rail!$C$9:$AL$9</definedName>
    <definedName function="false" hidden="false" localSheetId="6" name="year_net_energy_flux" vbProcedure="false">NZP_rail!$B$446:$H$446</definedName>
    <definedName function="false" hidden="false" localSheetId="6" name="year_policy_change_energy" vbProcedure="false">NZP_rail!$C$228:$AZ$232</definedName>
    <definedName function="false" hidden="false" localSheetId="6" name="Year_policy_share_res_heat" vbProcedure="false">NZP_rail!$C$54</definedName>
    <definedName function="false" hidden="false" localSheetId="6" name="year_policy_to_improve_efficiency" vbProcedure="false">NZP_rail!$C$216:$AZ$220</definedName>
    <definedName function="false" hidden="false" localSheetId="6" name="year_pop_timeseries" vbProcedure="false">NZP_rail!$C$4:$AL$4</definedName>
    <definedName function="false" hidden="false" localSheetId="6" name="year_ref_RURR" vbProcedure="false">NZP_rail!$C$84</definedName>
    <definedName function="false" hidden="false" localSheetId="6" name="year_RES_power" vbProcedure="false">NZP_rail!$C$15:$I$15</definedName>
    <definedName function="false" hidden="false" localSheetId="6" name="year_RURR_coal" vbProcedure="false">NZP_rail!$C$84</definedName>
    <definedName function="false" hidden="false" localSheetId="6" name="year_synthetic" vbProcedure="false">NZP_rail!$C$61:$I$61</definedName>
    <definedName function="false" hidden="false" localSheetId="6" name="year_to_finish_energy_intensity_policies" vbProcedure="false">NZP_rail!$C$240:$AZ$244</definedName>
    <definedName function="false" hidden="false" localSheetId="6" name="year_transport_fuel_share_pkm" vbProcedure="false">NZP_rail!$C$159:$H$159</definedName>
    <definedName function="false" hidden="false" localSheetId="6" name="year_transport_fuel_share_tkm" vbProcedure="false">NZP_rail!$C$137:$H$137</definedName>
    <definedName function="false" hidden="false" localSheetId="6" name="Year_transport_share" vbProcedure="false">NZP_rail!$D$122:$J$122</definedName>
    <definedName function="false" hidden="false" localSheetId="7" name="activate_afforestation_program" vbProcedure="false">NZP_rail_SE!$B$316</definedName>
    <definedName function="false" hidden="false" localSheetId="7" name="activate_ELF" vbProcedure="false">NZP_rail_SE!$C$308</definedName>
    <definedName function="false" hidden="false" localSheetId="7" name="activate_policy_leaving_underground" vbProcedure="false">NZP_rail_SE!$C$83</definedName>
    <definedName function="false" hidden="false" localSheetId="7" name="afforestation" vbProcedure="false">NZP_rail_SE!$C$434:$X$434</definedName>
    <definedName function="false" hidden="false" localSheetId="7" name="average_solar_I" vbProcedure="false">NZP_rail_SE!$C$472</definedName>
    <definedName function="false" hidden="false" localSheetId="7" name="cell_efficiency_target_year" vbProcedure="false">NZP_rail_SE!$C$473</definedName>
    <definedName function="false" hidden="false" localSheetId="7" name="choose_energy_intensity_target_method" vbProcedure="false">NZP_rail_SE!$C$247</definedName>
    <definedName function="false" hidden="false" localSheetId="7" name="choose_targets_mineral_recycling_rates" vbProcedure="false">NZP_rail_SE!$D$277</definedName>
    <definedName function="false" hidden="false" localSheetId="7" name="co2_luc" vbProcedure="false">NZP_rail_SE!$C$430:$I$430</definedName>
    <definedName function="false" hidden="false" localSheetId="7" name="coal_net_flux_timeseries" vbProcedure="false">NZP_rail_SE!$B$452:$H$452</definedName>
    <definedName function="false" hidden="false" localSheetId="7" name="crash_programme_CTL" vbProcedure="false">NZP_rail_SE!$D$78</definedName>
    <definedName function="false" hidden="false" localSheetId="7" name="crash_programme_GTL" vbProcedure="false">NZP_rail_SE!$D$80</definedName>
    <definedName function="false" hidden="false" localSheetId="7" name="efficiency_rate_of_substitution_electricity" vbProcedure="false">NZP_rail_SE!$C$485:$Q$489</definedName>
    <definedName function="false" hidden="false" localSheetId="7" name="efficiency_rate_of_substitution_gases" vbProcedure="false">NZP_rail_SE!$C$500:$Q$504</definedName>
    <definedName function="false" hidden="false" localSheetId="7" name="efficiency_rate_of_substitution_heat" vbProcedure="false">NZP_rail_SE!$C$490:$Q$494</definedName>
    <definedName function="false" hidden="false" localSheetId="7" name="efficiency_rate_of_substitution_liquids" vbProcedure="false">NZP_rail_SE!$C$495:$Q$499</definedName>
    <definedName function="false" hidden="false" localSheetId="7" name="efficiency_rate_of_substitution_solids" vbProcedure="false">NZP_rail_SE!$C$505:$Q$509</definedName>
    <definedName function="false" hidden="false" localSheetId="7" name="energy_intensity_target" vbProcedure="false">NZP_rail_SE!$C$253:$AZ$257</definedName>
    <definedName function="false" hidden="false" localSheetId="7" name="energy_scarcity_forgetting_time" vbProcedure="false">NZP_rail_SE!$C$267</definedName>
    <definedName function="false" hidden="false" localSheetId="7" name="energy_scarcity_forgetting_time_H" vbProcedure="false">NZP_rail_SE!$C$271</definedName>
    <definedName function="false" hidden="false" localSheetId="7" name="EROI_feedback_flag" vbProcedure="false">nzp_rail_update!#ref!</definedName>
    <definedName function="false" hidden="false" localSheetId="7" name="final_year_energy_intensity_target" vbProcedure="false">NZP_rail_SE!$C$250</definedName>
    <definedName function="false" hidden="false" localSheetId="7" name="forest_overexplotation" vbProcedure="false">NZP_rail_SE!$C$463</definedName>
    <definedName function="false" hidden="false" localSheetId="7" name="fuel_share_air_pkm" vbProcedure="false">NZP_rail_SE!$C$172:$H$175</definedName>
    <definedName function="false" hidden="false" localSheetId="7" name="fuel_share_air_tkm" vbProcedure="false">NZP_rail_SE!$C$154:$H$157</definedName>
    <definedName function="false" hidden="false" localSheetId="7" name="fuel_share_households_pkm" vbProcedure="false">NZP_rail_SE!$C$176:$H$179</definedName>
    <definedName function="false" hidden="false" localSheetId="7" name="fuel_share_maritime_pkm" vbProcedure="false">NZP_rail_SE!$C$168:$H$171</definedName>
    <definedName function="false" hidden="false" localSheetId="7" name="fuel_share_maritime_tkm" vbProcedure="false">NZP_rail_SE!$C$150:$H$153</definedName>
    <definedName function="false" hidden="false" localSheetId="7" name="fuel_share_rail_pkm" vbProcedure="false">NZP_rail_SE!$C$160:$H$163</definedName>
    <definedName function="false" hidden="false" localSheetId="7" name="fuel_share_rail_tkm" vbProcedure="false">NZP_rail_SE!$C$138:$H$141</definedName>
    <definedName function="false" hidden="false" localSheetId="7" name="fuel_share_road_pkm" vbProcedure="false">NZP_rail_SE!$C$164:$H$167</definedName>
    <definedName function="false" hidden="false" localSheetId="7" name="fuel_share_road_tkm" vbProcedure="false">NZP_rail_SE!$C$146:$H$149</definedName>
    <definedName function="false" hidden="false" localSheetId="7" name="gas_net_flux_timeseries" vbProcedure="false">NZP_rail_SE!$B$450:$H$450</definedName>
    <definedName function="false" hidden="false" localSheetId="7" name="GWP_time_frame" vbProcedure="false">nzp_rail_update!#ref!</definedName>
    <definedName function="false" hidden="false" localSheetId="7" name="limit_coal_imports_from_RoW" vbProcedure="false">nzp_rail_update!#ref!</definedName>
    <definedName function="false" hidden="false" localSheetId="7" name="limit_nat_gas_imports_from_RoW" vbProcedure="false">nzp_rail_update!#ref!</definedName>
    <definedName function="false" hidden="false" localSheetId="7" name="limit_oil_imports_from_RoW" vbProcedure="false">nzp_rail_update!#ref!</definedName>
    <definedName function="false" hidden="false" localSheetId="7" name="max_NPP_pot_bioe_residues" vbProcedure="false">nzp_rail_update!#ref!</definedName>
    <definedName function="false" hidden="false" localSheetId="7" name="max_PE_biogas" vbProcedure="false">nzp_rail_update!#ref!</definedName>
    <definedName function="false" hidden="false" localSheetId="7" name="max_share_imports_coal" vbProcedure="false">nzp_rail_update!#ref!</definedName>
    <definedName function="false" hidden="false" localSheetId="7" name="max_share_imports_nat_gas" vbProcedure="false">nzp_rail_update!#ref!</definedName>
    <definedName function="false" hidden="false" localSheetId="7" name="max_share_imports_oil" vbProcedure="false">nzp_rail_update!#ref!</definedName>
    <definedName function="false" hidden="false" localSheetId="7" name="minimum_forest" vbProcedure="false">NZP_rail_SE!$C$464</definedName>
    <definedName function="false" hidden="false" localSheetId="7" name="min_FEI_vs_initial" vbProcedure="false">NZP_rail_SE!$C$213</definedName>
    <definedName function="false" hidden="false" localSheetId="7" name="oil_net_flux_timeseries" vbProcedure="false">NZP_rail_SE!$B$448:$H$448</definedName>
    <definedName function="false" hidden="false" localSheetId="7" name="pct_change_energy_intensity_target" vbProcedure="false">NZP_rail_SE!$C$260</definedName>
    <definedName function="false" hidden="false" localSheetId="7" name="percent_2w_tfin_over_hh_veh" vbProcedure="false">nzp_rail_update!#ref!</definedName>
    <definedName function="false" hidden="false" localSheetId="7" name="percent_electric_2w_tfin" vbProcedure="false">nzp_rail_update!#ref!</definedName>
    <definedName function="false" hidden="false" localSheetId="7" name="percent_electric_light_cargo_veh_tfin" vbProcedure="false">nzp_rail_update!#ref!</definedName>
    <definedName function="false" hidden="false" localSheetId="7" name="percent_electric_train_tfin" vbProcedure="false">nzp_rail_update!#ref!</definedName>
    <definedName function="false" hidden="false" localSheetId="7" name="percent_electr_bus_tfin" vbProcedure="false">nzp_rail_update!#ref!</definedName>
    <definedName function="false" hidden="false" localSheetId="7" name="percent_electr_hh_4w_tfin" vbProcedure="false">nzp_rail_update!#ref!</definedName>
    <definedName function="false" hidden="false" localSheetId="7" name="percent_gas_heavy_veh_tfin" vbProcedure="false">nzp_rail_update!#ref!</definedName>
    <definedName function="false" hidden="false" localSheetId="7" name="percent_gas_hh_veh_4w_tfin" vbProcedure="false">nzp_rail_update!#ref!</definedName>
    <definedName function="false" hidden="false" localSheetId="7" name="percent_hybrid_bus_tfin" vbProcedure="false">nzp_rail_update!#ref!</definedName>
    <definedName function="false" hidden="false" localSheetId="7" name="percent_hybrid_heavy_veh_tfin" vbProcedure="false">nzp_rail_update!#ref!</definedName>
    <definedName function="false" hidden="false" localSheetId="7" name="percent_hybrid_hh_4w_veh_tfin" vbProcedure="false">nzp_rail_update!#ref!</definedName>
    <definedName function="false" hidden="false" localSheetId="7" name="percent_hybrid_light_cargo_veh_tfin" vbProcedure="false">nzp_rail_update!#ref!</definedName>
    <definedName function="false" hidden="false" localSheetId="7" name="percent_natgas_bus_tfin" vbProcedure="false">nzp_rail_update!#ref!</definedName>
    <definedName function="false" hidden="false" localSheetId="7" name="percent_natgas_light_cargo_veh_tfin" vbProcedure="false">nzp_rail_update!#ref!</definedName>
    <definedName function="false" hidden="false" localSheetId="7" name="phase_out_oil_electr" vbProcedure="false">NZP_rail_SE!$C$102</definedName>
    <definedName function="false" hidden="false" localSheetId="7" name="phase_out_oil_heat" vbProcedure="false">NZP_rail_SE!$C$103</definedName>
    <definedName function="false" hidden="false" localSheetId="7" name="pkm_share" vbProcedure="false">NZP_rail_SE!$D$128:$J$132</definedName>
    <definedName function="false" hidden="false" localSheetId="7" name="policy_change_energy_speed" vbProcedure="false">NZP_rail_SE!$C$234:$AZ$238</definedName>
    <definedName function="false" hidden="false" localSheetId="7" name="policy_improvement_process_emissions_efficiency" vbProcedure="false">NZP_rail_SE!$C$426</definedName>
    <definedName function="false" hidden="false" localSheetId="7" name="policy_to_improve_efficiency_speed" vbProcedure="false">NZP_rail_SE!$C$222:$AZ$226</definedName>
    <definedName function="false" hidden="false" localSheetId="7" name="pop_growth_timeseries" vbProcedure="false">NZP_rail_SE!$C$5:$AL$5</definedName>
    <definedName function="false" hidden="false" localSheetId="7" name="pot_marg_land_biofuels" vbProcedure="false">nzp_rail_update!#ref!</definedName>
    <definedName function="false" hidden="false" localSheetId="7" name="p_bioe_power" vbProcedure="false">NZP_rail_SE!$C$18:$I$18</definedName>
    <definedName function="false" hidden="false" localSheetId="7" name="p_bioe_residues_growth" vbProcedure="false">NZP_rail_SE!$C$38</definedName>
    <definedName function="false" hidden="false" localSheetId="7" name="p_biofuels_2gen_land_compet" vbProcedure="false">NZP_rail_SE!$C$32</definedName>
    <definedName function="false" hidden="false" localSheetId="7" name="p_biofuels_3gen_land_compet" vbProcedure="false">NZP_rail_SE!$C$34</definedName>
    <definedName function="false" hidden="false" localSheetId="7" name="p_biofuels_marg_land_growth" vbProcedure="false">NZP_rail_SE!$C$40</definedName>
    <definedName function="false" hidden="false" localSheetId="7" name="p_biogas_growth" vbProcedure="false">NZP_rail_SE!$C$42</definedName>
    <definedName function="false" hidden="false" localSheetId="7" name="p_bus_bat" vbProcedure="false">NZP_rail_SE!$C$188:$H$192</definedName>
    <definedName function="false" hidden="false" localSheetId="7" name="p_capital_share" vbProcedure="false">NZP_rail_SE!$F$8</definedName>
    <definedName function="false" hidden="false" localSheetId="7" name="p_CCS" vbProcedure="false">NZP_rail_SE!$C$320:$I$369</definedName>
    <definedName function="false" hidden="false" localSheetId="7" name="p_change_over_hist_max_variation_FEI" vbProcedure="false">NZP_rail_SE!$C$214</definedName>
    <definedName function="false" hidden="false" localSheetId="7" name="P_common_rr_minerals_variation_alt_techn" vbProcedure="false">NZP_rail_SE!$C$301</definedName>
    <definedName function="false" hidden="false" localSheetId="7" name="P_common_rr_minerals_variation_Rest" vbProcedure="false">NZP_rail_SE!$C$303</definedName>
    <definedName function="false" hidden="false" localSheetId="7" name="p_constraint_growth_unconv_gas" vbProcedure="false">NZP_rail_SE!$C$75</definedName>
    <definedName function="false" hidden="false" localSheetId="7" name="p_constraint_growth_unconv_oil" vbProcedure="false">NZP_rail_SE!$C$71</definedName>
    <definedName function="false" hidden="false" localSheetId="7" name="p_CSP_power" vbProcedure="false">NZP_rail_SE!$C$23:$I$23</definedName>
    <definedName function="false" hidden="false" localSheetId="7" name="p_CTL_growth" vbProcedure="false">NZP_rail_SE!$C$78</definedName>
    <definedName function="false" hidden="false" localSheetId="7" name="p_DAC" vbProcedure="false">NZP_rail_SE!$C$422:$I$422</definedName>
    <definedName function="false" hidden="false" localSheetId="7" name="p_ETS" vbProcedure="false">NZP_rail_SE!$C$62:$I$65</definedName>
    <definedName function="false" hidden="false" localSheetId="7" name="p_ev_bat" vbProcedure="false">NZP_rail_SE!$C$183:$H$187</definedName>
    <definedName function="false" hidden="false" localSheetId="7" name="p_geot_heat_growth" vbProcedure="false">NZP_rail_SE!$C$51</definedName>
    <definedName function="false" hidden="false" localSheetId="7" name="p_geot_power" vbProcedure="false">NZP_rail_SE!$C$17:$I$17</definedName>
    <definedName function="false" hidden="false" localSheetId="7" name="p_GTL_growth" vbProcedure="false">NZP_rail_SE!$C$80</definedName>
    <definedName function="false" hidden="false" localSheetId="7" name="p_heavy_trucks_bat" vbProcedure="false">NZP_rail_SE!$C$198:$H$202</definedName>
    <definedName function="false" hidden="false" localSheetId="7" name="p_hydro_power" vbProcedure="false">NZP_rail_SE!$C$16:$I$16</definedName>
    <definedName function="false" hidden="false" localSheetId="7" name="p_labour_share" vbProcedure="false">NZP_rail_SE!$C$8</definedName>
    <definedName function="false" hidden="false" localSheetId="7" name="p_nuclear_scen3_4_variation" vbProcedure="false">NZP_rail_SE!$E$114</definedName>
    <definedName function="false" hidden="false" localSheetId="7" name="p_oceanic_power" vbProcedure="false">NZP_rail_SE!$C$19:$I$19</definedName>
    <definedName function="false" hidden="false" localSheetId="7" name="p_offshore_wind_power" vbProcedure="false">NZP_rail_SE!$C$21:$I$21</definedName>
    <definedName function="false" hidden="false" localSheetId="7" name="p_onshore_wind_power" vbProcedure="false">NZP_rail_SE!$C$20:$I$20</definedName>
    <definedName function="false" hidden="false" localSheetId="7" name="p_PHS_power" vbProcedure="false">NZP_rail_SE!$C$24:$I$24</definedName>
    <definedName function="false" hidden="false" localSheetId="7" name="p_pop_asymptote" vbProcedure="false">nzp_rail_update!#ref!</definedName>
    <definedName function="false" hidden="false" localSheetId="7" name="p_PV_power" vbProcedure="false">NZP_rail_SE!$C$22:$I$22</definedName>
    <definedName function="false" hidden="false" localSheetId="7" name="p_RES_power" vbProcedure="false">NZP_rail_SE!$C$16:$I$23</definedName>
    <definedName function="false" hidden="false" localSheetId="7" name="P_rr_minerals_alt_techn" vbProcedure="false">NZP_rail_SE!$D$281:$D$299</definedName>
    <definedName function="false" hidden="false" localSheetId="7" name="P_rr_minerals_Rest" vbProcedure="false">NZP_rail_SE!$E$281:$E$299</definedName>
    <definedName function="false" hidden="false" localSheetId="7" name="p_share_FEH_vs_FED" vbProcedure="false">NZP_rail_SE!$C$55:$C$57</definedName>
    <definedName function="false" hidden="false" localSheetId="7" name="p_share_FEH_vs_FED_bioE" vbProcedure="false">NZP_rail_SE!$C$58</definedName>
    <definedName function="false" hidden="false" localSheetId="7" name="p_share_gas_elec" vbProcedure="false">NZP_rail_SE!$C$111</definedName>
    <definedName function="false" hidden="false" localSheetId="7" name="p_solar_heat" vbProcedure="false">NZP_rail_SE!$C$50</definedName>
    <definedName function="false" hidden="false" localSheetId="7" name="p_solid_bioe_heat" vbProcedure="false">NZP_rail_SE!$C$52</definedName>
    <definedName function="false" hidden="false" localSheetId="7" name="p_timeseries_gdp_growth" vbProcedure="false">NZP_rail_SE!$C$10:$AL$10</definedName>
    <definedName function="false" hidden="false" localSheetId="7" name="p_timeseries_pop_growth" vbProcedure="false">NZP_rail_SE!$C$4:$AM$4</definedName>
    <definedName function="false" hidden="false" localSheetId="7" name="p_trucks_bat" vbProcedure="false">NZP_rail_SE!$C$193:$H$197</definedName>
    <definedName function="false" hidden="false" localSheetId="7" name="p_waste_growth" vbProcedure="false">NZP_rail_SE!$C$45</definedName>
    <definedName function="false" hidden="false" localSheetId="7" name="RCP_GHG_emissions_select" vbProcedure="false">NZP_rail_SE!$C$310</definedName>
    <definedName function="false" hidden="false" localSheetId="7" name="scarcity_feedback_final_fuel_replacement_flag" vbProcedure="false">NZP_rail_SE!$C$263</definedName>
    <definedName function="false" hidden="false" localSheetId="7" name="sectoral_FEI_evolution_method" vbProcedure="false">NZP_rail_SE!$C$208</definedName>
    <definedName function="false" hidden="false" localSheetId="7" name="select_gdp_evolution" vbProcedure="false">nzp_rail_update!#ref!</definedName>
    <definedName function="false" hidden="false" localSheetId="7" name="select_nuclear_scen" vbProcedure="false">NZP_rail_SE!$B$114</definedName>
    <definedName function="false" hidden="false" localSheetId="7" name="select_pop_evolution" vbProcedure="false">nzp_rail_update!#ref!</definedName>
    <definedName function="false" hidden="false" localSheetId="7" name="sensitivity_to_scarcity_option" vbProcedure="false">NZP_rail_SE!$C$264</definedName>
    <definedName function="false" hidden="false" localSheetId="7" name="sensitivity_to_scarcity_option_H" vbProcedure="false">NZP_rail_SE!$C$268</definedName>
    <definedName function="false" hidden="false" localSheetId="7" name="separate_conv_and_unconv_gas" vbProcedure="false">NZP_rail_SE!$C$74</definedName>
    <definedName function="false" hidden="false" localSheetId="7" name="separate_conv_and_unconv_oil" vbProcedure="false">NZP_rail_SE!$C$70</definedName>
    <definedName function="false" hidden="false" localSheetId="7" name="share_available_roof" vbProcedure="false">NZP_rail_SE!$C$479</definedName>
    <definedName function="false" hidden="false" localSheetId="7" name="share_available_roof_for_rooftop_PV" vbProcedure="false">NZP_rail_SE!$C$480</definedName>
    <definedName function="false" hidden="false" localSheetId="7" name="share_ccs_energy" vbProcedure="false">NZP_rail_SE!$C$371:$I$420</definedName>
    <definedName function="false" hidden="false" localSheetId="7" name="share_cellulosic_biof_vs_bioe_res" vbProcedure="false">NZP_rail_SE!$C$37</definedName>
    <definedName function="false" hidden="false" localSheetId="7" name="share_curtailment" vbProcedure="false">NZP_rail_SE!$C$25:$I$25</definedName>
    <definedName function="false" hidden="false" localSheetId="7" name="share_exports_electricity" vbProcedure="false">NZP_rail_SE!$C$457:$I$457</definedName>
    <definedName function="false" hidden="false" localSheetId="7" name="share_PV_urban_tot_PV" vbProcedure="false">NZP_rail_SE!$C$482</definedName>
    <definedName function="false" hidden="false" localSheetId="7" name="share_roof_solar_thermal" vbProcedure="false">NZP_rail_SE!$C$481</definedName>
    <definedName function="false" hidden="false" localSheetId="7" name="share_RURR_agg_gas_underground" vbProcedure="false">NZP_rail_SE!$C$98</definedName>
    <definedName function="false" hidden="false" localSheetId="7" name="share_RURR_agg_oil_underground" vbProcedure="false">NZP_rail_SE!$C$96</definedName>
    <definedName function="false" hidden="false" localSheetId="7" name="share_RURR_coal_underground" vbProcedure="false">NZP_rail_SE!$C$94</definedName>
    <definedName function="false" hidden="false" localSheetId="7" name="share_RURR_conv_gas_underground" vbProcedure="false">NZP_rail_SE!$C$90</definedName>
    <definedName function="false" hidden="false" localSheetId="7" name="share_RURR_conv_oil_underground" vbProcedure="false">NZP_rail_SE!$C$86</definedName>
    <definedName function="false" hidden="false" localSheetId="7" name="share_RURR_unconv_gas_underground" vbProcedure="false">NZP_rail_SE!$C$92</definedName>
    <definedName function="false" hidden="false" localSheetId="7" name="share_RURR_unconv_oil_underground" vbProcedure="false">NZP_rail_SE!$C$88</definedName>
    <definedName function="false" hidden="false" localSheetId="7" name="share_target_year_oil_for_elec" vbProcedure="false">NZP_rail_SE!$C$108</definedName>
    <definedName function="false" hidden="false" localSheetId="7" name="share_target_year_oil_for_heat" vbProcedure="false">NZP_rail_SE!$C$109</definedName>
    <definedName function="false" hidden="false" localSheetId="7" name="share_trans_loss" vbProcedure="false">NZP_rail_SE!$C$26:$I$26</definedName>
    <definedName function="false" hidden="false" localSheetId="7" name="start_policy_year_agg_gas_underground" vbProcedure="false">NZP_rail_SE!$C$97</definedName>
    <definedName function="false" hidden="false" localSheetId="7" name="start_policy_year_agg_oil_underground" vbProcedure="false">NZP_rail_SE!$C$95</definedName>
    <definedName function="false" hidden="false" localSheetId="7" name="start_policy_year_coal_underground" vbProcedure="false">NZP_rail_SE!$C$93</definedName>
    <definedName function="false" hidden="false" localSheetId="7" name="start_policy_year_conv_gas_underground" vbProcedure="false">NZP_rail_SE!$C$89</definedName>
    <definedName function="false" hidden="false" localSheetId="7" name="start_policy_year_conv_oil_underground" vbProcedure="false">NZP_rail_SE!$C$85</definedName>
    <definedName function="false" hidden="false" localSheetId="7" name="start_policy_year_unconv_gas_underground" vbProcedure="false">NZP_rail_SE!$C$91</definedName>
    <definedName function="false" hidden="false" localSheetId="7" name="start_policy_year_unconv_oil_underground" vbProcedure="false">NZP_rail_SE!$C$87</definedName>
    <definedName function="false" hidden="false" localSheetId="7" name="start_policy_year_unconv_opil_underground" vbProcedure="false">NZP_rail_SE!$C$87</definedName>
    <definedName function="false" hidden="false" localSheetId="7" name="start_year_3gen_cell_biofuels" vbProcedure="false">NZP_rail_SE!$C$33</definedName>
    <definedName function="false" hidden="false" localSheetId="7" name="start_year_bioe_residues_non_biofuels" vbProcedure="false">NZP_rail_SE!$C$36</definedName>
    <definedName function="false" hidden="false" localSheetId="7" name="start_year_biofuels_land_marg" vbProcedure="false">NZP_rail_SE!$C$39</definedName>
    <definedName function="false" hidden="false" localSheetId="7" name="start_year_cell_efficency_PV" vbProcedure="false">NZP_rail_SE!$C$474</definedName>
    <definedName function="false" hidden="false" localSheetId="7" name="start_year_modification_EI" vbProcedure="false">NZP_rail_SE!$C$249</definedName>
    <definedName function="false" hidden="false" localSheetId="7" name="start_year_nuclear_variation_scen3_4" vbProcedure="false">NZP_rail_SE!$E$115</definedName>
    <definedName function="false" hidden="false" localSheetId="7" name="start_year_policies_transport" vbProcedure="false">NZP_rail_SE!$E$122</definedName>
    <definedName function="false" hidden="false" localSheetId="7" name="start_year_policy_phase_out_oil_for_electricity" vbProcedure="false">NZP_rail_SE!$C$104</definedName>
    <definedName function="false" hidden="false" localSheetId="7" name="start_year_policy_phase_out_oil_for_heat" vbProcedure="false">NZP_rail_SE!$C$105</definedName>
    <definedName function="false" hidden="false" localSheetId="7" name="start_year_P_common_rr_minerals_alt_techn" vbProcedure="false">NZP_rail_SE!$C$302</definedName>
    <definedName function="false" hidden="false" localSheetId="7" name="start_year_P_common_rr_minerals_Rest" vbProcedure="false">NZP_rail_SE!$C$304</definedName>
    <definedName function="false" hidden="false" localSheetId="7" name="start_year_p_growth_RES_elec" vbProcedure="false">NZP_rail_SE!$C$15</definedName>
    <definedName function="false" hidden="false" localSheetId="7" name="start_year_p_growth_RES_heat" vbProcedure="false">NZP_rail_SE!$C$48</definedName>
    <definedName function="false" hidden="false" localSheetId="7" name="start_year_P_rr_minerals" vbProcedure="false">NZP_rail_SE!$B$280</definedName>
    <definedName function="false" hidden="false" localSheetId="7" name="start_year_P_urban_land_density" vbProcedure="false">NZP_rail_SE!$C$468</definedName>
    <definedName function="false" hidden="false" localSheetId="7" name="start_year_variation_primary_forest" vbProcedure="false">NZP_rail_SE!$C$466</definedName>
    <definedName function="false" hidden="false" localSheetId="7" name="target_year_asymptote_gdp" vbProcedure="false">nzp_rail_update!#ref!</definedName>
    <definedName function="false" hidden="false" localSheetId="7" name="target_year_asymptote_pop" vbProcedure="false">nzp_rail_update!#ref!</definedName>
    <definedName function="false" hidden="false" localSheetId="7" name="target_year_policy_gas_electricity" vbProcedure="false">NZP_rail_SE!$C$110</definedName>
    <definedName function="false" hidden="false" localSheetId="7" name="target_year_policy_phase_out_oil_electricity" vbProcedure="false">NZP_rail_SE!$C$106</definedName>
    <definedName function="false" hidden="false" localSheetId="7" name="target_year_policy_phase_out_oil_heat" vbProcedure="false">NZP_rail_SE!$C$107</definedName>
    <definedName function="false" hidden="false" localSheetId="7" name="target_year_process_emissions" vbProcedure="false">NZP_rail_SE!$C$425</definedName>
    <definedName function="false" hidden="false" localSheetId="7" name="target_year_p_growth_RES_elec" vbProcedure="false">nzp_rail_update!#ref!</definedName>
    <definedName function="false" hidden="false" localSheetId="7" name="target_year_p_growth_RES_heat" vbProcedure="false">NZP_rail_SE!$C$49</definedName>
    <definedName function="false" hidden="false" localSheetId="7" name="target_year_P_rr_minerals" vbProcedure="false">NZP_rail_SE!$B$279</definedName>
    <definedName function="false" hidden="false" localSheetId="7" name="target_year_P_urban_land_density" vbProcedure="false">NZP_rail_SE!$C$469</definedName>
    <definedName function="false" hidden="false" localSheetId="7" name="targ_year_cell_efficiency_PV" vbProcedure="false">NZP_rail_SE!$C$475</definedName>
    <definedName function="false" hidden="false" localSheetId="7" name="tfin_policy_hh_veh" vbProcedure="false">nzp_rail_update!#ref!</definedName>
    <definedName function="false" hidden="false" localSheetId="7" name="tfin_policy_inland_transp_veh" vbProcedure="false">nzp_rail_update!#ref!</definedName>
    <definedName function="false" hidden="false" localSheetId="7" name="time_afforestation" vbProcedure="false">NZP_rail_SE!$C$433:$X$433</definedName>
    <definedName function="false" hidden="false" localSheetId="7" name="tini_policy_hh_veh" vbProcedure="false">nzp_rail_update!#ref!</definedName>
    <definedName function="false" hidden="false" localSheetId="7" name="tini_policy_inland_transp_veh" vbProcedure="false">nzp_rail_update!#ref!</definedName>
    <definedName function="false" hidden="false" localSheetId="7" name="tkm_share" vbProcedure="false">NZP_rail_SE!$D$123:$J$127</definedName>
    <definedName function="false" hidden="false" localSheetId="7" name="unlimited_coal" vbProcedure="false">nzp_rail_update!#ref!</definedName>
    <definedName function="false" hidden="false" localSheetId="7" name="unlimited_gas" vbProcedure="false">nzp_rail_update!#ref!</definedName>
    <definedName function="false" hidden="false" localSheetId="7" name="unlimited_NRE" vbProcedure="false">nzp_rail_update!#ref!</definedName>
    <definedName function="false" hidden="false" localSheetId="7" name="unlimited_oil" vbProcedure="false">nzp_rail_update!#ref!</definedName>
    <definedName function="false" hidden="false" localSheetId="7" name="unlimited_uranium" vbProcedure="false">nzp_rail_update!#ref!</definedName>
    <definedName function="false" hidden="false" localSheetId="7" name="urban_land_density" vbProcedure="false">NZP_rail_SE!$C$467</definedName>
    <definedName function="false" hidden="false" localSheetId="7" name="variation_primary_forest" vbProcedure="false">NZP_rail_SE!$C$465</definedName>
    <definedName function="false" hidden="false" localSheetId="7" name="years_co2_luc" vbProcedure="false">NZP_rail_SE!$C$429:$I$429</definedName>
    <definedName function="false" hidden="false" localSheetId="7" name="years_pop_growth" vbProcedure="false">NZP_rail_SE!$C$4:$AL$4</definedName>
    <definedName function="false" hidden="false" localSheetId="7" name="year_change_pct_energy_intensity_target" vbProcedure="false">NZP_rail_SE!$C$259</definedName>
    <definedName function="false" hidden="false" localSheetId="7" name="year_customized_gdp_evol" vbProcedure="false">nzp_rail_update!#ref!</definedName>
    <definedName function="false" hidden="false" localSheetId="7" name="year_customized_pop_evol" vbProcedure="false">nzp_rail_update!#ref!</definedName>
    <definedName function="false" hidden="false" localSheetId="7" name="year_ev_bat" vbProcedure="false">NZP_rail_SE!$C$182:$H$182</definedName>
    <definedName function="false" hidden="false" localSheetId="7" name="year_gdp_timeseries" vbProcedure="false">NZP_rail_SE!$C$9:$AL$9</definedName>
    <definedName function="false" hidden="false" localSheetId="7" name="year_net_energy_flux" vbProcedure="false">NZP_rail_SE!$B$446:$H$446</definedName>
    <definedName function="false" hidden="false" localSheetId="7" name="year_policy_change_energy" vbProcedure="false">NZP_rail_SE!$C$228:$AZ$232</definedName>
    <definedName function="false" hidden="false" localSheetId="7" name="Year_policy_share_res_heat" vbProcedure="false">NZP_rail_SE!$C$54</definedName>
    <definedName function="false" hidden="false" localSheetId="7" name="year_policy_to_improve_efficiency" vbProcedure="false">NZP_rail_SE!$C$216:$AZ$220</definedName>
    <definedName function="false" hidden="false" localSheetId="7" name="year_pop_timeseries" vbProcedure="false">NZP_rail_SE!$C$4:$AL$4</definedName>
    <definedName function="false" hidden="false" localSheetId="7" name="year_ref_RURR" vbProcedure="false">NZP_rail_SE!$C$84</definedName>
    <definedName function="false" hidden="false" localSheetId="7" name="year_RES_power" vbProcedure="false">NZP_rail_SE!$C$15:$I$15</definedName>
    <definedName function="false" hidden="false" localSheetId="7" name="year_RURR_coal" vbProcedure="false">NZP_rail_SE!$C$84</definedName>
    <definedName function="false" hidden="false" localSheetId="7" name="year_synthetic" vbProcedure="false">NZP_rail_SE!$C$61:$I$61</definedName>
    <definedName function="false" hidden="false" localSheetId="7" name="year_to_finish_energy_intensity_policies" vbProcedure="false">NZP_rail_SE!$C$240:$AZ$244</definedName>
    <definedName function="false" hidden="false" localSheetId="7" name="year_transport_fuel_share_pkm" vbProcedure="false">NZP_rail_SE!$C$159:$H$159</definedName>
    <definedName function="false" hidden="false" localSheetId="7" name="year_transport_fuel_share_tkm" vbProcedure="false">NZP_rail_SE!$C$137:$H$137</definedName>
    <definedName function="false" hidden="false" localSheetId="7" name="Year_transport_share" vbProcedure="false">NZP_rail_SE!$D$122:$J$122</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Autoria desconeguda</author>
  </authors>
  <commentList>
    <comment ref="A135" authorId="0">
      <text>
        <r>
          <rPr>
            <sz val="10"/>
            <rFont val="Arial"/>
            <family val="2"/>
          </rPr>
          <t xml:space="preserve">Iñigo:
</t>
        </r>
        <r>
          <rPr>
            <sz val="9"/>
            <color rgb="FF000000"/>
            <rFont val="Tahoma"/>
            <family val="2"/>
            <charset val="1"/>
          </rPr>
          <t xml:space="preserve">Policies to reduce oil contribution in electricity linearly following linear decreasing trend</t>
        </r>
      </text>
    </comment>
    <comment ref="A136" authorId="0">
      <text>
        <r>
          <rPr>
            <sz val="10"/>
            <rFont val="Arial"/>
            <family val="2"/>
          </rPr>
          <t xml:space="preserve">Iñigo:
</t>
        </r>
        <r>
          <rPr>
            <sz val="9"/>
            <color rgb="FF000000"/>
            <rFont val="Tahoma"/>
            <family val="2"/>
            <charset val="1"/>
          </rPr>
          <t xml:space="preserve">Policies to reduce oil contribution in heat linearly following linear decreasing trend</t>
        </r>
      </text>
    </comment>
    <comment ref="A247" authorId="0">
      <text>
        <r>
          <rPr>
            <sz val="10"/>
            <rFont val="Arial"/>
            <family val="2"/>
          </rPr>
          <t xml:space="preserve">By default energy instensities of the year 2009</t>
        </r>
      </text>
    </comment>
    <comment ref="A256"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FP207" authorId="0">
      <text>
        <r>
          <rPr>
            <sz val="10"/>
            <rFont val="Arial"/>
            <family val="2"/>
          </rPr>
          <t xml:space="preserve">Iñigo:
</t>
        </r>
        <r>
          <rPr>
            <sz val="9"/>
            <color rgb="FF000000"/>
            <rFont val="Tahoma"/>
            <family val="2"/>
            <charset val="1"/>
          </rPr>
          <t xml:space="preserve">For the initial intensity, WIOD reports 0; however we have included the arbitrary low value "0.001" so this sector also reacts to potential energy scarcities.</t>
        </r>
      </text>
    </comment>
  </commentList>
</comments>
</file>

<file path=xl/comments3.xml><?xml version="1.0" encoding="utf-8"?>
<comments xmlns="http://schemas.openxmlformats.org/spreadsheetml/2006/main" xmlns:xdr="http://schemas.openxmlformats.org/drawingml/2006/spreadsheetDrawing">
  <authors>
    <author>Autoria desconeguda</author>
    <author>tc={97E76C31-BFD1-47AC-BD9B-93BE502F6AA3}</author>
  </authors>
  <commentLis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183" authorId="1">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Xu et al (2020) LFP scenario</t>
        </r>
      </text>
    </comment>
    <comment ref="A263"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430" authorId="0">
      <text>
        <r>
          <rPr>
            <sz val="10"/>
            <rFont val="Arial"/>
            <family val="2"/>
          </rPr>
          <t xml:space="preserve">Iñigo:
</t>
        </r>
        <r>
          <rPr>
            <sz val="9"/>
            <color rgb="FF000000"/>
            <rFont val="Tahoma"/>
            <family val="2"/>
            <charset val="1"/>
          </rPr>
          <t xml:space="preserve">Approximation: cte at 2010 level from 1990 to 2100.</t>
        </r>
      </text>
    </comment>
    <comment ref="A434" authorId="0">
      <text>
        <r>
          <rPr>
            <sz val="10"/>
            <rFont val="Arial"/>
            <family val="2"/>
          </rPr>
          <t xml:space="preserve">Iñigo:
</t>
        </r>
        <r>
          <rPr>
            <sz val="9"/>
            <color rgb="FF000000"/>
            <rFont val="Tahoma"/>
            <family val="2"/>
            <charset val="1"/>
          </rPr>
          <t xml:space="preserve">Nilsson &amp; Schopfhauser (1995)</t>
        </r>
      </text>
    </comment>
  </commentList>
</comments>
</file>

<file path=xl/comments4.xml><?xml version="1.0" encoding="utf-8"?>
<comments xmlns="http://schemas.openxmlformats.org/spreadsheetml/2006/main" xmlns:xdr="http://schemas.openxmlformats.org/drawingml/2006/spreadsheetDrawing">
  <authors>
    <author>Autoria desconeguda</author>
    <author>tc={97E76C31-BFD1-47AC-BD9B-93BE502F6AA3}</author>
  </authors>
  <commentList>
    <comment ref="A60" authorId="0">
      <text>
        <r>
          <rPr>
            <sz val="10"/>
            <rFont val="Arial"/>
            <family val="2"/>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183" authorId="1">
      <text>
        <r>
          <rPr>
            <sz val="10"/>
            <rFont val="Arial"/>
            <family val="2"/>
            <charset val="1"/>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Xu et al (2020) LFP scenario</t>
        </r>
      </text>
    </comment>
    <comment ref="A263" authorId="0">
      <text>
        <r>
          <rPr>
            <sz val="10"/>
            <rFont val="Arial"/>
            <family val="2"/>
            <charset val="1"/>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430" authorId="0">
      <text>
        <r>
          <rPr>
            <sz val="10"/>
            <rFont val="Arial"/>
            <family val="2"/>
            <charset val="1"/>
          </rPr>
          <t xml:space="preserve">Iñigo:
</t>
        </r>
        <r>
          <rPr>
            <sz val="9"/>
            <color rgb="FF000000"/>
            <rFont val="Tahoma"/>
            <family val="2"/>
            <charset val="1"/>
          </rPr>
          <t xml:space="preserve">Approximation: cte at 2010 level from 1990 to 2100.</t>
        </r>
      </text>
    </comment>
    <comment ref="A434" authorId="0">
      <text>
        <r>
          <rPr>
            <sz val="10"/>
            <rFont val="Arial"/>
            <family val="2"/>
            <charset val="1"/>
          </rPr>
          <t xml:space="preserve">Iñigo:
</t>
        </r>
        <r>
          <rPr>
            <sz val="9"/>
            <color rgb="FF000000"/>
            <rFont val="Tahoma"/>
            <family val="2"/>
            <charset val="1"/>
          </rPr>
          <t xml:space="preserve">Nilsson &amp; Schopfhauser (1995)</t>
        </r>
      </text>
    </comment>
  </commentList>
</comments>
</file>

<file path=xl/comments5.xml><?xml version="1.0" encoding="utf-8"?>
<comments xmlns="http://schemas.openxmlformats.org/spreadsheetml/2006/main" xmlns:xdr="http://schemas.openxmlformats.org/drawingml/2006/spreadsheetDrawing">
  <authors>
    <author>Autoria desconeguda</author>
    <author>tc={97E76C31-BFD1-47AC-BD9B-93BE502F6AA3}</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183" authorId="1">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Xu et al (2020) LFP scenario</t>
        </r>
      </text>
    </comment>
    <comment ref="A263"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430" authorId="0">
      <text>
        <r>
          <rPr>
            <sz val="10"/>
            <rFont val="Arial"/>
            <family val="2"/>
          </rPr>
          <t xml:space="preserve">Iñigo:
</t>
        </r>
        <r>
          <rPr>
            <sz val="9"/>
            <color rgb="FF000000"/>
            <rFont val="Tahoma"/>
            <family val="2"/>
            <charset val="1"/>
          </rPr>
          <t xml:space="preserve">Approximation: cte at 2010 level from 1990 to 2100.</t>
        </r>
      </text>
    </comment>
    <comment ref="A434" authorId="0">
      <text>
        <r>
          <rPr>
            <sz val="10"/>
            <rFont val="Arial"/>
            <family val="2"/>
          </rPr>
          <t xml:space="preserve">Iñigo:
</t>
        </r>
        <r>
          <rPr>
            <sz val="9"/>
            <color rgb="FF000000"/>
            <rFont val="Tahoma"/>
            <family val="2"/>
            <charset val="1"/>
          </rPr>
          <t xml:space="preserve">Nilsson &amp; Schopfhauser (1995)</t>
        </r>
      </text>
    </comment>
  </commentList>
</comments>
</file>

<file path=xl/comments6.xml><?xml version="1.0" encoding="utf-8"?>
<comments xmlns="http://schemas.openxmlformats.org/spreadsheetml/2006/main" xmlns:xdr="http://schemas.openxmlformats.org/drawingml/2006/spreadsheetDrawing">
  <authors>
    <author>Autoria desconeguda</author>
    <author>tc={C4632DE5-CD24-417D-9B2E-5C7BDE7B96F3}</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179" authorId="1">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Xu et al (2020) LFP scenario</t>
        </r>
      </text>
    </comment>
    <comment ref="A299"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466" authorId="0">
      <text>
        <r>
          <rPr>
            <sz val="10"/>
            <rFont val="Arial"/>
            <family val="2"/>
          </rPr>
          <t xml:space="preserve">Iñigo:
</t>
        </r>
        <r>
          <rPr>
            <sz val="9"/>
            <color rgb="FF000000"/>
            <rFont val="Tahoma"/>
            <family val="2"/>
            <charset val="1"/>
          </rPr>
          <t xml:space="preserve">Approximation: cte at 2010 level from 1990 to 2100.</t>
        </r>
      </text>
    </comment>
    <comment ref="A470" authorId="0">
      <text>
        <r>
          <rPr>
            <sz val="10"/>
            <rFont val="Arial"/>
            <family val="2"/>
          </rPr>
          <t xml:space="preserve">Iñigo:
</t>
        </r>
        <r>
          <rPr>
            <sz val="9"/>
            <color rgb="FF000000"/>
            <rFont val="Tahoma"/>
            <family val="2"/>
            <charset val="1"/>
          </rPr>
          <t xml:space="preserve">Nilsson &amp; Schopfhauser (1995)</t>
        </r>
      </text>
    </comment>
  </commentList>
</comments>
</file>

<file path=xl/comments7.xml><?xml version="1.0" encoding="utf-8"?>
<comments xmlns="http://schemas.openxmlformats.org/spreadsheetml/2006/main" xmlns:xdr="http://schemas.openxmlformats.org/drawingml/2006/spreadsheetDrawing">
  <authors>
    <author>Autoria desconeguda</author>
    <author>tc={794473AF-BC7F-4206-8AE4-0BC43EC1838C}</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183" authorId="1">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Xu et al (2020) LFP scenario</t>
        </r>
      </text>
    </comment>
    <comment ref="A263"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430" authorId="0">
      <text>
        <r>
          <rPr>
            <sz val="10"/>
            <rFont val="Arial"/>
            <family val="2"/>
          </rPr>
          <t xml:space="preserve">Iñigo:
</t>
        </r>
        <r>
          <rPr>
            <sz val="9"/>
            <color rgb="FF000000"/>
            <rFont val="Tahoma"/>
            <family val="2"/>
            <charset val="1"/>
          </rPr>
          <t xml:space="preserve">Approximation: cte at 2010 level from 1990 to 2100.</t>
        </r>
      </text>
    </comment>
    <comment ref="A434" authorId="0">
      <text>
        <r>
          <rPr>
            <sz val="10"/>
            <rFont val="Arial"/>
            <family val="2"/>
          </rPr>
          <t xml:space="preserve">Iñigo:
</t>
        </r>
        <r>
          <rPr>
            <sz val="9"/>
            <color rgb="FF000000"/>
            <rFont val="Tahoma"/>
            <family val="2"/>
            <charset val="1"/>
          </rPr>
          <t xml:space="preserve">Nilsson &amp; Schopfhauser (1995)</t>
        </r>
      </text>
    </comment>
  </commentList>
</comments>
</file>

<file path=xl/comments8.xml><?xml version="1.0" encoding="utf-8"?>
<comments xmlns="http://schemas.openxmlformats.org/spreadsheetml/2006/main" xmlns:xdr="http://schemas.openxmlformats.org/drawingml/2006/spreadsheetDrawing">
  <authors>
    <author>Autoria desconeguda</author>
    <author>tc={794473AF-BC7F-4206-8AE4-0BC43EC1838C}</author>
  </authors>
  <commentList>
    <comment ref="A2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60"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Figure 1.23
Respuesta:
    Figure 4.20!
Respuesta:
    Figure 4.23.</t>
        </r>
      </text>
    </comment>
    <comment ref="A183" authorId="1">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Xu et al (2020) LFP scenario</t>
        </r>
      </text>
    </comment>
    <comment ref="A263" authorId="0">
      <text>
        <r>
          <rPr>
            <sz val="10"/>
            <rFont val="Arial"/>
            <family val="2"/>
          </rPr>
          <t xml:space="preserve">Iñigo:
</t>
        </r>
        <r>
          <rPr>
            <sz val="9"/>
            <color rgb="FF000000"/>
            <rFont val="Tahoma"/>
            <family val="2"/>
            <charset val="1"/>
          </rPr>
          <t xml:space="preserve">To activate scarcity feedback PRMIARY fuel replacement: "switch scarcity-PS substit"To activate scarcity feedback PRMIARY fuel replacement: "switch scarcity-PS substit"</t>
        </r>
      </text>
    </comment>
    <comment ref="A430" authorId="0">
      <text>
        <r>
          <rPr>
            <sz val="10"/>
            <rFont val="Arial"/>
            <family val="2"/>
          </rPr>
          <t xml:space="preserve">Iñigo:
</t>
        </r>
        <r>
          <rPr>
            <sz val="9"/>
            <color rgb="FF000000"/>
            <rFont val="Tahoma"/>
            <family val="2"/>
            <charset val="1"/>
          </rPr>
          <t xml:space="preserve">Approximation: cte at 2010 level from 1990 to 2100.</t>
        </r>
      </text>
    </comment>
    <comment ref="A434" authorId="0">
      <text>
        <r>
          <rPr>
            <sz val="10"/>
            <rFont val="Arial"/>
            <family val="2"/>
          </rPr>
          <t xml:space="preserve">Iñigo:
</t>
        </r>
        <r>
          <rPr>
            <sz val="9"/>
            <color rgb="FF000000"/>
            <rFont val="Tahoma"/>
            <family val="2"/>
            <charset val="1"/>
          </rPr>
          <t xml:space="preserve">Nilsson &amp; Schopfhauser (1995)</t>
        </r>
      </text>
    </comment>
  </commentList>
</comments>
</file>

<file path=xl/sharedStrings.xml><?xml version="1.0" encoding="utf-8"?>
<sst xmlns="http://schemas.openxmlformats.org/spreadsheetml/2006/main" count="8446" uniqueCount="740">
  <si>
    <t xml:space="preserve">File overview</t>
  </si>
  <si>
    <t xml:space="preserve">        Scenario </t>
  </si>
  <si>
    <t xml:space="preserve">Net Zero Pathway (NZP)</t>
  </si>
  <si>
    <t xml:space="preserve">        Brief description </t>
  </si>
  <si>
    <t xml:space="preserve">Scenario that reaches net zero emissions by 2050</t>
  </si>
  <si>
    <t xml:space="preserve">        Geograpical coverage</t>
  </si>
  <si>
    <t xml:space="preserve">European Union (EU) - 27</t>
  </si>
  <si>
    <t xml:space="preserve">        Status</t>
  </si>
  <si>
    <t xml:space="preserve">First draft</t>
  </si>
  <si>
    <t xml:space="preserve">        Dissemination level</t>
  </si>
  <si>
    <t xml:space="preserve">Internal</t>
  </si>
  <si>
    <t xml:space="preserve">        Released</t>
  </si>
  <si>
    <t xml:space="preserve">        Authors</t>
  </si>
  <si>
    <t xml:space="preserve">File structure</t>
  </si>
  <si>
    <t xml:space="preserve">        Readme</t>
  </si>
  <si>
    <t xml:space="preserve">        Info input variables  &lt;-- needs to be edited (to be discussed)</t>
  </si>
  <si>
    <t xml:space="preserve">        Net Zero Pathway</t>
  </si>
  <si>
    <t xml:space="preserve">        User defined scenario &lt;-- needs to be edited (to be discussed)</t>
  </si>
  <si>
    <t xml:space="preserve">Additional information</t>
  </si>
  <si>
    <t xml:space="preserve">        About the scenario</t>
  </si>
  <si>
    <t xml:space="preserve">"Net zero pathway (NZP) technical overview"</t>
  </si>
  <si>
    <t xml:space="preserve">        About the model</t>
  </si>
  <si>
    <t xml:space="preserve">Model documentation</t>
  </si>
  <si>
    <t xml:space="preserve">        Other</t>
  </si>
  <si>
    <t xml:space="preserve">Please, contact ...</t>
  </si>
  <si>
    <t xml:space="preserve">Name of simulated scenario</t>
  </si>
  <si>
    <t xml:space="preserve">Trend demand (all sectors)</t>
  </si>
  <si>
    <t xml:space="preserve">P labor share 2050</t>
  </si>
  <si>
    <t xml:space="preserve">Dmnl</t>
  </si>
  <si>
    <t xml:space="preserve">Labour share in 2050</t>
  </si>
  <si>
    <t xml:space="preserve">P GDP</t>
  </si>
  <si>
    <t xml:space="preserve">P desired annual GDPpc growth rate select option</t>
  </si>
  <si>
    <t xml:space="preserve">Selection of GDPpc growth option</t>
  </si>
  <si>
    <t xml:space="preserve">0. SSP2</t>
  </si>
  <si>
    <t xml:space="preserve">Always 2 in this cell</t>
  </si>
  <si>
    <t xml:space="preserve">1. Timeseries</t>
  </si>
  <si>
    <t xml:space="preserve">Year</t>
  </si>
  <si>
    <t xml:space="preserve">1/Year</t>
  </si>
  <si>
    <t xml:space="preserve">GDPpc growth annual timeseries option</t>
  </si>
  <si>
    <t xml:space="preserve">2. From customized year, set annual constant variation</t>
  </si>
  <si>
    <t xml:space="preserve">From year:</t>
  </si>
  <si>
    <t xml:space="preserve">Year start custimized GDPpc growth</t>
  </si>
  <si>
    <t xml:space="preserve">Constant annual variation (1/Year):</t>
  </si>
  <si>
    <t xml:space="preserve">GDPpc growth</t>
  </si>
  <si>
    <t xml:space="preserve">3. From customized year, set asymptote target</t>
  </si>
  <si>
    <t xml:space="preserve">asymptote (GDPpc)</t>
  </si>
  <si>
    <t xml:space="preserve">GDPpc desired in target year</t>
  </si>
  <si>
    <t xml:space="preserve">Target year asymptote</t>
  </si>
  <si>
    <t xml:space="preserve">Population</t>
  </si>
  <si>
    <t xml:space="preserve">P annual population growth rate select option</t>
  </si>
  <si>
    <t xml:space="preserve">Selection of population frowth option</t>
  </si>
  <si>
    <t xml:space="preserve">0. Select SSP projection [write "SSPi", i:1...5]</t>
  </si>
  <si>
    <t xml:space="preserve">SSP option (i=1…5)</t>
  </si>
  <si>
    <t xml:space="preserve">Population growth annual timseries option</t>
  </si>
  <si>
    <t xml:space="preserve">Year start custimized population</t>
  </si>
  <si>
    <t xml:space="preserve">Population growth</t>
  </si>
  <si>
    <t xml:space="preserve">asymptote (million people)</t>
  </si>
  <si>
    <t xml:space="preserve">Population desired in target year</t>
  </si>
  <si>
    <t xml:space="preserve">Nuclear</t>
  </si>
  <si>
    <t xml:space="preserve">Selection of nuclear scenario</t>
  </si>
  <si>
    <t xml:space="preserve">1. Constant power capacity at current levels</t>
  </si>
  <si>
    <t xml:space="preserve">Selection of the nuclear scenario in "inputs.xlsx"</t>
  </si>
  <si>
    <t xml:space="preserve">2. No more nuclear installed, current capacity depreciates</t>
  </si>
  <si>
    <t xml:space="preserve">3. Growth of nuclear power</t>
  </si>
  <si>
    <t xml:space="preserve">4. Phase-out of nuclear power</t>
  </si>
  <si>
    <t xml:space="preserve">P nuclear scen3-4 (%annual variation)</t>
  </si>
  <si>
    <t xml:space="preserve">Annual variation of new nuclear power plants (scenarios 3 and 4 of nuclear evolution) from the year "start year nuclear growth scen3-4".</t>
  </si>
  <si>
    <t xml:space="preserve">start year nuclear variation scen3-4</t>
  </si>
  <si>
    <t xml:space="preserve">Start year of variation of nuclear power plants (Nuclear scenarios 3 and 4).</t>
  </si>
  <si>
    <t xml:space="preserve">Techno-ecological potential electric RES</t>
  </si>
  <si>
    <t xml:space="preserve">Solar PV efficiency</t>
  </si>
  <si>
    <t xml:space="preserve">max hydro </t>
  </si>
  <si>
    <t xml:space="preserve">TWe</t>
  </si>
  <si>
    <t xml:space="preserve">Techno-ecological potential of hydro </t>
  </si>
  <si>
    <t xml:space="preserve">Cell efficiency solar PV in target year</t>
  </si>
  <si>
    <t xml:space="preserve">Average solar irradiance</t>
  </si>
  <si>
    <t xml:space="preserve">We/m2</t>
  </si>
  <si>
    <t xml:space="preserve">max PE geot-elec</t>
  </si>
  <si>
    <t xml:space="preserve">TWth</t>
  </si>
  <si>
    <t xml:space="preserve">Share of geothermal for electricity in relation to the total potential of geothermal (including thermal uses).</t>
  </si>
  <si>
    <t xml:space="preserve">Start year cell efficiency solar PV</t>
  </si>
  <si>
    <t xml:space="preserve">max potential PHS</t>
  </si>
  <si>
    <t xml:space="preserve">Techno-ecological potential of PHS</t>
  </si>
  <si>
    <t xml:space="preserve">Target year cell efficiency solar PV</t>
  </si>
  <si>
    <t xml:space="preserve">max oceanic </t>
  </si>
  <si>
    <t xml:space="preserve">Techno-ecological potential of oceanic</t>
  </si>
  <si>
    <t xml:space="preserve">Solar PV and heat potential in urban areas</t>
  </si>
  <si>
    <t xml:space="preserve">max onshore wind </t>
  </si>
  <si>
    <t xml:space="preserve">Techno-ecological potential of onshore wind</t>
  </si>
  <si>
    <t xml:space="preserve">share available roof over total urban land</t>
  </si>
  <si>
    <t xml:space="preserve">max offshore wind </t>
  </si>
  <si>
    <t xml:space="preserve">Techno-ecological potential of offshore wind</t>
  </si>
  <si>
    <t xml:space="preserve">share of available roof for rooftop PV</t>
  </si>
  <si>
    <t xml:space="preserve">share of available roof for solar thermal</t>
  </si>
  <si>
    <t xml:space="preserve">Projection electric RES</t>
  </si>
  <si>
    <t xml:space="preserve">Efficiency improvement RES elec</t>
  </si>
  <si>
    <t xml:space="preserve">P hydro growth</t>
  </si>
  <si>
    <t xml:space="preserve">annual growth%</t>
  </si>
  <si>
    <t xml:space="preserve">Annual growth in energy output demand depending on the policy of the scenario.</t>
  </si>
  <si>
    <t xml:space="preserve">Start year P growth RES elec</t>
  </si>
  <si>
    <t xml:space="preserve">Start year of growth in renewable electric sources</t>
  </si>
  <si>
    <t xml:space="preserve">Cell efficiency of solar PV in the target year marked below</t>
  </si>
  <si>
    <t xml:space="preserve">P geot-elec growth</t>
  </si>
  <si>
    <t xml:space="preserve">Target year P growth RES elec</t>
  </si>
  <si>
    <t xml:space="preserve">Targe year in RES electric growth defined by scenario</t>
  </si>
  <si>
    <t xml:space="preserve">Start year variation cell efficiency solar PV</t>
  </si>
  <si>
    <t xml:space="preserve">P solid bioE-elec growth</t>
  </si>
  <si>
    <t xml:space="preserve">Target year variation cell efficiency solar PV</t>
  </si>
  <si>
    <t xml:space="preserve">P oceanic</t>
  </si>
  <si>
    <t xml:space="preserve">P share installed PV urban vs tot PV</t>
  </si>
  <si>
    <t xml:space="preserve">P onshore wind</t>
  </si>
  <si>
    <t xml:space="preserve">Share of available roof over total urban area</t>
  </si>
  <si>
    <t xml:space="preserve">P wind offshore</t>
  </si>
  <si>
    <t xml:space="preserve">P PHS</t>
  </si>
  <si>
    <t xml:space="preserve">share of available roof for rooftops for PV</t>
  </si>
  <si>
    <t xml:space="preserve">Share of avaiable roof for PV panels over total available roof</t>
  </si>
  <si>
    <t xml:space="preserve">P solar PV</t>
  </si>
  <si>
    <t xml:space="preserve">P CSP</t>
  </si>
  <si>
    <t xml:space="preserve">share installed PV urban vs tot PV</t>
  </si>
  <si>
    <t xml:space="preserve">Share of installed PV in urban areas in relation to the total PV installled</t>
  </si>
  <si>
    <t xml:space="preserve">Techno-ecological potential BioEnergy</t>
  </si>
  <si>
    <t xml:space="preserve">Max NPP potential BioE residues</t>
  </si>
  <si>
    <t xml:space="preserve">EJ/Year</t>
  </si>
  <si>
    <t xml:space="preserve">Sustainable potential NPP residues of bioenergy for other uses than biofuels.</t>
  </si>
  <si>
    <t xml:space="preserve">Additional land compet available for biofuels</t>
  </si>
  <si>
    <t xml:space="preserve">Mha</t>
  </si>
  <si>
    <t xml:space="preserve">Available land for biofuels in competition with other uses depending on the scenario.</t>
  </si>
  <si>
    <t xml:space="preserve">Potential marginal land available for biofuels</t>
  </si>
  <si>
    <t xml:space="preserve">Marginal land available forbiofuels without competing with other uses depending on the scenario.</t>
  </si>
  <si>
    <t xml:space="preserve">Projection BioEnergy</t>
  </si>
  <si>
    <t xml:space="preserve">P biofuels 2gen land compet</t>
  </si>
  <si>
    <t xml:space="preserve">Annual growth in energy hectares occupied depending on the policy of the scenario.</t>
  </si>
  <si>
    <t xml:space="preserve">start year biofuels land marg </t>
  </si>
  <si>
    <t xml:space="preserve">First year when the technology "P biofuels land marg" is available.</t>
  </si>
  <si>
    <t xml:space="preserve">start year 3gen cellulosic biofuels</t>
  </si>
  <si>
    <t xml:space="preserve">First year when 3rd generation biofuels are available.</t>
  </si>
  <si>
    <t xml:space="preserve">P biofuels land marg</t>
  </si>
  <si>
    <t xml:space="preserve">P biofuels 3gen land compet</t>
  </si>
  <si>
    <t xml:space="preserve">start year BioE residues for non-biofuels</t>
  </si>
  <si>
    <t xml:space="preserve">First year when the technology is available.</t>
  </si>
  <si>
    <t xml:space="preserve">share residues for cellulosic biofuels vs non-biofuels</t>
  </si>
  <si>
    <t xml:space="preserve">Share bioenergy residues potential allocated to cellulosic biofuels production.</t>
  </si>
  <si>
    <t xml:space="preserve">P bioE residues</t>
  </si>
  <si>
    <t xml:space="preserve">Biogas</t>
  </si>
  <si>
    <t xml:space="preserve">Waste</t>
  </si>
  <si>
    <t xml:space="preserve">Max PE biogas</t>
  </si>
  <si>
    <t xml:space="preserve">EJ</t>
  </si>
  <si>
    <t xml:space="preserve">Techno-ecological potential of biogas</t>
  </si>
  <si>
    <t xml:space="preserve">max PE waste</t>
  </si>
  <si>
    <t xml:space="preserve">Techno-ecological potential of waste</t>
  </si>
  <si>
    <t xml:space="preserve">P biogas</t>
  </si>
  <si>
    <t xml:space="preserve">P waste change</t>
  </si>
  <si>
    <t xml:space="preserve">Techno-ecological potential RES for heat</t>
  </si>
  <si>
    <t xml:space="preserve">FE solar thermal potential</t>
  </si>
  <si>
    <t xml:space="preserve">Techno-ecological potential of solar thermal</t>
  </si>
  <si>
    <t xml:space="preserve">Geot PE potential for heat TWth</t>
  </si>
  <si>
    <t xml:space="preserve">Techno-ecological potential of geot heat thermal</t>
  </si>
  <si>
    <t xml:space="preserve">Projection RES for heat</t>
  </si>
  <si>
    <t xml:space="preserve">Start year P growth RES heat</t>
  </si>
  <si>
    <t xml:space="preserve">Start year of growth in renewable heat sources</t>
  </si>
  <si>
    <t xml:space="preserve">Target year P growth RES heat</t>
  </si>
  <si>
    <t xml:space="preserve">P solar for heat</t>
  </si>
  <si>
    <t xml:space="preserve">P geothermal for heat</t>
  </si>
  <si>
    <t xml:space="preserve">P solid bioE for heat</t>
  </si>
  <si>
    <t xml:space="preserve">Afforestation</t>
  </si>
  <si>
    <t xml:space="preserve">Activate afforestation program (1=Y;0=N)</t>
  </si>
  <si>
    <t xml:space="preserve">1. Activated; 2. Not activated.</t>
  </si>
  <si>
    <t xml:space="preserve">Resources</t>
  </si>
  <si>
    <t xml:space="preserve">Oil</t>
  </si>
  <si>
    <t xml:space="preserve">Separate conv and unconv oil? (1=Y;0=N)</t>
  </si>
  <si>
    <t xml:space="preserve">Switch to disaggregate between conventional and unconventional fuel: "1" = disaggregation, "0" = conv+unconv aggregated (all the oil flows then through the right side of this view, i.e. the "conventional oil" modelling side).</t>
  </si>
  <si>
    <t xml:space="preserve">Unlimited oil? (1=Y;0=N)</t>
  </si>
  <si>
    <t xml:space="preserve">Switch to consider if oil is unlimited (1), or if it is limited (0). If limited then the available depletion curves are considered.</t>
  </si>
  <si>
    <t xml:space="preserve">Selection of conv oil curve
</t>
  </si>
  <si>
    <t xml:space="preserve">1. Maggio12 middle</t>
  </si>
  <si>
    <t xml:space="preserve">Select from the left</t>
  </si>
  <si>
    <t xml:space="preserve">2. Maggio12 High</t>
  </si>
  <si>
    <t xml:space="preserve">3. Maggio12 Low</t>
  </si>
  <si>
    <t xml:space="preserve">4. User defined in '139A'</t>
  </si>
  <si>
    <t xml:space="preserve">Selection of unconv oil curve</t>
  </si>
  <si>
    <t xml:space="preserve">1. Mohr15 BG</t>
  </si>
  <si>
    <t xml:space="preserve">2. Mohr15 Low</t>
  </si>
  <si>
    <t xml:space="preserve">3. Mohr15 High</t>
  </si>
  <si>
    <t xml:space="preserve">4. User defined in '141A'</t>
  </si>
  <si>
    <t xml:space="preserve">Selection of total oil curve</t>
  </si>
  <si>
    <t xml:space="preserve">1.Laherrère 2006</t>
  </si>
  <si>
    <t xml:space="preserve">2.User defined in '143A'</t>
  </si>
  <si>
    <t xml:space="preserve">Selection constraint extraction unconv oil</t>
  </si>
  <si>
    <t xml:space="preserve">1. User constant (annual growth%)</t>
  </si>
  <si>
    <t xml:space="preserve">User-defined annual extraction growth constraint path as a function of time for unconventional oil.</t>
  </si>
  <si>
    <t xml:space="preserve">Write "1" or "2"</t>
  </si>
  <si>
    <t xml:space="preserve">2. User defined as function of time '161A'</t>
  </si>
  <si>
    <t xml:space="preserve">Gas</t>
  </si>
  <si>
    <t xml:space="preserve">Separate conv and unconv gas? (1=Y;0=N)</t>
  </si>
  <si>
    <t xml:space="preserve">Switch to disaggregate between conventional and unconventional fuel: "1" = disaggregation, "0" = conv+unconv aggregated (all the gas flows then through the right side of this view, i.e. the "conventional gas" modelling side).</t>
  </si>
  <si>
    <t xml:space="preserve">Unlimited gas? (1=Y;0=N)</t>
  </si>
  <si>
    <t xml:space="preserve">Switch to consider if gas is unlimited (1), or if it is limited (0). If limited then the available depletion curves are considered.</t>
  </si>
  <si>
    <t xml:space="preserve">Selection of conv gas curve
</t>
  </si>
  <si>
    <t xml:space="preserve">1. BG Mohr15</t>
  </si>
  <si>
    <t xml:space="preserve">2. Low Mohr15</t>
  </si>
  <si>
    <t xml:space="preserve">3. High Mohr15</t>
  </si>
  <si>
    <t xml:space="preserve">4. User defined in '146A'</t>
  </si>
  <si>
    <t xml:space="preserve">Selection of unconv gas curve</t>
  </si>
  <si>
    <t xml:space="preserve">4. User defined in '148A'</t>
  </si>
  <si>
    <t xml:space="preserve">Selection of total gas curve</t>
  </si>
  <si>
    <t xml:space="preserve">1.Laherrére10</t>
  </si>
  <si>
    <t xml:space="preserve">2.Mohr12 BG</t>
  </si>
  <si>
    <t xml:space="preserve">3.User defined in '150A'</t>
  </si>
  <si>
    <t xml:space="preserve">Selection constraint extraction unconv gas</t>
  </si>
  <si>
    <t xml:space="preserve">User-defined annual extraction growth constraint path as a function of time for unconventional gas.</t>
  </si>
  <si>
    <t xml:space="preserve">2. User defined as function of time '163A'</t>
  </si>
  <si>
    <t xml:space="preserve">Coal</t>
  </si>
  <si>
    <t xml:space="preserve">Unlimited coal? (1=Y;0=N)</t>
  </si>
  <si>
    <t xml:space="preserve">Switch to consider if coal is unlimited (1), or if it is limited (0). If limited then the available depletion curves are considered.</t>
  </si>
  <si>
    <t xml:space="preserve">Selection of coal curve</t>
  </si>
  <si>
    <t xml:space="preserve">1. Mohr12 high</t>
  </si>
  <si>
    <t xml:space="preserve">5. User defined in '153A'</t>
  </si>
  <si>
    <t xml:space="preserve">Select from the right</t>
  </si>
  <si>
    <t xml:space="preserve">2. Mohr15 low</t>
  </si>
  <si>
    <t xml:space="preserve">3. Mohr15 BG</t>
  </si>
  <si>
    <t xml:space="preserve">4. Mohr15 high</t>
  </si>
  <si>
    <t xml:space="preserve">Uranium</t>
  </si>
  <si>
    <t xml:space="preserve">Unlimited uranium? (1=Y;0=N)</t>
  </si>
  <si>
    <t xml:space="preserve">Switch to consider if uranium is unlimited (1), or if it is limited (0). If limited then the available depletion curves are considered.</t>
  </si>
  <si>
    <t xml:space="preserve">Selection of uranium curve</t>
  </si>
  <si>
    <t xml:space="preserve">1.EWG13</t>
  </si>
  <si>
    <t xml:space="preserve">2.Zittel12</t>
  </si>
  <si>
    <t xml:space="preserve">3.User defined in '156A'</t>
  </si>
  <si>
    <t xml:space="preserve">CTL</t>
  </si>
  <si>
    <t xml:space="preserve">P CTL (annual growth%)</t>
  </si>
  <si>
    <t xml:space="preserve">GTL</t>
  </si>
  <si>
    <t xml:space="preserve">P GTL (annual growth%)</t>
  </si>
  <si>
    <t xml:space="preserve">Climate</t>
  </si>
  <si>
    <t xml:space="preserve">CC impacts</t>
  </si>
  <si>
    <t xml:space="preserve">Activate ELF?  (1=Y;0=N)</t>
  </si>
  <si>
    <t xml:space="preserve">Active/deactivate the energy loss function: (1) activate; (0) not active</t>
  </si>
  <si>
    <t xml:space="preserve">Warning: leaving fossil fuels in the ground*</t>
  </si>
  <si>
    <t xml:space="preserve">Conventional oil</t>
  </si>
  <si>
    <t xml:space="preserve">Start policy (Year)</t>
  </si>
  <si>
    <t xml:space="preserve">Year start policy of leaving fossil fuels in the ground</t>
  </si>
  <si>
    <t xml:space="preserve">Total aggregated oil</t>
  </si>
  <si>
    <t xml:space="preserve">RURR to leave underground (as a share of RURR in 2015)</t>
  </si>
  <si>
    <t xml:space="preserve">Share of RURR to leave underground vs RURR in 2015</t>
  </si>
  <si>
    <t xml:space="preserve">Unconventional oil</t>
  </si>
  <si>
    <t xml:space="preserve">Conventional gas</t>
  </si>
  <si>
    <t xml:space="preserve">Total aggregated gas</t>
  </si>
  <si>
    <t xml:space="preserve">Unconventional gas</t>
  </si>
  <si>
    <t xml:space="preserve">*If oil is modeled at aggregated level (conventional + unconventional), then the restriction should be placed only for conventional oil. The same applies for gas.</t>
  </si>
  <si>
    <t xml:space="preserve">Policies to reduce oil contribution in heat and electricity linearly</t>
  </si>
  <si>
    <t xml:space="preserve">Phase-out oil for electricity? (1: YES; 0: constant current share)</t>
  </si>
  <si>
    <t xml:space="preserve">Select yes or no policies to reduce oil contribution in heat and electricity linearly following linear decreasing trend</t>
  </si>
  <si>
    <t xml:space="preserve">start year policy phase-out oil for electricity</t>
  </si>
  <si>
    <t xml:space="preserve">Year start policy phase-out for electricity</t>
  </si>
  <si>
    <t xml:space="preserve">target year policy phase-out oil for electricity</t>
  </si>
  <si>
    <t xml:space="preserve">Year target policy phase-out for electricity</t>
  </si>
  <si>
    <t xml:space="preserve">Share in target year oil for elec</t>
  </si>
  <si>
    <t xml:space="preserve">Phase-out oil for heat? (1: YES; 0: constant current share)</t>
  </si>
  <si>
    <t xml:space="preserve">start year policy phase-out oil for heat</t>
  </si>
  <si>
    <t xml:space="preserve">Year start policy phase-out for heat</t>
  </si>
  <si>
    <t xml:space="preserve">target year policy phase-out oil for heat</t>
  </si>
  <si>
    <t xml:space="preserve">Year target policy phase-out for heat</t>
  </si>
  <si>
    <t xml:space="preserve">Share in target year oil for heat</t>
  </si>
  <si>
    <t xml:space="preserve">Transportation</t>
  </si>
  <si>
    <t xml:space="preserve">Activate policy HOUSEHOLDS transport </t>
  </si>
  <si>
    <t xml:space="preserve">Activate policy of alternative transport in households starting in T ini ending in T fin (1=YES /0= NO)</t>
  </si>
  <si>
    <t xml:space="preserve">Activate policy INLAND transport </t>
  </si>
  <si>
    <t xml:space="preserve">Activate policy of alternative transport in inland transportation starting in T ini ending in T fin (1=YES /0= NO)</t>
  </si>
  <si>
    <t xml:space="preserve">T ini policy HOUSEHOLDS vehcicles</t>
  </si>
  <si>
    <t xml:space="preserve">Year when policy of alternative households transport starts</t>
  </si>
  <si>
    <t xml:space="preserve">T fin policy HOUSEHOLD vehicles </t>
  </si>
  <si>
    <t xml:space="preserve">Year when policy of alternative househods transport finishes and policy is reached</t>
  </si>
  <si>
    <t xml:space="preserve">T ini policy INLAND transp vehicles</t>
  </si>
  <si>
    <t xml:space="preserve">Year when policy of alternative inland transport starts</t>
  </si>
  <si>
    <t xml:space="preserve">T fin policy INLAND transp vehicles</t>
  </si>
  <si>
    <t xml:space="preserve">Year when policy of alternative inland transport finishes and policy is reached</t>
  </si>
  <si>
    <t xml:space="preserve">Households transport policies, desired share of each vehicle  in T fin relative to its type (2w or 4w)  (alternative 4wheelers policies must add &lt;=1, 2wheeler electric policy must be&lt;=1)</t>
  </si>
  <si>
    <t xml:space="preserve">Policy electric household 4wheeler vehicle Tfin</t>
  </si>
  <si>
    <t xml:space="preserve">desired share of electric 4wheeler vehicles in Tfin relative to its type</t>
  </si>
  <si>
    <t xml:space="preserve">TYPES OF HOUSEHOLD VEHICLES</t>
  </si>
  <si>
    <t xml:space="preserve">Policy hybrid household 4w vehicle Tfin</t>
  </si>
  <si>
    <t xml:space="preserve">desired share of hybrid 4wheeler vehicles in Tfin relative to its type</t>
  </si>
  <si>
    <t xml:space="preserve">4wheeler electric= batery electric vehicles+plug in hybrids</t>
  </si>
  <si>
    <t xml:space="preserve">Policy gas household vehicle 4w Tfin</t>
  </si>
  <si>
    <t xml:space="preserve">desired share of gas 4wheeler vehicles in Tfin relative to its type</t>
  </si>
  <si>
    <t xml:space="preserve">4wheeler hybrid= non plug in hybrids</t>
  </si>
  <si>
    <t xml:space="preserve">Policy electric 2wheeler h. Tfin</t>
  </si>
  <si>
    <t xml:space="preserve">desired share of electric 2wheeler vehicles in Tfin relative to its type</t>
  </si>
  <si>
    <t xml:space="preserve">4wheeler gas= natural gas and LPG vehicles</t>
  </si>
  <si>
    <t xml:space="preserve">Policy change to 2wheeler h. Tfin</t>
  </si>
  <si>
    <t xml:space="preserve">desired share of 2wheels household vehicles in Tfin </t>
  </si>
  <si>
    <t xml:space="preserve">2wheeler elec= electric 2 and 2 wheelers</t>
  </si>
  <si>
    <t xml:space="preserve">Inland transport sector policies, desired share of each alternative vehicle  in T fin  relative to its type (HV, LV, bus, train)</t>
  </si>
  <si>
    <t xml:space="preserve">Every type maximun share =1</t>
  </si>
  <si>
    <t xml:space="preserve">Policy hybrid HV Tfin</t>
  </si>
  <si>
    <t xml:space="preserve">desired share of hibrid HV vehicles in Tfin relative to its type</t>
  </si>
  <si>
    <t xml:space="preserve">TYPES OF INLAND TRANSPORT SECTOR VEHICLES</t>
  </si>
  <si>
    <t xml:space="preserve">Policy gas HV Tfin</t>
  </si>
  <si>
    <t xml:space="preserve">desired share of gas HV vehicles in Tfin  relative to its type</t>
  </si>
  <si>
    <t xml:space="preserve">HV= heavy vehicles</t>
  </si>
  <si>
    <t xml:space="preserve">Policy electric LV Tfin</t>
  </si>
  <si>
    <t xml:space="preserve">desired share of electric LV vehicles in Tfin relative to its type</t>
  </si>
  <si>
    <t xml:space="preserve">LV= light cargo vehicles</t>
  </si>
  <si>
    <t xml:space="preserve">Policy hybrid LV Tfin</t>
  </si>
  <si>
    <t xml:space="preserve">desired share of hibrid LV vehicles in Tfin relative to its type</t>
  </si>
  <si>
    <t xml:space="preserve">bus= buses and coaches (urban and non urban)</t>
  </si>
  <si>
    <t xml:space="preserve">Policy gas LV Tfin</t>
  </si>
  <si>
    <t xml:space="preserve">desired share of gas LV vehicles in Tfin relative to its type</t>
  </si>
  <si>
    <t xml:space="preserve">trains= all railway vehicles</t>
  </si>
  <si>
    <t xml:space="preserve">Policy electric bus Tfin</t>
  </si>
  <si>
    <t xml:space="preserve">desired share of electric bus vehicles in Tfin  relative to its type</t>
  </si>
  <si>
    <t xml:space="preserve">Policy hybrid bus Tfin</t>
  </si>
  <si>
    <t xml:space="preserve">desired share of hibrid bus vehicles in Tfin relative to its type</t>
  </si>
  <si>
    <t xml:space="preserve">Clasitfications based on 'International Energy Agency (2016), Energy Technology Perspectives 2016, OECD/IEA, Paris'</t>
  </si>
  <si>
    <t xml:space="preserve">Policy gas bus Tfin</t>
  </si>
  <si>
    <t xml:space="preserve">desired share of gas bus vehicles in Tfin relative to its type</t>
  </si>
  <si>
    <t xml:space="preserve">Policy electric train Tfin</t>
  </si>
  <si>
    <t xml:space="preserve">desired share of electric train vehicles in Tfin relative to its type</t>
  </si>
  <si>
    <t xml:space="preserve">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</si>
  <si>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</si>
  <si>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 xml:space="preserve">Final sectoral energy intensities evolution method</t>
  </si>
  <si>
    <t xml:space="preserve">1- Constant at 2009 levels</t>
  </si>
  <si>
    <t xml:space="preserve">2- Dynamic evolution &amp; policies</t>
  </si>
  <si>
    <t xml:space="preserve">3- Sectoral final energy intensity targets in target year defined by user</t>
  </si>
  <si>
    <t xml:space="preserve">2- DYNAMIC EVOLUTION &amp; POLICIES</t>
  </si>
  <si>
    <t xml:space="preserve">Min final energy intensity vs initial</t>
  </si>
  <si>
    <t xml:space="preserve">Minimin of energy intensity vs initial</t>
  </si>
  <si>
    <t xml:space="preserve">% of change over the historic maximun variation of final energy intensities</t>
  </si>
  <si>
    <t xml:space="preserve">%</t>
  </si>
  <si>
    <t xml:space="preserve">POLICIES</t>
  </si>
  <si>
    <t xml:space="preserve">per sector (1) / sector-uniform (0)</t>
  </si>
  <si>
    <t xml:space="preserve">Select evolution of the intensities between global or by sectors</t>
  </si>
  <si>
    <t xml:space="preserve">Target year energy intensity changes sectors</t>
  </si>
  <si>
    <t xml:space="preserve">Year target for the energy intensity policies for sectors</t>
  </si>
  <si>
    <t xml:space="preserve">Target year energy intensity changes households</t>
  </si>
  <si>
    <t xml:space="preserve">Year target for the energy intensity policies for hosueholds</t>
  </si>
  <si>
    <t xml:space="preserve">PER SECTOR</t>
  </si>
  <si>
    <t xml:space="preserve">FINAL ENERGY INTENSITIES</t>
  </si>
  <si>
    <t xml:space="preserve">Agriculture, Hunting, Forestry and Fishing</t>
  </si>
  <si>
    <t xml:space="preserve">Mining and Quarrying</t>
  </si>
  <si>
    <t xml:space="preserve">Food, Beverages and Tobacco</t>
  </si>
  <si>
    <t xml:space="preserve">Textiles and Textile Products</t>
  </si>
  <si>
    <t xml:space="preserve">Leather, Leather and Footwear</t>
  </si>
  <si>
    <t xml:space="preserve">Wood and Products of Wood and Cork</t>
  </si>
  <si>
    <t xml:space="preserve">Pulp, Paper, Paper , Printing and Publishing</t>
  </si>
  <si>
    <t xml:space="preserve">Coke, Refined Petroleum and Nuclear Fuel</t>
  </si>
  <si>
    <t xml:space="preserve">Chemicals and Chemical Products</t>
  </si>
  <si>
    <t xml:space="preserve">Rubber and Plastics</t>
  </si>
  <si>
    <t xml:space="preserve">Other Non-Metallic Mineral</t>
  </si>
  <si>
    <t xml:space="preserve">Basic Metals and Fabricated Metal</t>
  </si>
  <si>
    <t xml:space="preserve">Machinery, Nec</t>
  </si>
  <si>
    <t xml:space="preserve">Electrical and Optical Equipment</t>
  </si>
  <si>
    <t xml:space="preserve">Transport Equipment</t>
  </si>
  <si>
    <t xml:space="preserve">Manufacturing, Nec; Recycling</t>
  </si>
  <si>
    <t xml:space="preserve">Electricity, Gas and Water Supply</t>
  </si>
  <si>
    <t xml:space="preserve">Construction</t>
  </si>
  <si>
    <t xml:space="preserve">Sale, Maintenance and Repair of Motor Vehicles and Motorcycles; Retail Sale of Fuel</t>
  </si>
  <si>
    <t xml:space="preserve">Wholesale Trade and Commission Trade, Except of Motor Vehicles and Motorcycles</t>
  </si>
  <si>
    <t xml:space="preserve">Retail Trade, Except of Motor Vehicles and Motorcycles; Repair of Household Goods</t>
  </si>
  <si>
    <t xml:space="preserve">Hotels and Restaurants</t>
  </si>
  <si>
    <t xml:space="preserve">Inland Transport</t>
  </si>
  <si>
    <t xml:space="preserve">Activate bottom-up approach (Y=1;N=0)</t>
  </si>
  <si>
    <t xml:space="preserve">Water Transport</t>
  </si>
  <si>
    <t xml:space="preserve">Air Transport</t>
  </si>
  <si>
    <t xml:space="preserve">Other Supporting and Auxiliary Transport Activities; Activities of Travel Agencies</t>
  </si>
  <si>
    <t xml:space="preserve">Post and Telecommunications</t>
  </si>
  <si>
    <t xml:space="preserve">Financial Intermediation</t>
  </si>
  <si>
    <t xml:space="preserve">Real Estate Activities</t>
  </si>
  <si>
    <t xml:space="preserve">Renting of M&amp;Eq and Other Business Activities</t>
  </si>
  <si>
    <t xml:space="preserve">Public Admin and Defence; Compulsory Social Security</t>
  </si>
  <si>
    <t xml:space="preserve">Education</t>
  </si>
  <si>
    <t xml:space="preserve">Health and Social Work</t>
  </si>
  <si>
    <t xml:space="preserve">Other Community, Social and Personal Services</t>
  </si>
  <si>
    <t xml:space="preserve">Private Households with Employed Persons</t>
  </si>
  <si>
    <t xml:space="preserve">Final consumption expenditure by households</t>
  </si>
  <si>
    <t xml:space="preserve">Electricity</t>
  </si>
  <si>
    <t xml:space="preserve">Heat</t>
  </si>
  <si>
    <t xml:space="preserve">Liquids</t>
  </si>
  <si>
    <t xml:space="preserve">Gases</t>
  </si>
  <si>
    <t xml:space="preserve">Solids</t>
  </si>
  <si>
    <t xml:space="preserve">Improvement of efficiency policies</t>
  </si>
  <si>
    <t xml:space="preserve">Start year policy (Year)</t>
  </si>
  <si>
    <t xml:space="preserve">Speed policy (1-rapid/2-medium/3-slow)</t>
  </si>
  <si>
    <t xml:space="preserve">Technological change in final sources</t>
  </si>
  <si>
    <t xml:space="preserve">Efficiency rate of substitution</t>
  </si>
  <si>
    <t xml:space="preserve">SECTOR-UNIFORM</t>
  </si>
  <si>
    <t xml:space="preserve">All sectors</t>
  </si>
  <si>
    <t xml:space="preserve">3- SECTORAL FINAL ENERGY INTENSITY TARGET IN TARGET YEAR </t>
  </si>
  <si>
    <t xml:space="preserve">Choose final energy intensity target method</t>
  </si>
  <si>
    <t xml:space="preserve">1- Energy intensity target defined by user</t>
  </si>
  <si>
    <t xml:space="preserve">2- Variation in energy intensity over the intensity in defined year</t>
  </si>
  <si>
    <t xml:space="preserve">Final year energy intensity target</t>
  </si>
  <si>
    <t xml:space="preserve">Year target for the energy intensity </t>
  </si>
  <si>
    <t xml:space="preserve">start year modification EI</t>
  </si>
  <si>
    <t xml:space="preserve">Year in which the energy intensity modification starts</t>
  </si>
  <si>
    <t xml:space="preserve">1- Final energy intensity target defined by user</t>
  </si>
  <si>
    <t xml:space="preserve">FINAL ENERGY INTENSITY TARGET</t>
  </si>
  <si>
    <t xml:space="preserve">Target (EJ/T$ US1995)</t>
  </si>
  <si>
    <t xml:space="preserve">2- Variation in final energy intensity over the intensity in defined year</t>
  </si>
  <si>
    <t xml:space="preserve">Year over which the final energy intensities target is calculated</t>
  </si>
  <si>
    <t xml:space="preserve">Pct of change in final energy intensities over the given year</t>
  </si>
  <si>
    <t xml:space="preserve">Final fuel replacement driven by biophysical scarcity</t>
  </si>
  <si>
    <t xml:space="preserve">Activate scarcity feedback final fuel replacement? (1=Y;0=N)</t>
  </si>
  <si>
    <t xml:space="preserve">Select activate fuel replacement feedback or no</t>
  </si>
  <si>
    <t xml:space="preserve">Sensitivity to scarcity economic sectors</t>
  </si>
  <si>
    <t xml:space="preserve">1-Low</t>
  </si>
  <si>
    <t xml:space="preserve">Select the sentivity of scarcity for sectors (1,2 or 3)</t>
  </si>
  <si>
    <t xml:space="preserve">Sensitivity to scarcity Households</t>
  </si>
  <si>
    <t xml:space="preserve">Select the sentivity of scarcity for househols (1,2 or 3)</t>
  </si>
  <si>
    <t xml:space="preserve">2-Medium</t>
  </si>
  <si>
    <t xml:space="preserve">3-High</t>
  </si>
  <si>
    <t xml:space="preserve">Energy scarcity forgetting factor sectors</t>
  </si>
  <si>
    <t xml:space="preserve">years</t>
  </si>
  <si>
    <t xml:space="preserve">Time that society takes to forget the percepticon of scarcity for economic sectors.</t>
  </si>
  <si>
    <t xml:space="preserve">Energy scarcity forgetting factor Households</t>
  </si>
  <si>
    <t xml:space="preserve">Time that society takes to forget the percepticon of scarcity for households.</t>
  </si>
  <si>
    <t xml:space="preserve">Land</t>
  </si>
  <si>
    <t xml:space="preserve">P forest overxplotation</t>
  </si>
  <si>
    <t xml:space="preserve">Percent of unsustainable forest extraction allowed (0= only sustainable extraction allowed, 1=100% more than sustainable allowed)</t>
  </si>
  <si>
    <t xml:space="preserve">P minimum forest</t>
  </si>
  <si>
    <t xml:space="preserve">Policy target to avoid reducing forest area below this value</t>
  </si>
  <si>
    <t xml:space="preserve">P variation primary forest</t>
  </si>
  <si>
    <t xml:space="preserve">annual variation (%)</t>
  </si>
  <si>
    <t xml:space="preserve">Annual variation (%) of surface occupied by primary forest</t>
  </si>
  <si>
    <t xml:space="preserve">From the year:</t>
  </si>
  <si>
    <t xml:space="preserve">P urban land density</t>
  </si>
  <si>
    <t xml:space="preserve">m2/person</t>
  </si>
  <si>
    <t xml:space="preserve">Urban land vs total population</t>
  </si>
  <si>
    <t xml:space="preserve">Initial year urban land density</t>
  </si>
  <si>
    <t xml:space="preserve">Target year urban land density</t>
  </si>
  <si>
    <t xml:space="preserve">Minerals</t>
  </si>
  <si>
    <t xml:space="preserve">Minerals recycling rates</t>
  </si>
  <si>
    <t xml:space="preserve">Disaggregated by mineral (1) or common annual variation for all minerals (2)?</t>
  </si>
  <si>
    <t xml:space="preserve">Disaggregated by mineral (1):</t>
  </si>
  <si>
    <t xml:space="preserve">In the target year:</t>
  </si>
  <si>
    <t xml:space="preserve">Target year</t>
  </si>
  <si>
    <t xml:space="preserve">Starting in the year:</t>
  </si>
  <si>
    <t xml:space="preserve">Star year</t>
  </si>
  <si>
    <t xml:space="preserve">Alternative technologies (RES elec &amp; elec storage)</t>
  </si>
  <si>
    <t xml:space="preserve">Rest of the economy</t>
  </si>
  <si>
    <t xml:space="preserve">List of minerals</t>
  </si>
  <si>
    <t xml:space="preserve">Aluminium (Al)</t>
  </si>
  <si>
    <t xml:space="preserve">share </t>
  </si>
  <si>
    <t xml:space="preserve">share in target year</t>
  </si>
  <si>
    <t xml:space="preserve">Cadmium (Cd)</t>
  </si>
  <si>
    <t xml:space="preserve">Chromium (Cr)</t>
  </si>
  <si>
    <t xml:space="preserve">Copper (Cu)</t>
  </si>
  <si>
    <t xml:space="preserve">Galium (Ga)</t>
  </si>
  <si>
    <t xml:space="preserve">Indium (In)</t>
  </si>
  <si>
    <t xml:space="preserve">Iron (Fe)</t>
  </si>
  <si>
    <t xml:space="preserve">Lithium (Li)</t>
  </si>
  <si>
    <t xml:space="preserve">Magnesium (Mg)</t>
  </si>
  <si>
    <t xml:space="preserve">Manganese (Mn)</t>
  </si>
  <si>
    <t xml:space="preserve">Molybdenum (Mo)</t>
  </si>
  <si>
    <t xml:space="preserve">Nickel (Ni)</t>
  </si>
  <si>
    <t xml:space="preserve">Lead (Pb)</t>
  </si>
  <si>
    <t xml:space="preserve">Silver (Ag)</t>
  </si>
  <si>
    <t xml:space="preserve">Tin (Sn)</t>
  </si>
  <si>
    <t xml:space="preserve">Tellurium (Te)</t>
  </si>
  <si>
    <t xml:space="preserve">Titanium (Ti)</t>
  </si>
  <si>
    <t xml:space="preserve">Vanadium (V)</t>
  </si>
  <si>
    <t xml:space="preserve">Zinc (Zn)</t>
  </si>
  <si>
    <t xml:space="preserve">Common annual variation for all minerals (2):</t>
  </si>
  <si>
    <t xml:space="preserve">P recycling minerals Rest</t>
  </si>
  <si>
    <t xml:space="preserve">annual recycling rate variation (%)</t>
  </si>
  <si>
    <t xml:space="preserve">annual recycling rate for the rest of economy</t>
  </si>
  <si>
    <t xml:space="preserve">start year P recycling minerals Rest</t>
  </si>
  <si>
    <t xml:space="preserve">start year recycling mineralsfor the rest of economy</t>
  </si>
  <si>
    <t xml:space="preserve">P recycling minerals alternative technologies (RES elec &amp; EV batteries)</t>
  </si>
  <si>
    <t xml:space="preserve">annual recycling rate alternative technologies</t>
  </si>
  <si>
    <t xml:space="preserve">start year P recycling minerals alt technologies</t>
  </si>
  <si>
    <t xml:space="preserve">start year recycling minerals alternative technologies</t>
  </si>
  <si>
    <t xml:space="preserve">Energy Imports</t>
  </si>
  <si>
    <t xml:space="preserve">OIL</t>
  </si>
  <si>
    <t xml:space="preserve">Selection of the method to limit oil imports</t>
  </si>
  <si>
    <t xml:space="preserve">1. No limit in oil imports</t>
  </si>
  <si>
    <t xml:space="preserve">2. Oil imports limited by the share of oil imports in 2016</t>
  </si>
  <si>
    <t xml:space="preserve">3. Oil imports limited by the user</t>
  </si>
  <si>
    <t xml:space="preserve">Share vs world total extraction oil import by EU</t>
  </si>
  <si>
    <t xml:space="preserve">Share vs world total extraction</t>
  </si>
  <si>
    <t xml:space="preserve">NATURAL GAS</t>
  </si>
  <si>
    <t xml:space="preserve">Selection of the method to limit nat. gas imports</t>
  </si>
  <si>
    <t xml:space="preserve">1. No limit in nat. gas imports</t>
  </si>
  <si>
    <t xml:space="preserve">2. Nat. gas imports limited by the share of nat. gas imports in 2016</t>
  </si>
  <si>
    <t xml:space="preserve">3. Nat. gas imports limited by the user</t>
  </si>
  <si>
    <t xml:space="preserve">Share vs world total extraction nat. gas import by EU</t>
  </si>
  <si>
    <t xml:space="preserve">COAL</t>
  </si>
  <si>
    <t xml:space="preserve">Selection of the method to limit coal imports</t>
  </si>
  <si>
    <t xml:space="preserve">2. Coal imports limited by the share of coal imports in 2016</t>
  </si>
  <si>
    <t xml:space="preserve">3. Coal imports limited by the user</t>
  </si>
  <si>
    <t xml:space="preserve">Share vs world total extraction coal import by EU</t>
  </si>
  <si>
    <t xml:space="preserve">Net Zero Pathway</t>
  </si>
  <si>
    <t xml:space="preserve">1. SOCIOECONOMIC INDICATORS</t>
  </si>
  <si>
    <t xml:space="preserve">Population annual growth</t>
  </si>
  <si>
    <t xml:space="preserve">Policy labor share 2050</t>
  </si>
  <si>
    <t xml:space="preserve">Policy capital share 2050</t>
  </si>
  <si>
    <t xml:space="preserve">GDPpc annual growth</t>
  </si>
  <si>
    <t xml:space="preserve">2. RENEWABLE ENERGY SOURCES</t>
  </si>
  <si>
    <t xml:space="preserve">Year intalled power RES elec</t>
  </si>
  <si>
    <t xml:space="preserve">Policy hydro installed power</t>
  </si>
  <si>
    <t xml:space="preserve">TW</t>
  </si>
  <si>
    <t xml:space="preserve">Policy geot-elec installed power</t>
  </si>
  <si>
    <t xml:space="preserve">Policy solid bioE-elec installed power</t>
  </si>
  <si>
    <t xml:space="preserve">Policy oceanic installed power</t>
  </si>
  <si>
    <t xml:space="preserve">Policy onshore wind installed power</t>
  </si>
  <si>
    <t xml:space="preserve">Policy wind offshore installed power</t>
  </si>
  <si>
    <t xml:space="preserve">Policy solar PV installed power</t>
  </si>
  <si>
    <t xml:space="preserve">Policy CSP installed power</t>
  </si>
  <si>
    <t xml:space="preserve">Policy PHS installed power</t>
  </si>
  <si>
    <t xml:space="preserve">Policy curtailment and storage share variable RES</t>
  </si>
  <si>
    <t xml:space="preserve">Share elect transmission losses</t>
  </si>
  <si>
    <t xml:space="preserve">modern solid bioE</t>
  </si>
  <si>
    <t xml:space="preserve">2nd and 3rd generation biofuels</t>
  </si>
  <si>
    <t xml:space="preserve">Policy biofuels 2gen land compet</t>
  </si>
  <si>
    <t xml:space="preserve">Annual growth (%)</t>
  </si>
  <si>
    <t xml:space="preserve">Start year 3gen cellulosic biofuels</t>
  </si>
  <si>
    <t xml:space="preserve">Policy biofuels 3gen land compet</t>
  </si>
  <si>
    <t xml:space="preserve">Cellulosic biofuels and BioE residues </t>
  </si>
  <si>
    <t xml:space="preserve">Start year BioE residues for non-biofuels</t>
  </si>
  <si>
    <t xml:space="preserve">Share residues for cellulosic biofuels vs non-biofuels</t>
  </si>
  <si>
    <t xml:space="preserve">Policy bioE residues</t>
  </si>
  <si>
    <t xml:space="preserve">Start year biofuels land marg </t>
  </si>
  <si>
    <t xml:space="preserve">Policy biofuels land marg</t>
  </si>
  <si>
    <t xml:space="preserve">Policy biogas growth</t>
  </si>
  <si>
    <t xml:space="preserve">Policy waste change</t>
  </si>
  <si>
    <t xml:space="preserve">Start year policy growth RES heat</t>
  </si>
  <si>
    <t xml:space="preserve">Target year policy growth RES heat</t>
  </si>
  <si>
    <t xml:space="preserve">Policy solar for heat growth</t>
  </si>
  <si>
    <t xml:space="preserve">Policy geothermal for heat growth</t>
  </si>
  <si>
    <t xml:space="preserve">Policy solid bioenergy for heat growth</t>
  </si>
  <si>
    <t xml:space="preserve">Policy share RES heat share FF</t>
  </si>
  <si>
    <t xml:space="preserve">End year P share RES heat</t>
  </si>
  <si>
    <t xml:space="preserve">share liquids for heat</t>
  </si>
  <si>
    <t xml:space="preserve">share</t>
  </si>
  <si>
    <t xml:space="preserve">share gases for heat</t>
  </si>
  <si>
    <t xml:space="preserve">share coal for heat</t>
  </si>
  <si>
    <t xml:space="preserve">share solid bioE for heat</t>
  </si>
  <si>
    <t xml:space="preserve">Projection Electricity to syntehtic fuels</t>
  </si>
  <si>
    <t xml:space="preserve">Policy amonia</t>
  </si>
  <si>
    <t xml:space="preserve">Policy synthetic liquids</t>
  </si>
  <si>
    <t xml:space="preserve">Policy hydrogen</t>
  </si>
  <si>
    <t xml:space="preserve">Policy synthetic methane</t>
  </si>
  <si>
    <t xml:space="preserve">3. NON RENEWABLE RESOURCES</t>
  </si>
  <si>
    <t xml:space="preserve">Constraint to annual growth in extraction (%)</t>
  </si>
  <si>
    <t xml:space="preserve">Constraint to annual growth in extraction (annual growth%)</t>
  </si>
  <si>
    <t xml:space="preserve">Crash programme CTL? (1=Y;0=N)</t>
  </si>
  <si>
    <t xml:space="preserve">Policy CTL growth</t>
  </si>
  <si>
    <t xml:space="preserve">Annual growth%</t>
  </si>
  <si>
    <t xml:space="preserve">Crash programme GTL? (1=Y;0=N)</t>
  </si>
  <si>
    <t xml:space="preserve">Policy GTL growth</t>
  </si>
  <si>
    <t xml:space="preserve">Force leaving underground? (1=Y,0=N)</t>
  </si>
  <si>
    <t xml:space="preserve">Activate (1=si/0=no)</t>
  </si>
  <si>
    <t xml:space="preserve">Reference year RURR</t>
  </si>
  <si>
    <t xml:space="preserve">Start year policy phase-out oil for electricity</t>
  </si>
  <si>
    <t xml:space="preserve">Start year policy phase-out oil for heat</t>
  </si>
  <si>
    <t xml:space="preserve">Target year policy phase-out oil for electricity</t>
  </si>
  <si>
    <t xml:space="preserve">Target year policy phase-out oil for heat</t>
  </si>
  <si>
    <t xml:space="preserve">Target year policygas for electricity</t>
  </si>
  <si>
    <t xml:space="preserve">share gas/(coal+gas) in target year for electricity</t>
  </si>
  <si>
    <t xml:space="preserve">0,00%</t>
  </si>
  <si>
    <t xml:space="preserve">Start year nuclear variation scen3-4</t>
  </si>
  <si>
    <t xml:space="preserve">4. TRANSPORT POLICIES</t>
  </si>
  <si>
    <t xml:space="preserve">Transport mode shares</t>
  </si>
  <si>
    <t xml:space="preserve">tkm mode shares</t>
  </si>
  <si>
    <t xml:space="preserve">Road heavy</t>
  </si>
  <si>
    <t xml:space="preserve">Road light</t>
  </si>
  <si>
    <t xml:space="preserve">Rail</t>
  </si>
  <si>
    <t xml:space="preserve">Maritime</t>
  </si>
  <si>
    <t xml:space="preserve">Air</t>
  </si>
  <si>
    <t xml:space="preserve">pkm mode shares</t>
  </si>
  <si>
    <t xml:space="preserve">Road bus</t>
  </si>
  <si>
    <t xml:space="preserve">Road car</t>
  </si>
  <si>
    <t xml:space="preserve">Sum pkm</t>
  </si>
  <si>
    <t xml:space="preserve">Dmnl (must be 1)</t>
  </si>
  <si>
    <t xml:space="preserve">Sum tkm</t>
  </si>
  <si>
    <t xml:space="preserve">Fuel shares shares tkm</t>
  </si>
  <si>
    <t xml:space="preserve">Liquid</t>
  </si>
  <si>
    <t xml:space="preserve">Hybrid</t>
  </si>
  <si>
    <t xml:space="preserve">Road </t>
  </si>
  <si>
    <t xml:space="preserve">Fuel shares shares pkm</t>
  </si>
  <si>
    <t xml:space="preserve">Buses</t>
  </si>
  <si>
    <t xml:space="preserve">Households</t>
  </si>
  <si>
    <t xml:space="preserve">Battery shares</t>
  </si>
  <si>
    <t xml:space="preserve">Cars</t>
  </si>
  <si>
    <t xml:space="preserve">NCM 111</t>
  </si>
  <si>
    <t xml:space="preserve">LFP</t>
  </si>
  <si>
    <t xml:space="preserve">NCM 622</t>
  </si>
  <si>
    <t xml:space="preserve">NCM 811</t>
  </si>
  <si>
    <t xml:space="preserve">NCA</t>
  </si>
  <si>
    <t xml:space="preserve">Light Trucks</t>
  </si>
  <si>
    <t xml:space="preserve">Heavy Trucks</t>
  </si>
  <si>
    <t xml:space="preserve">5. ENERGY INTENSITIES </t>
  </si>
  <si>
    <t xml:space="preserve">Fuel_Type</t>
  </si>
  <si>
    <t xml:space="preserve">Rail_Liquid</t>
  </si>
  <si>
    <t xml:space="preserve">Rail_Gas</t>
  </si>
  <si>
    <t xml:space="preserve">Rail_Electricity</t>
  </si>
  <si>
    <t xml:space="preserve">Rail_Hybrid</t>
  </si>
  <si>
    <t xml:space="preserve">Year policy to improve efficiency (year)</t>
  </si>
  <si>
    <t xml:space="preserve">Accommodation, food and beverage services</t>
  </si>
  <si>
    <t xml:space="preserve">Activities of membership organisations</t>
  </si>
  <si>
    <t xml:space="preserve">Agriculture, livestock and related services</t>
  </si>
  <si>
    <t xml:space="preserve">Air transport</t>
  </si>
  <si>
    <t xml:space="preserve">Chemical industry</t>
  </si>
  <si>
    <t xml:space="preserve">Coke and petroleum refineries</t>
  </si>
  <si>
    <t xml:space="preserve">Computer activities and information services</t>
  </si>
  <si>
    <t xml:space="preserve">Electricity, gas, steam and air‑conditioning supply</t>
  </si>
  <si>
    <t xml:space="preserve">Extractive industries, mining and quarrying</t>
  </si>
  <si>
    <t xml:space="preserve">Financial intermediation</t>
  </si>
  <si>
    <t xml:space="preserve">Fishing and aquaculture</t>
  </si>
  <si>
    <t xml:space="preserve">Food, beverages and tobacco industries</t>
  </si>
  <si>
    <t xml:space="preserve">Forestry and logging</t>
  </si>
  <si>
    <t xml:space="preserve">Graphic arts and recorded media</t>
  </si>
  <si>
    <t xml:space="preserve">Healthcare and social work activities</t>
  </si>
  <si>
    <t xml:space="preserve">Insurance and pension funds</t>
  </si>
  <si>
    <t xml:space="preserve">Land transport; pipeline transport</t>
  </si>
  <si>
    <t xml:space="preserve">Manufacture of computer, electronic and optical products</t>
  </si>
  <si>
    <t xml:space="preserve">Manufacture of electrical equipment</t>
  </si>
  <si>
    <t xml:space="preserve">Manufacture of fabricated metal products, except machinery and equipment</t>
  </si>
  <si>
    <t xml:space="preserve">Manufacture of furniture; manufacturing n.e.c.</t>
  </si>
  <si>
    <t xml:space="preserve">Manufacture of machinery and equipment n.e.c.</t>
  </si>
  <si>
    <t xml:space="preserve">Manufacture of motor vehicles, trailers and semi‑trailers</t>
  </si>
  <si>
    <t xml:space="preserve">Manufacture of other non‑metallic mineral products</t>
  </si>
  <si>
    <t xml:space="preserve">Manufacture of other transport equipment</t>
  </si>
  <si>
    <t xml:space="preserve">Manufacture of rubber and plastic products</t>
  </si>
  <si>
    <t xml:space="preserve">Maritime and inland water transport</t>
  </si>
  <si>
    <t xml:space="preserve">Metallurgy</t>
  </si>
  <si>
    <t xml:space="preserve">Other business activities</t>
  </si>
  <si>
    <t xml:space="preserve">Other personal service activities</t>
  </si>
  <si>
    <t xml:space="preserve">Paper and paper products industry</t>
  </si>
  <si>
    <t xml:space="preserve">Postal and telecomunication activities</t>
  </si>
  <si>
    <t xml:space="preserve">Private households with employed persons</t>
  </si>
  <si>
    <t xml:space="preserve">Public administration, defense and compulsory social security</t>
  </si>
  <si>
    <t xml:space="preserve">Real estate activities</t>
  </si>
  <si>
    <t xml:space="preserve">Recreational, cultural and sporting activities</t>
  </si>
  <si>
    <t xml:space="preserve">Rental activities</t>
  </si>
  <si>
    <t xml:space="preserve">Research and development</t>
  </si>
  <si>
    <t xml:space="preserve">Retail trade, except motor vehicles and motorcycles</t>
  </si>
  <si>
    <t xml:space="preserve">Sale and repair of motor vehicles and motorcycles</t>
  </si>
  <si>
    <t xml:space="preserve">Sanitation, waste management and decontamination activities</t>
  </si>
  <si>
    <t xml:space="preserve">Support activities for financial intermediation and insurance</t>
  </si>
  <si>
    <t xml:space="preserve">Textile, clothing, leather and footwear industries</t>
  </si>
  <si>
    <t xml:space="preserve">Warehousing and support activities for transportation</t>
  </si>
  <si>
    <t xml:space="preserve">Water collection, treatment and supply</t>
  </si>
  <si>
    <t xml:space="preserve">Wholesale trade and intermediation, except motor vehicles</t>
  </si>
  <si>
    <t xml:space="preserve">Wood and cork industry</t>
  </si>
  <si>
    <t xml:space="preserve">Policy to improve efficiency  speed (1-rapid/2-medium/3-slow)</t>
  </si>
  <si>
    <t xml:space="preserve">Year policy to change energy (year)</t>
  </si>
  <si>
    <t xml:space="preserve">Policy to change energy  speed (1-rapid/2-medium/3-slow)</t>
  </si>
  <si>
    <t xml:space="preserve">Year to finish energy intensity policies (year)</t>
  </si>
  <si>
    <t xml:space="preserve">Start year modification EI</t>
  </si>
  <si>
    <t xml:space="preserve">Energy intensity target (EJ/M$ US1995)</t>
  </si>
  <si>
    <t xml:space="preserve">Energy scarcity forgetting factor economic sectors</t>
  </si>
  <si>
    <t xml:space="preserve">Years</t>
  </si>
  <si>
    <t xml:space="preserve">6. CLIMATE AND ENVIRONMENT</t>
  </si>
  <si>
    <t xml:space="preserve">Percentage share in target year (%)</t>
  </si>
  <si>
    <t xml:space="preserve">Policy recycling minerals alternative technologies (RES elec &amp; EV batteries)</t>
  </si>
  <si>
    <t xml:space="preserve">Annual recycling rate variation (%)</t>
  </si>
  <si>
    <t xml:space="preserve">Start year P recycling minerals alt technologies</t>
  </si>
  <si>
    <t xml:space="preserve">Policy recycling minerals Rest</t>
  </si>
  <si>
    <t xml:space="preserve">Start year P recycling minerals Rest</t>
  </si>
  <si>
    <t xml:space="preserve">Other GHG emissions than CO2 emissions:</t>
  </si>
  <si>
    <t xml:space="preserve">Exogenous other GHG emissions: selection of RCP </t>
  </si>
  <si>
    <t xml:space="preserve">1.  RCP 2.6</t>
  </si>
  <si>
    <t xml:space="preserve">2. RCP 4.5</t>
  </si>
  <si>
    <t xml:space="preserve">3. RCP 6.0</t>
  </si>
  <si>
    <t xml:space="preserve">4. RCP 8.5</t>
  </si>
  <si>
    <t xml:space="preserve">CCS</t>
  </si>
  <si>
    <t xml:space="preserve">Year carbon capture capacity</t>
  </si>
  <si>
    <t xml:space="preserve">Share energy emissions related CCS</t>
  </si>
  <si>
    <t xml:space="preserve">DACC</t>
  </si>
  <si>
    <t xml:space="preserve">Installed capacity</t>
  </si>
  <si>
    <t xml:space="preserve">Policy Improvement process intensity</t>
  </si>
  <si>
    <t xml:space="preserve">Improvement</t>
  </si>
  <si>
    <t xml:space="preserve">Other GHG emissions</t>
  </si>
  <si>
    <t xml:space="preserve">Time</t>
  </si>
  <si>
    <t xml:space="preserve">Land use change emissions GtCO2</t>
  </si>
  <si>
    <t xml:space="preserve">GtCO2</t>
  </si>
  <si>
    <t xml:space="preserve">Afforestation program</t>
  </si>
  <si>
    <t xml:space="preserve">MtC/yr</t>
  </si>
  <si>
    <t xml:space="preserve">7. NET ENERGY FLUX (IMPORTS)</t>
  </si>
  <si>
    <t xml:space="preserve">Net energy flux</t>
  </si>
  <si>
    <t xml:space="preserve">EJ imported from Rest of the World</t>
  </si>
  <si>
    <t xml:space="preserve">Imports-exports</t>
  </si>
  <si>
    <t xml:space="preserve">Net flux biofuels (exports?)</t>
  </si>
  <si>
    <t xml:space="preserve">Exports share of electricity</t>
  </si>
  <si>
    <t xml:space="preserve">8. LAND USE</t>
  </si>
  <si>
    <t xml:space="preserve">Land-use</t>
  </si>
  <si>
    <t xml:space="preserve">Annual variation (%)</t>
  </si>
  <si>
    <t xml:space="preserve">Start year variation primary forest</t>
  </si>
  <si>
    <t xml:space="preserve">m2/people</t>
  </si>
  <si>
    <t xml:space="preserve">Efficiency rate of substitution (Dmnl)</t>
  </si>
  <si>
    <t xml:space="preserve">Agriculture</t>
  </si>
  <si>
    <t xml:space="preserve">Mining_quarrying_and_energy_supply</t>
  </si>
  <si>
    <t xml:space="preserve">Food_beverages_and_tobacco</t>
  </si>
  <si>
    <t xml:space="preserve">Textiles_and_leather_etc</t>
  </si>
  <si>
    <t xml:space="preserve">Coke_refined_petroleum_nuclear_fuel_and_chemicals_etc</t>
  </si>
  <si>
    <t xml:space="preserve">Electrical_and_optical_equipment_and_Transport_equipment</t>
  </si>
  <si>
    <t xml:space="preserve">Other_manufacturing</t>
  </si>
  <si>
    <t xml:space="preserve">Distribution</t>
  </si>
  <si>
    <t xml:space="preserve">Hotels_and_restaurant</t>
  </si>
  <si>
    <t xml:space="preserve">Transport_storage_and_communication</t>
  </si>
  <si>
    <t xml:space="preserve">Financial_intermediation</t>
  </si>
  <si>
    <t xml:space="preserve">Real_estate_renting_and_busine_activitie</t>
  </si>
  <si>
    <t xml:space="preserve">Non_Market_Service</t>
  </si>
  <si>
    <t xml:space="preserve">Electricity by</t>
  </si>
  <si>
    <t xml:space="preserve">0.5</t>
  </si>
  <si>
    <t xml:space="preserve">Heat by</t>
  </si>
  <si>
    <t xml:space="preserve">Liquids by</t>
  </si>
  <si>
    <t xml:space="preserve">Gases by</t>
  </si>
  <si>
    <t xml:space="preserve">Solids by</t>
  </si>
  <si>
    <t xml:space="preserve">Electricity by </t>
  </si>
  <si>
    <t xml:space="preserve">ç</t>
  </si>
  <si>
    <t xml:space="preserve">Road</t>
  </si>
  <si>
    <t xml:space="preserve">Private</t>
  </si>
  <si>
    <t xml:space="preserve">0.00</t>
  </si>
  <si>
    <t xml:space="preserve">0.35</t>
  </si>
  <si>
    <t xml:space="preserve">0.45</t>
  </si>
  <si>
    <t xml:space="preserve">0.50</t>
  </si>
  <si>
    <t xml:space="preserve">0.55</t>
  </si>
  <si>
    <t xml:space="preserve">0.58</t>
  </si>
  <si>
    <t xml:space="preserve">0.60</t>
  </si>
  <si>
    <t xml:space="preserve">0.15</t>
  </si>
  <si>
    <t xml:space="preserve">0.05</t>
  </si>
  <si>
    <t xml:space="preserve">0.40</t>
  </si>
  <si>
    <t xml:space="preserve">0.37</t>
  </si>
  <si>
    <t xml:space="preserve">0.10</t>
  </si>
  <si>
    <t xml:space="preserve">0.70</t>
  </si>
  <si>
    <t xml:space="preserve">0.90</t>
  </si>
  <si>
    <t xml:space="preserve">0.95</t>
  </si>
  <si>
    <t xml:space="preserve">0.25</t>
  </si>
  <si>
    <t xml:space="preserve">Trucks</t>
  </si>
  <si>
    <t xml:space="preserve">0.20</t>
  </si>
  <si>
    <t xml:space="preserve">0.30</t>
  </si>
  <si>
    <t xml:space="preserve">0.65</t>
  </si>
  <si>
    <t xml:space="preserve">Bus</t>
  </si>
  <si>
    <t xml:space="preserve">Mode</t>
  </si>
  <si>
    <t xml:space="preserve">2020 (Real)</t>
  </si>
  <si>
    <t xml:space="preserve">2050 (Target)</t>
  </si>
  <si>
    <t xml:space="preserve">Road Car</t>
  </si>
  <si>
    <t xml:space="preserve">Road Bus</t>
  </si>
  <si>
    <t xml:space="preserve">Air (Dom.)</t>
  </si>
</sst>
</file>

<file path=xl/styles.xml><?xml version="1.0" encoding="utf-8"?>
<styleSheet xmlns="http://schemas.openxmlformats.org/spreadsheetml/2006/main">
  <numFmts count="13">
    <numFmt numFmtId="164" formatCode="General"/>
    <numFmt numFmtId="165" formatCode="_-* #,##0.00\ _€_-;\-* #,##0.00\ _€_-;_-* \-??\ _€_-;_-@_-"/>
    <numFmt numFmtId="166" formatCode="mmm\-yy"/>
    <numFmt numFmtId="167" formatCode="0%"/>
    <numFmt numFmtId="168" formatCode="0.0%"/>
    <numFmt numFmtId="169" formatCode="0.00%"/>
    <numFmt numFmtId="170" formatCode="#,##0.000"/>
    <numFmt numFmtId="171" formatCode="#,##0.0000"/>
    <numFmt numFmtId="172" formatCode="0"/>
    <numFmt numFmtId="173" formatCode="0.000"/>
    <numFmt numFmtId="174" formatCode="0.000%"/>
    <numFmt numFmtId="175" formatCode="0.00E+00"/>
    <numFmt numFmtId="176" formatCode="@"/>
  </numFmts>
  <fonts count="28">
    <font>
      <sz val="11"/>
      <color rgb="FF000000"/>
      <name val="Calibri"/>
      <family val="2"/>
      <charset val="1"/>
    </font>
    <font>
      <sz val="10"/>
      <name val="Arial"/>
      <family val="0"/>
    </font>
    <font>
      <sz val="10"/>
      <name val="Arial"/>
      <family val="0"/>
    </font>
    <font>
      <sz val="10"/>
      <name val="Arial"/>
      <family val="0"/>
    </font>
    <font>
      <sz val="11"/>
      <color rgb="FF3F3F76"/>
      <name val="Calibri"/>
      <family val="2"/>
      <charset val="1"/>
    </font>
    <font>
      <sz val="10"/>
      <name val="Arial"/>
      <family val="2"/>
      <charset val="1"/>
    </font>
    <font>
      <b val="true"/>
      <sz val="24"/>
      <color rgb="FF000000"/>
      <name val="Calibri"/>
      <family val="2"/>
      <charset val="1"/>
    </font>
    <font>
      <b val="true"/>
      <sz val="20"/>
      <color rgb="FF000000"/>
      <name val="Calibri"/>
      <family val="2"/>
      <charset val="1"/>
    </font>
    <font>
      <b val="true"/>
      <i val="true"/>
      <sz val="12"/>
      <color rgb="FF000000"/>
      <name val="Calibri"/>
      <family val="2"/>
      <charset val="1"/>
    </font>
    <font>
      <sz val="11"/>
      <color rgb="FFDDEBF7"/>
      <name val="Calibri"/>
      <family val="2"/>
      <charset val="1"/>
    </font>
    <font>
      <sz val="11"/>
      <color rgb="FFFF0000"/>
      <name val="Calibri"/>
      <family val="2"/>
      <charset val="1"/>
    </font>
    <font>
      <b val="true"/>
      <sz val="26"/>
      <color rgb="FF000000"/>
      <name val="Calibri"/>
      <family val="0"/>
    </font>
    <font>
      <sz val="24"/>
      <color rgb="FF000000"/>
      <name val="Calibri"/>
      <family val="2"/>
      <charset val="1"/>
    </font>
    <font>
      <b val="true"/>
      <sz val="11"/>
      <color rgb="FF000000"/>
      <name val="Calibri"/>
      <family val="2"/>
      <charset val="1"/>
    </font>
    <font>
      <sz val="11"/>
      <name val="Calibri"/>
      <family val="2"/>
      <charset val="1"/>
    </font>
    <font>
      <b val="true"/>
      <sz val="11"/>
      <name val="Calibri"/>
      <family val="2"/>
      <charset val="1"/>
    </font>
    <font>
      <i val="true"/>
      <sz val="11"/>
      <color rgb="FF000000"/>
      <name val="Calibri"/>
      <family val="2"/>
      <charset val="1"/>
    </font>
    <font>
      <sz val="10"/>
      <name val="Arial"/>
      <family val="2"/>
    </font>
    <font>
      <sz val="9"/>
      <color rgb="FF000000"/>
      <name val="Tahoma"/>
      <family val="2"/>
      <charset val="1"/>
    </font>
    <font>
      <b val="true"/>
      <sz val="14"/>
      <color rgb="FF000000"/>
      <name val="Calibri"/>
      <family val="2"/>
      <charset val="1"/>
    </font>
    <font>
      <b val="true"/>
      <sz val="7.5"/>
      <color rgb="FF000000"/>
      <name val="Arial"/>
      <family val="2"/>
      <charset val="1"/>
    </font>
    <font>
      <sz val="7.5"/>
      <color rgb="FF000000"/>
      <name val="Arial"/>
      <family val="2"/>
      <charset val="1"/>
    </font>
    <font>
      <b val="true"/>
      <sz val="10"/>
      <name val="Arial"/>
      <family val="2"/>
      <charset val="1"/>
    </font>
    <font>
      <sz val="10"/>
      <name val="Calibri"/>
      <family val="2"/>
      <charset val="1"/>
    </font>
    <font>
      <sz val="11"/>
      <color rgb="FF000000"/>
      <name val="Arial"/>
      <family val="2"/>
      <charset val="1"/>
    </font>
    <font>
      <b val="true"/>
      <sz val="11"/>
      <color rgb="FF000000"/>
      <name val="Arial"/>
      <family val="2"/>
      <charset val="1"/>
    </font>
    <font>
      <u val="single"/>
      <sz val="11"/>
      <color rgb="FF000000"/>
      <name val="Calibri"/>
      <family val="2"/>
      <charset val="1"/>
    </font>
    <font>
      <sz val="11"/>
      <color theme="1"/>
      <name val="Calibri"/>
      <family val="2"/>
      <charset val="1"/>
    </font>
  </fonts>
  <fills count="24">
    <fill>
      <patternFill patternType="none"/>
    </fill>
    <fill>
      <patternFill patternType="gray125"/>
    </fill>
    <fill>
      <patternFill patternType="solid">
        <fgColor rgb="FFFFCC99"/>
        <bgColor rgb="FFFFC7CE"/>
      </patternFill>
    </fill>
    <fill>
      <patternFill patternType="solid">
        <fgColor rgb="FF39C6DB"/>
        <bgColor rgb="FF00CCFF"/>
      </patternFill>
    </fill>
    <fill>
      <patternFill patternType="solid">
        <fgColor rgb="FFA2E8BD"/>
        <bgColor rgb="FFB7DEE8"/>
      </patternFill>
    </fill>
    <fill>
      <patternFill patternType="solid">
        <fgColor rgb="FFFFFF00"/>
        <bgColor rgb="FFF8F200"/>
      </patternFill>
    </fill>
    <fill>
      <patternFill patternType="solid">
        <fgColor rgb="FFFF0000"/>
        <bgColor rgb="FF9C0006"/>
      </patternFill>
    </fill>
    <fill>
      <patternFill patternType="solid">
        <fgColor rgb="FF00B050"/>
        <bgColor rgb="FF008080"/>
      </patternFill>
    </fill>
    <fill>
      <patternFill patternType="solid">
        <fgColor rgb="FF66FF33"/>
        <bgColor rgb="FF00FF00"/>
      </patternFill>
    </fill>
    <fill>
      <patternFill patternType="solid">
        <fgColor rgb="FFBFBFBF"/>
        <bgColor rgb="FFC9C9C9"/>
      </patternFill>
    </fill>
    <fill>
      <patternFill patternType="solid">
        <fgColor rgb="FFC9C9C9"/>
        <bgColor rgb="FFBFBFBF"/>
      </patternFill>
    </fill>
    <fill>
      <patternFill patternType="solid">
        <fgColor rgb="FF00FF00"/>
        <bgColor rgb="FF66FF33"/>
      </patternFill>
    </fill>
    <fill>
      <patternFill patternType="solid">
        <fgColor rgb="FFF8F200"/>
        <bgColor rgb="FFFFFF00"/>
      </patternFill>
    </fill>
    <fill>
      <patternFill patternType="solid">
        <fgColor rgb="FFD9D9D9"/>
        <bgColor rgb="FFC9C9C9"/>
      </patternFill>
    </fill>
    <fill>
      <patternFill patternType="solid">
        <fgColor rgb="FF9DC3E6"/>
        <bgColor rgb="FFBFBFBF"/>
      </patternFill>
    </fill>
    <fill>
      <patternFill patternType="solid">
        <fgColor rgb="FFA9D18E"/>
        <bgColor rgb="FFC3D69B"/>
      </patternFill>
    </fill>
    <fill>
      <patternFill patternType="solid">
        <fgColor rgb="FF000000"/>
        <bgColor rgb="FF003300"/>
      </patternFill>
    </fill>
    <fill>
      <patternFill patternType="solid">
        <fgColor rgb="FFC3D69B"/>
        <bgColor rgb="FFA9D18E"/>
      </patternFill>
    </fill>
    <fill>
      <patternFill patternType="solid">
        <fgColor rgb="FFB7DEE8"/>
        <bgColor rgb="FFD9D9D9"/>
      </patternFill>
    </fill>
    <fill>
      <patternFill patternType="solid">
        <fgColor theme="6" tint="0.7998"/>
        <bgColor rgb="FFE2EFDA"/>
      </patternFill>
    </fill>
    <fill>
      <patternFill patternType="solid">
        <fgColor theme="2" tint="-0.25"/>
        <bgColor rgb="FFBFBFBF"/>
      </patternFill>
    </fill>
    <fill>
      <patternFill patternType="solid">
        <fgColor rgb="FFE2EFDA"/>
        <bgColor rgb="FFEBF1DE"/>
      </patternFill>
    </fill>
    <fill>
      <patternFill patternType="solid">
        <fgColor rgb="FFFFFFFF"/>
        <bgColor rgb="FFEBF1DE"/>
      </patternFill>
    </fill>
    <fill>
      <patternFill patternType="solid">
        <fgColor theme="9" tint="0.7998"/>
        <bgColor rgb="FFEBF1DE"/>
      </patternFill>
    </fill>
  </fills>
  <borders count="48">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style="medium"/>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medium"/>
      <right/>
      <top/>
      <bottom style="thin"/>
      <diagonal/>
    </border>
    <border diagonalUp="false" diagonalDown="false">
      <left/>
      <right/>
      <top style="thin"/>
      <bottom/>
      <diagonal/>
    </border>
    <border diagonalUp="false" diagonalDown="false">
      <left/>
      <right/>
      <top style="thin"/>
      <bottom style="thin"/>
      <diagonal/>
    </border>
    <border diagonalUp="false" diagonalDown="false">
      <left/>
      <right style="medium"/>
      <top style="thin"/>
      <bottom style="thin"/>
      <diagonal/>
    </border>
    <border diagonalUp="false" diagonalDown="false">
      <left/>
      <right style="thin"/>
      <top style="thin"/>
      <bottom style="thin"/>
      <diagonal/>
    </border>
    <border diagonalUp="false" diagonalDown="false">
      <left/>
      <right style="thin"/>
      <top style="thin"/>
      <bottom/>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thin"/>
      <right/>
      <top/>
      <bottom/>
      <diagonal/>
    </border>
    <border diagonalUp="false" diagonalDown="false">
      <left style="thin"/>
      <right/>
      <top style="thin"/>
      <bottom/>
      <diagonal/>
    </border>
    <border diagonalUp="false" diagonalDown="false">
      <left style="medium"/>
      <right/>
      <top style="thin"/>
      <bottom style="thin"/>
      <diagonal/>
    </border>
    <border diagonalUp="false" diagonalDown="false">
      <left/>
      <right/>
      <top/>
      <bottom style="thin"/>
      <diagonal/>
    </border>
    <border diagonalUp="false" diagonalDown="false">
      <left style="medium"/>
      <right style="thin"/>
      <top style="thin"/>
      <bottom/>
      <diagonal/>
    </border>
    <border diagonalUp="false" diagonalDown="false">
      <left/>
      <right style="medium"/>
      <top/>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thin"/>
      <top style="thin"/>
      <bottom style="thin"/>
      <diagonal/>
    </border>
    <border diagonalUp="false" diagonalDown="false">
      <left/>
      <right style="medium"/>
      <top style="thin"/>
      <bottom/>
      <diagonal/>
    </border>
    <border diagonalUp="false" diagonalDown="false">
      <left/>
      <right style="medium"/>
      <top/>
      <bottom style="thin"/>
      <diagonal/>
    </border>
    <border diagonalUp="false" diagonalDown="false">
      <left/>
      <right style="thin"/>
      <top/>
      <bottom style="thin"/>
      <diagonal/>
    </border>
    <border diagonalUp="false" diagonalDown="false">
      <left/>
      <right/>
      <top/>
      <bottom style="medium"/>
      <diagonal/>
    </border>
    <border diagonalUp="false" diagonalDown="false">
      <left/>
      <right style="medium"/>
      <top/>
      <bottom style="medium"/>
      <diagonal/>
    </border>
    <border diagonalUp="false" diagonalDown="false">
      <left/>
      <right style="thin"/>
      <top/>
      <bottom/>
      <diagonal/>
    </border>
    <border diagonalUp="false" diagonalDown="false">
      <left style="medium"/>
      <right style="medium"/>
      <top style="medium"/>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thin"/>
      <bottom style="thin"/>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medium"/>
      <bottom style="thin"/>
      <diagonal/>
    </border>
    <border diagonalUp="false" diagonalDown="false">
      <left style="thin"/>
      <right style="medium"/>
      <top style="medium"/>
      <bottom style="thin"/>
      <diagonal/>
    </border>
    <border diagonalUp="false" diagonalDown="false">
      <left style="medium"/>
      <right style="medium"/>
      <top/>
      <bottom style="mediu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style="medium"/>
      <top style="medium"/>
      <bottom style="medium"/>
      <diagonal/>
    </border>
    <border diagonalUp="false" diagonalDown="false">
      <left style="thin"/>
      <right style="medium"/>
      <top style="thin"/>
      <bottom/>
      <diagonal/>
    </border>
    <border diagonalUp="false" diagonalDown="false">
      <left style="medium"/>
      <right style="medium"/>
      <top style="medium"/>
      <bottom/>
      <diagonal/>
    </border>
    <border diagonalUp="false" diagonalDown="false">
      <left style="medium"/>
      <right style="medium"/>
      <top style="medium"/>
      <bottom style="mediu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true">
      <alignment horizontal="general" vertical="bottom" textRotation="0" wrapText="false" indent="0" shrinkToFit="false"/>
      <protection locked="true" hidden="false"/>
    </xf>
    <xf numFmtId="164" fontId="4" fillId="2" borderId="1"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3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8" fillId="4" borderId="0" xfId="0" applyFont="tru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left" vertical="bottom" textRotation="0" wrapText="false" indent="0" shrinkToFit="false"/>
      <protection locked="true" hidden="false"/>
    </xf>
    <xf numFmtId="166" fontId="0" fillId="4" borderId="0" xfId="0" applyFont="false" applyBorder="false" applyAlignment="true" applyProtection="true">
      <alignment horizontal="left" vertical="bottom" textRotation="0" wrapText="false" indent="0" shrinkToFit="false"/>
      <protection locked="true" hidden="false"/>
    </xf>
    <xf numFmtId="164" fontId="1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12" fillId="6" borderId="2" xfId="0" applyFont="tru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xf numFmtId="164" fontId="13" fillId="7" borderId="3" xfId="0" applyFont="true" applyBorder="true" applyAlignment="true" applyProtection="true">
      <alignment horizontal="general" vertical="bottom" textRotation="0" wrapText="false" indent="0" shrinkToFit="false"/>
      <protection locked="true" hidden="false"/>
    </xf>
    <xf numFmtId="164" fontId="0" fillId="7" borderId="2" xfId="0" applyFont="false" applyBorder="true" applyAlignment="true" applyProtection="true">
      <alignment horizontal="general"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false" indent="0" shrinkToFit="false"/>
      <protection locked="true" hidden="false"/>
    </xf>
    <xf numFmtId="164" fontId="14" fillId="8" borderId="5" xfId="0" applyFont="true" applyBorder="true" applyAlignment="true" applyProtection="true">
      <alignment horizontal="general" vertical="bottom" textRotation="0" wrapText="false" indent="0" shrinkToFit="false"/>
      <protection locked="true" hidden="false"/>
    </xf>
    <xf numFmtId="164" fontId="14" fillId="5" borderId="5" xfId="0" applyFont="true" applyBorder="true" applyAlignment="true" applyProtection="true">
      <alignment horizontal="general" vertical="bottom" textRotation="0" wrapText="false" indent="0" shrinkToFit="false"/>
      <protection locked="true" hidden="false"/>
    </xf>
    <xf numFmtId="164" fontId="14" fillId="8" borderId="6" xfId="0" applyFont="true" applyBorder="true" applyAlignment="true" applyProtection="true">
      <alignment horizontal="general" vertical="bottom" textRotation="0" wrapText="false" indent="0" shrinkToFit="false"/>
      <protection locked="true" hidden="false"/>
    </xf>
    <xf numFmtId="164" fontId="0" fillId="0" borderId="7" xfId="0" applyFont="false" applyBorder="true" applyAlignment="true" applyProtection="true">
      <alignment horizontal="general" vertical="bottom" textRotation="0" wrapText="false" indent="0" shrinkToFit="false"/>
      <protection locked="true" hidden="false"/>
    </xf>
    <xf numFmtId="164" fontId="0" fillId="0" borderId="8" xfId="0" applyFont="false" applyBorder="true" applyAlignment="true" applyProtection="true">
      <alignment horizontal="general" vertical="bottom" textRotation="0" wrapText="false" indent="0" shrinkToFit="false"/>
      <protection locked="true" hidden="false"/>
    </xf>
    <xf numFmtId="164" fontId="0" fillId="0" borderId="9" xfId="0" applyFont="false" applyBorder="true" applyAlignment="true" applyProtection="true">
      <alignment horizontal="general" vertical="bottom" textRotation="0" wrapText="false" indent="0" shrinkToFit="false"/>
      <protection locked="true" hidden="false"/>
    </xf>
    <xf numFmtId="164" fontId="14" fillId="8" borderId="8" xfId="0" applyFont="true" applyBorder="true" applyAlignment="true" applyProtection="true">
      <alignment horizontal="center" vertical="center" textRotation="0" wrapText="false" indent="0" shrinkToFit="false"/>
      <protection locked="true" hidden="false"/>
    </xf>
    <xf numFmtId="164" fontId="14" fillId="5" borderId="7" xfId="0" applyFont="true" applyBorder="true" applyAlignment="true" applyProtection="true">
      <alignment horizontal="center" vertical="center" textRotation="0" wrapText="false" indent="0" shrinkToFit="false"/>
      <protection locked="true" hidden="false"/>
    </xf>
    <xf numFmtId="164" fontId="0" fillId="9" borderId="0" xfId="0" applyFont="true" applyBorder="false" applyAlignment="true" applyProtection="true">
      <alignment horizontal="center" vertical="bottom" textRotation="0" wrapText="false" indent="0" shrinkToFit="false"/>
      <protection locked="true" hidden="false"/>
    </xf>
    <xf numFmtId="164" fontId="0" fillId="5" borderId="10" xfId="0" applyFont="true" applyBorder="true" applyAlignment="true" applyProtection="true">
      <alignment horizontal="general" vertical="bottom" textRotation="0" wrapText="false" indent="0" shrinkToFit="false"/>
      <protection locked="true" hidden="false"/>
    </xf>
    <xf numFmtId="164" fontId="0" fillId="9" borderId="5" xfId="0" applyFont="true" applyBorder="true" applyAlignment="true" applyProtection="true">
      <alignment horizontal="center" vertical="center" textRotation="0" wrapText="false" indent="0" shrinkToFit="false"/>
      <protection locked="true" hidden="false"/>
    </xf>
    <xf numFmtId="164" fontId="0" fillId="8" borderId="8" xfId="0" applyFont="true" applyBorder="true" applyAlignment="true" applyProtection="true">
      <alignment horizontal="general" vertical="bottom" textRotation="0" wrapText="false" indent="0" shrinkToFit="false"/>
      <protection locked="true" hidden="false"/>
    </xf>
    <xf numFmtId="164" fontId="0" fillId="0" borderId="5" xfId="0" applyFont="false" applyBorder="true" applyAlignment="true" applyProtection="true">
      <alignment horizontal="general" vertical="bottom" textRotation="0" wrapText="false" indent="0" shrinkToFit="false"/>
      <protection locked="true" hidden="false"/>
    </xf>
    <xf numFmtId="164" fontId="0" fillId="5" borderId="5" xfId="0" applyFont="true" applyBorder="true" applyAlignment="true" applyProtection="true">
      <alignment horizontal="general" vertical="bottom" textRotation="0" wrapText="false" indent="0" shrinkToFit="false"/>
      <protection locked="true" hidden="false"/>
    </xf>
    <xf numFmtId="164" fontId="14" fillId="8" borderId="7" xfId="0" applyFont="true" applyBorder="true" applyAlignment="true" applyProtection="true">
      <alignment horizontal="left" vertical="center" textRotation="0" wrapText="false" indent="0" shrinkToFit="false"/>
      <protection locked="true" hidden="false"/>
    </xf>
    <xf numFmtId="164" fontId="0" fillId="5" borderId="11" xfId="0" applyFont="true" applyBorder="true" applyAlignment="true" applyProtection="true">
      <alignment horizontal="right" vertical="center" textRotation="0" wrapText="false" indent="0" shrinkToFit="false"/>
      <protection locked="true" hidden="false"/>
    </xf>
    <xf numFmtId="164" fontId="0" fillId="9" borderId="0" xfId="0" applyFont="true" applyBorder="false" applyAlignment="true" applyProtection="true">
      <alignment horizontal="center" vertical="center" textRotation="0" wrapText="false" indent="0" shrinkToFit="false"/>
      <protection locked="true" hidden="false"/>
    </xf>
    <xf numFmtId="164" fontId="13" fillId="7" borderId="12" xfId="0" applyFont="true" applyBorder="true" applyAlignment="true" applyProtection="true">
      <alignment horizontal="general" vertical="bottom" textRotation="0" wrapText="false" indent="0" shrinkToFit="false"/>
      <protection locked="true" hidden="false"/>
    </xf>
    <xf numFmtId="164" fontId="14" fillId="8" borderId="7" xfId="0" applyFont="true" applyBorder="true" applyAlignment="true" applyProtection="true">
      <alignment horizontal="center" vertical="center" textRotation="0" wrapText="false" indent="0" shrinkToFit="false"/>
      <protection locked="true" hidden="false"/>
    </xf>
    <xf numFmtId="164" fontId="14" fillId="5" borderId="11" xfId="0" applyFont="true" applyBorder="true" applyAlignment="true" applyProtection="true">
      <alignment horizontal="center" vertical="center" textRotation="0" wrapText="false" indent="0" shrinkToFit="false"/>
      <protection locked="true" hidden="false"/>
    </xf>
    <xf numFmtId="164" fontId="14" fillId="9" borderId="5" xfId="0" applyFont="true" applyBorder="true" applyAlignment="true" applyProtection="true">
      <alignment horizontal="center" vertical="bottom" textRotation="0" wrapText="false" indent="0" shrinkToFit="false"/>
      <protection locked="true" hidden="false"/>
    </xf>
    <xf numFmtId="164" fontId="0" fillId="0" borderId="4" xfId="0" applyFont="false" applyBorder="true" applyAlignment="true" applyProtection="true">
      <alignment horizontal="general" vertical="bottom" textRotation="0" wrapText="false" indent="0" shrinkToFit="false"/>
      <protection locked="true" hidden="false"/>
    </xf>
    <xf numFmtId="164" fontId="0" fillId="0" borderId="13" xfId="0" applyFont="false" applyBorder="true" applyAlignment="true" applyProtection="true">
      <alignment horizontal="general"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5" borderId="13" xfId="0" applyFont="false" applyBorder="true" applyAlignment="true" applyProtection="true">
      <alignment horizontal="general" vertical="bottom" textRotation="0" wrapText="false" indent="0" shrinkToFit="false"/>
      <protection locked="true" hidden="false"/>
    </xf>
    <xf numFmtId="164" fontId="0" fillId="5" borderId="14" xfId="0" applyFont="false" applyBorder="true" applyAlignment="true" applyProtection="true">
      <alignment horizontal="general" vertical="bottom" textRotation="0" wrapText="false" indent="0" shrinkToFit="false"/>
      <protection locked="true" hidden="false"/>
    </xf>
    <xf numFmtId="164" fontId="14" fillId="8" borderId="15" xfId="0" applyFont="true" applyBorder="tru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7" fontId="14" fillId="0" borderId="0" xfId="0" applyFont="true" applyBorder="false" applyAlignment="true" applyProtection="true">
      <alignment horizontal="general" vertical="bottom" textRotation="0" wrapText="false" indent="0" shrinkToFit="false"/>
      <protection locked="true" hidden="false"/>
    </xf>
    <xf numFmtId="164" fontId="13" fillId="7" borderId="16" xfId="0" applyFont="true" applyBorder="true" applyAlignment="true" applyProtection="true">
      <alignment horizontal="general" vertical="bottom" textRotation="0" wrapText="false" indent="0" shrinkToFit="false"/>
      <protection locked="true" hidden="false"/>
    </xf>
    <xf numFmtId="164" fontId="0" fillId="7" borderId="8" xfId="0" applyFont="false" applyBorder="true" applyAlignment="true" applyProtection="true">
      <alignment horizontal="general" vertical="bottom" textRotation="0" wrapText="false" indent="0" shrinkToFit="false"/>
      <protection locked="true" hidden="false"/>
    </xf>
    <xf numFmtId="164" fontId="0" fillId="7" borderId="17" xfId="0" applyFont="false" applyBorder="true" applyAlignment="true" applyProtection="true">
      <alignment horizontal="general" vertical="bottom" textRotation="0" wrapText="false" indent="0" shrinkToFit="false"/>
      <protection locked="true" hidden="false"/>
    </xf>
    <xf numFmtId="164" fontId="0" fillId="7" borderId="9" xfId="0" applyFont="false" applyBorder="true" applyAlignment="true" applyProtection="true">
      <alignment horizontal="general" vertical="bottom" textRotation="0" wrapText="false" indent="0" shrinkToFit="false"/>
      <protection locked="true" hidden="false"/>
    </xf>
    <xf numFmtId="164" fontId="0" fillId="8" borderId="18" xfId="0" applyFont="true" applyBorder="true" applyAlignment="true" applyProtection="true">
      <alignment horizontal="center" vertical="center" textRotation="0" wrapText="true" indent="0" shrinkToFit="false"/>
      <protection locked="true" hidden="false"/>
    </xf>
    <xf numFmtId="164" fontId="0" fillId="10" borderId="5" xfId="0" applyFont="true" applyBorder="true" applyAlignment="true" applyProtection="true">
      <alignment horizontal="general" vertical="bottom" textRotation="0" wrapText="false" indent="0" shrinkToFit="false"/>
      <protection locked="true" hidden="false"/>
    </xf>
    <xf numFmtId="164" fontId="0" fillId="5" borderId="5"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0" fillId="0" borderId="7" xfId="0" applyFont="false" applyBorder="true" applyAlignment="true" applyProtection="true">
      <alignment horizontal="center" vertical="center" textRotation="0" wrapText="false" indent="0" shrinkToFit="false"/>
      <protection locked="true" hidden="false"/>
    </xf>
    <xf numFmtId="164" fontId="0" fillId="0" borderId="19"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14" fillId="8" borderId="10" xfId="0" applyFont="true" applyBorder="true" applyAlignment="true" applyProtection="true">
      <alignment horizontal="general" vertical="bottom" textRotation="0" wrapText="false" indent="0" shrinkToFit="false"/>
      <protection locked="true" hidden="false"/>
    </xf>
    <xf numFmtId="168" fontId="14" fillId="5" borderId="8" xfId="19" applyFont="true" applyBorder="true" applyAlignment="true" applyProtection="true">
      <alignment horizontal="general" vertical="bottom" textRotation="0" wrapText="false" indent="0" shrinkToFit="false"/>
      <protection locked="true" hidden="false"/>
    </xf>
    <xf numFmtId="164" fontId="0" fillId="11" borderId="5" xfId="0" applyFont="tru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center" vertical="center" textRotation="0" wrapText="false" indent="0" shrinkToFit="false"/>
      <protection locked="true" hidden="false"/>
    </xf>
    <xf numFmtId="168" fontId="14" fillId="0" borderId="0" xfId="19" applyFont="true" applyBorder="true" applyAlignment="true" applyProtection="true">
      <alignment horizontal="general" vertical="bottom" textRotation="0" wrapText="false" indent="0" shrinkToFit="false"/>
      <protection locked="true" hidden="false"/>
    </xf>
    <xf numFmtId="164" fontId="14" fillId="5" borderId="20" xfId="0" applyFont="true" applyBorder="true" applyAlignment="true" applyProtection="true">
      <alignment horizontal="general" vertical="bottom" textRotation="0" wrapText="false" indent="0" shrinkToFit="false"/>
      <protection locked="true" hidden="false"/>
    </xf>
    <xf numFmtId="164" fontId="14" fillId="0" borderId="5" xfId="0" applyFont="true" applyBorder="true" applyAlignment="true" applyProtection="true">
      <alignment horizontal="general" vertical="bottom" textRotation="0" wrapText="false" indent="0" shrinkToFit="false"/>
      <protection locked="true" hidden="false"/>
    </xf>
    <xf numFmtId="164" fontId="14" fillId="12" borderId="5" xfId="0" applyFont="true" applyBorder="true" applyAlignment="true" applyProtection="true">
      <alignment horizontal="general" vertical="bottom" textRotation="0" wrapText="false" indent="0" shrinkToFit="false"/>
      <protection locked="true" hidden="false"/>
    </xf>
    <xf numFmtId="164" fontId="14" fillId="12" borderId="8" xfId="0" applyFont="true" applyBorder="true" applyAlignment="true" applyProtection="true">
      <alignment horizontal="general" vertical="bottom" textRotation="0" wrapText="false" indent="0" shrinkToFit="false"/>
      <protection locked="true" hidden="false"/>
    </xf>
    <xf numFmtId="164" fontId="14" fillId="5" borderId="21" xfId="0" applyFont="true" applyBorder="true" applyAlignment="true" applyProtection="true">
      <alignment horizontal="general" vertical="bottom" textRotation="0" wrapText="false" indent="0" shrinkToFit="false"/>
      <protection locked="true" hidden="false"/>
    </xf>
    <xf numFmtId="169" fontId="0" fillId="5" borderId="5" xfId="0" applyFont="false" applyBorder="true" applyAlignment="true" applyProtection="true">
      <alignment horizontal="general" vertical="bottom" textRotation="0" wrapText="false" indent="0" shrinkToFit="false"/>
      <protection locked="true" hidden="false"/>
    </xf>
    <xf numFmtId="167" fontId="14" fillId="5" borderId="5" xfId="0" applyFont="true" applyBorder="true" applyAlignment="true" applyProtection="true">
      <alignment horizontal="general" vertical="bottom" textRotation="0" wrapText="false" indent="0" shrinkToFit="false"/>
      <protection locked="true" hidden="false"/>
    </xf>
    <xf numFmtId="164" fontId="14" fillId="0" borderId="22" xfId="0" applyFont="true" applyBorder="true" applyAlignment="true" applyProtection="true">
      <alignment horizontal="general" vertical="bottom" textRotation="0" wrapText="false" indent="0" shrinkToFit="false"/>
      <protection locked="true" hidden="false"/>
    </xf>
    <xf numFmtId="167" fontId="14" fillId="5" borderId="20" xfId="0" applyFont="true" applyBorder="tru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7" borderId="7" xfId="0" applyFont="false" applyBorder="true" applyAlignment="true" applyProtection="true">
      <alignment horizontal="general" vertical="bottom" textRotation="0" wrapText="false" indent="0" shrinkToFit="false"/>
      <protection locked="true" hidden="false"/>
    </xf>
    <xf numFmtId="167" fontId="14" fillId="12" borderId="5" xfId="19"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7" fontId="0" fillId="5" borderId="5" xfId="0" applyFont="true" applyBorder="true" applyAlignment="true" applyProtection="true">
      <alignment horizontal="general" vertical="bottom" textRotation="0" wrapText="false" indent="0" shrinkToFit="false"/>
      <protection locked="true" hidden="false"/>
    </xf>
    <xf numFmtId="167" fontId="0" fillId="5" borderId="5"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4" fontId="13" fillId="7" borderId="8" xfId="0" applyFont="true" applyBorder="true" applyAlignment="true" applyProtection="true">
      <alignment horizontal="general" vertical="bottom" textRotation="0" wrapText="false" indent="0" shrinkToFit="false"/>
      <protection locked="true" hidden="false"/>
    </xf>
    <xf numFmtId="167" fontId="14" fillId="0" borderId="0" xfId="19" applyFont="true" applyBorder="true" applyAlignment="true" applyProtection="true">
      <alignment horizontal="general" vertical="bottom" textRotation="0" wrapText="false" indent="0" shrinkToFit="false"/>
      <protection locked="true" hidden="false"/>
    </xf>
    <xf numFmtId="164" fontId="0" fillId="0" borderId="12" xfId="0" applyFont="true" applyBorder="true" applyAlignment="true" applyProtection="true">
      <alignment horizontal="general" vertical="bottom" textRotation="0" wrapText="false" indent="0" shrinkToFit="false"/>
      <protection locked="true" hidden="false"/>
    </xf>
    <xf numFmtId="164" fontId="14" fillId="8" borderId="22" xfId="0" applyFont="true" applyBorder="true" applyAlignment="true" applyProtection="true">
      <alignment horizontal="general" vertical="bottom" textRotation="0" wrapText="false" indent="0" shrinkToFit="false"/>
      <protection locked="true" hidden="false"/>
    </xf>
    <xf numFmtId="164" fontId="0" fillId="0" borderId="23" xfId="0" applyFont="true" applyBorder="true" applyAlignment="true" applyProtection="true">
      <alignment horizontal="general" vertical="bottom" textRotation="0" wrapText="false" indent="0" shrinkToFit="false"/>
      <protection locked="true" hidden="false"/>
    </xf>
    <xf numFmtId="167" fontId="14" fillId="12" borderId="20" xfId="19" applyFont="true" applyBorder="true" applyAlignment="true" applyProtection="true">
      <alignment horizontal="general" vertical="bottom" textRotation="0" wrapText="false" indent="0" shrinkToFit="false"/>
      <protection locked="true" hidden="false"/>
    </xf>
    <xf numFmtId="164" fontId="0" fillId="12" borderId="5" xfId="0" applyFont="true" applyBorder="true" applyAlignment="true" applyProtection="true">
      <alignment horizontal="general" vertical="bottom" textRotation="0" wrapText="false" indent="0" shrinkToFit="false"/>
      <protection locked="true" hidden="false"/>
    </xf>
    <xf numFmtId="164" fontId="0" fillId="5" borderId="20" xfId="0"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13" fillId="7" borderId="24" xfId="0" applyFont="true" applyBorder="true" applyAlignment="true" applyProtection="true">
      <alignment horizontal="general" vertical="bottom" textRotation="0" wrapText="false" indent="0" shrinkToFit="false"/>
      <protection locked="true" hidden="false"/>
    </xf>
    <xf numFmtId="164" fontId="0" fillId="7" borderId="25" xfId="0" applyFont="false" applyBorder="true" applyAlignment="true" applyProtection="true">
      <alignment horizontal="general" vertical="bottom" textRotation="0" wrapText="false" indent="0" shrinkToFit="false"/>
      <protection locked="true" hidden="false"/>
    </xf>
    <xf numFmtId="164" fontId="14" fillId="5" borderId="12" xfId="0" applyFont="true" applyBorder="true" applyAlignment="true" applyProtection="true">
      <alignment horizontal="general" vertical="bottom" textRotation="0" wrapText="false" indent="0" shrinkToFit="false"/>
      <protection locked="true" hidden="false"/>
    </xf>
    <xf numFmtId="164" fontId="0" fillId="5" borderId="12" xfId="0" applyFont="true" applyBorder="true" applyAlignment="true" applyProtection="true">
      <alignment horizontal="general" vertical="bottom" textRotation="0" wrapText="false" indent="0" shrinkToFit="false"/>
      <protection locked="true" hidden="false"/>
    </xf>
    <xf numFmtId="167" fontId="14" fillId="12" borderId="12" xfId="19" applyFont="true" applyBorder="true" applyAlignment="true" applyProtection="true">
      <alignment horizontal="general" vertical="bottom" textRotation="0" wrapText="false" indent="0" shrinkToFit="false"/>
      <protection locked="true" hidden="false"/>
    </xf>
    <xf numFmtId="167" fontId="14" fillId="5" borderId="12" xfId="19" applyFont="true" applyBorder="true" applyAlignment="true" applyProtection="true">
      <alignment horizontal="general" vertical="bottom" textRotation="0" wrapText="false" indent="0" shrinkToFit="false"/>
      <protection locked="true" hidden="false"/>
    </xf>
    <xf numFmtId="164" fontId="0" fillId="7" borderId="26" xfId="0" applyFont="fals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15" fillId="7" borderId="18" xfId="0" applyFont="true" applyBorder="true" applyAlignment="true" applyProtection="true">
      <alignment horizontal="general" vertical="bottom" textRotation="0" wrapText="false" indent="0" shrinkToFit="false"/>
      <protection locked="true" hidden="false"/>
    </xf>
    <xf numFmtId="164" fontId="14" fillId="7" borderId="16" xfId="0" applyFont="true" applyBorder="true" applyAlignment="true" applyProtection="true">
      <alignment horizontal="general" vertical="bottom" textRotation="0" wrapText="false" indent="0" shrinkToFit="false"/>
      <protection locked="true" hidden="false"/>
    </xf>
    <xf numFmtId="164" fontId="0" fillId="7" borderId="12" xfId="0" applyFont="true" applyBorder="true" applyAlignment="true" applyProtection="true">
      <alignment horizontal="general" vertical="bottom" textRotation="0" wrapText="false" indent="0" shrinkToFit="false"/>
      <protection locked="true" hidden="false"/>
    </xf>
    <xf numFmtId="164" fontId="0" fillId="12" borderId="8" xfId="0" applyFont="false" applyBorder="true" applyAlignment="true" applyProtection="true">
      <alignment horizontal="general" vertical="bottom" textRotation="0" wrapText="false" indent="0" shrinkToFit="false"/>
      <protection locked="true" hidden="false"/>
    </xf>
    <xf numFmtId="164" fontId="0" fillId="12" borderId="10" xfId="0" applyFont="false" applyBorder="true" applyAlignment="true" applyProtection="true">
      <alignment horizontal="general" vertical="bottom" textRotation="0" wrapText="false" indent="0" shrinkToFit="false"/>
      <protection locked="true" hidden="false"/>
    </xf>
    <xf numFmtId="164" fontId="0" fillId="7" borderId="19" xfId="0" applyFont="false" applyBorder="true" applyAlignment="true" applyProtection="true">
      <alignment horizontal="general" vertical="bottom" textRotation="0" wrapText="false" indent="0" shrinkToFit="false"/>
      <protection locked="true" hidden="false"/>
    </xf>
    <xf numFmtId="164" fontId="0" fillId="8" borderId="5" xfId="0" applyFont="true" applyBorder="true" applyAlignment="true" applyProtection="true">
      <alignment horizontal="center" vertical="center" textRotation="0" wrapText="true" indent="0" shrinkToFit="false"/>
      <protection locked="true" hidden="false"/>
    </xf>
    <xf numFmtId="164" fontId="0" fillId="5" borderId="22" xfId="0" applyFont="true" applyBorder="true" applyAlignment="true" applyProtection="true">
      <alignment horizontal="center" vertical="center" textRotation="0" wrapText="false" indent="0" shrinkToFit="false"/>
      <protection locked="true" hidden="false"/>
    </xf>
    <xf numFmtId="164" fontId="0" fillId="5" borderId="5" xfId="0" applyFont="true" applyBorder="true" applyAlignment="true" applyProtection="true">
      <alignment horizontal="center" vertical="center" textRotation="0" wrapText="false" indent="0" shrinkToFit="false"/>
      <protection locked="true" hidden="false"/>
    </xf>
    <xf numFmtId="164" fontId="0" fillId="10" borderId="20" xfId="0" applyFont="true" applyBorder="true" applyAlignment="true" applyProtection="true">
      <alignment horizontal="general" vertical="bottom" textRotation="0" wrapText="false" indent="0" shrinkToFit="false"/>
      <protection locked="true" hidden="false"/>
    </xf>
    <xf numFmtId="167" fontId="0" fillId="5" borderId="20" xfId="19" applyFont="true" applyBorder="true" applyAlignment="true" applyProtection="true">
      <alignment horizontal="left" vertical="center" textRotation="0" wrapText="false" indent="0" shrinkToFit="false"/>
      <protection locked="true" hidden="false"/>
    </xf>
    <xf numFmtId="164" fontId="0" fillId="10" borderId="12" xfId="0" applyFont="true" applyBorder="true" applyAlignment="true" applyProtection="true">
      <alignment horizontal="general" vertical="center" textRotation="0" wrapText="false" indent="0" shrinkToFit="false"/>
      <protection locked="true" hidden="false"/>
    </xf>
    <xf numFmtId="164" fontId="0" fillId="10" borderId="10" xfId="0" applyFont="false" applyBorder="true" applyAlignment="true" applyProtection="true">
      <alignment horizontal="general" vertical="bottom" textRotation="0" wrapText="false" indent="0" shrinkToFit="false"/>
      <protection locked="true" hidden="false"/>
    </xf>
    <xf numFmtId="164" fontId="0" fillId="10" borderId="23" xfId="0" applyFont="false" applyBorder="true" applyAlignment="true" applyProtection="true">
      <alignment horizontal="general" vertical="bottom" textRotation="0" wrapText="false" indent="0" shrinkToFit="false"/>
      <protection locked="true" hidden="false"/>
    </xf>
    <xf numFmtId="164" fontId="0" fillId="10" borderId="27" xfId="0" applyFont="false" applyBorder="true" applyAlignment="true" applyProtection="true">
      <alignment horizontal="general" vertical="bottom" textRotation="0" wrapText="false" indent="0" shrinkToFit="false"/>
      <protection locked="true" hidden="false"/>
    </xf>
    <xf numFmtId="164" fontId="0" fillId="7" borderId="16" xfId="0" applyFont="true" applyBorder="true" applyAlignment="true" applyProtection="true">
      <alignment horizontal="general" vertical="bottom" textRotation="0" wrapText="false" indent="0" shrinkToFit="false"/>
      <protection locked="true" hidden="false"/>
    </xf>
    <xf numFmtId="164" fontId="0" fillId="10" borderId="12" xfId="0" applyFont="false" applyBorder="true" applyAlignment="true" applyProtection="true">
      <alignment horizontal="general" vertical="bottom" textRotation="0" wrapText="false" indent="0" shrinkToFit="false"/>
      <protection locked="true" hidden="false"/>
    </xf>
    <xf numFmtId="164" fontId="0" fillId="5" borderId="8" xfId="0" applyFont="false" applyBorder="true" applyAlignment="true" applyProtection="true">
      <alignment horizontal="general" vertical="bottom" textRotation="0" wrapText="false" indent="0" shrinkToFit="false"/>
      <protection locked="true" hidden="false"/>
    </xf>
    <xf numFmtId="164" fontId="0" fillId="10" borderId="22" xfId="0" applyFont="true" applyBorder="true" applyAlignment="true" applyProtection="true">
      <alignment horizontal="general" vertical="bottom" textRotation="0" wrapText="false" indent="0" shrinkToFit="false"/>
      <protection locked="true" hidden="false"/>
    </xf>
    <xf numFmtId="164" fontId="0" fillId="0" borderId="28" xfId="0" applyFont="false" applyBorder="true" applyAlignment="true" applyProtection="true">
      <alignment horizontal="general" vertical="bottom" textRotation="0" wrapText="false" indent="0" shrinkToFit="false"/>
      <protection locked="tru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7" borderId="10" xfId="0" applyFont="false" applyBorder="true" applyAlignment="true" applyProtection="true">
      <alignment horizontal="general" vertical="bottom" textRotation="0" wrapText="false" indent="0" shrinkToFit="false"/>
      <protection locked="true" hidden="false"/>
    </xf>
    <xf numFmtId="164" fontId="0" fillId="7" borderId="22"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4" fontId="0" fillId="5" borderId="22" xfId="0" applyFont="false" applyBorder="true" applyAlignment="true" applyProtection="true">
      <alignment horizontal="general" vertical="bottom" textRotation="0" wrapText="false" indent="0" shrinkToFit="false"/>
      <protection locked="true" hidden="false"/>
    </xf>
    <xf numFmtId="164" fontId="0" fillId="7" borderId="11" xfId="0" applyFont="false" applyBorder="true" applyAlignment="true" applyProtection="true">
      <alignment horizontal="general" vertical="bottom" textRotation="0" wrapText="false" indent="0" shrinkToFit="false"/>
      <protection locked="true" hidden="false"/>
    </xf>
    <xf numFmtId="168" fontId="0" fillId="5" borderId="10" xfId="19" applyFont="true" applyBorder="true" applyAlignment="true" applyProtection="true">
      <alignment horizontal="center" vertical="bottom" textRotation="0" wrapText="false" indent="0" shrinkToFit="false"/>
      <protection locked="true" hidden="false"/>
    </xf>
    <xf numFmtId="170" fontId="0" fillId="0" borderId="0" xfId="0" applyFont="false" applyBorder="false" applyAlignment="true" applyProtection="true">
      <alignment horizontal="center" vertical="bottom" textRotation="0" wrapText="fals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4" fontId="0" fillId="8" borderId="5" xfId="0"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center" vertical="bottom" textRotation="0" wrapText="false" indent="0" shrinkToFit="false"/>
      <protection locked="true" hidden="false"/>
    </xf>
    <xf numFmtId="164" fontId="0" fillId="5" borderId="5" xfId="0" applyFont="true" applyBorder="true" applyAlignment="true" applyProtection="true">
      <alignment horizontal="left" vertical="bottom" textRotation="0" wrapText="false" indent="0" shrinkToFit="false"/>
      <protection locked="true" hidden="false"/>
    </xf>
    <xf numFmtId="164" fontId="0" fillId="8" borderId="22" xfId="0" applyFont="true" applyBorder="true" applyAlignment="true" applyProtection="true">
      <alignment horizontal="center" vertical="center" textRotation="0" wrapText="false" indent="0" shrinkToFit="false"/>
      <protection locked="true" hidden="false"/>
    </xf>
    <xf numFmtId="167" fontId="0" fillId="0" borderId="22" xfId="19" applyFont="true" applyBorder="true" applyAlignment="true" applyProtection="true">
      <alignment horizontal="center" vertical="center" textRotation="0" wrapText="false" indent="0" shrinkToFit="false"/>
      <protection locked="true" hidden="false"/>
    </xf>
    <xf numFmtId="164" fontId="0" fillId="0" borderId="5" xfId="0" applyFont="true" applyBorder="true" applyAlignment="true" applyProtection="true">
      <alignment horizontal="center" vertical="bottom" textRotation="0" wrapText="true" indent="0" shrinkToFit="false"/>
      <protection locked="true" hidden="false"/>
    </xf>
    <xf numFmtId="167" fontId="0" fillId="5" borderId="5" xfId="0" applyFont="true" applyBorder="true" applyAlignment="true" applyProtection="true">
      <alignment horizontal="left" vertical="bottom" textRotation="0" wrapText="false" indent="0" shrinkToFit="false"/>
      <protection locked="true" hidden="false"/>
    </xf>
    <xf numFmtId="167" fontId="0" fillId="0" borderId="5" xfId="19" applyFont="true" applyBorder="true" applyAlignment="true" applyProtection="true">
      <alignment horizontal="center" vertical="center" textRotation="0" wrapText="false" indent="0" shrinkToFit="false"/>
      <protection locked="true" hidden="false"/>
    </xf>
    <xf numFmtId="167" fontId="0" fillId="5" borderId="5" xfId="0" applyFont="true" applyBorder="true" applyAlignment="true" applyProtection="true">
      <alignment horizontal="center" vertical="center" textRotation="0" wrapText="false" indent="0" shrinkToFit="false"/>
      <protection locked="true" hidden="false"/>
    </xf>
    <xf numFmtId="167" fontId="0" fillId="5" borderId="22"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0" fillId="5" borderId="22" xfId="0" applyFont="true" applyBorder="true" applyAlignment="true" applyProtection="true">
      <alignment horizontal="general" vertical="bottom" textRotation="0" wrapText="false" indent="0" shrinkToFit="false"/>
      <protection locked="true" hidden="false"/>
    </xf>
    <xf numFmtId="164" fontId="0" fillId="8" borderId="22" xfId="0" applyFont="true" applyBorder="true" applyAlignment="true" applyProtection="true">
      <alignment horizontal="general" vertical="bottom" textRotation="0" wrapText="false" indent="0" shrinkToFit="false"/>
      <protection locked="true" hidden="false"/>
    </xf>
    <xf numFmtId="164" fontId="0" fillId="8" borderId="5" xfId="0" applyFont="true" applyBorder="true" applyAlignment="true" applyProtection="true">
      <alignment horizontal="center" vertical="bottom" textRotation="0" wrapText="false" indent="0" shrinkToFit="false"/>
      <protection locked="true" hidden="false"/>
    </xf>
    <xf numFmtId="164" fontId="0" fillId="8" borderId="5" xfId="0" applyFont="true" applyBorder="true" applyAlignment="true" applyProtection="true">
      <alignment horizontal="general" vertical="bottom" textRotation="0" wrapText="false" indent="0" shrinkToFit="false"/>
      <protection locked="true" hidden="false"/>
    </xf>
    <xf numFmtId="164" fontId="0" fillId="7" borderId="5" xfId="0" applyFont="true" applyBorder="true" applyAlignment="true" applyProtection="true">
      <alignment horizontal="general" vertical="bottom" textRotation="0" wrapText="false" indent="0" shrinkToFit="false"/>
      <protection locked="true" hidden="false"/>
    </xf>
    <xf numFmtId="164" fontId="13" fillId="7" borderId="0" xfId="0" applyFont="true" applyBorder="false" applyAlignment="true" applyProtection="true">
      <alignment horizontal="general" vertical="bottom" textRotation="0" wrapText="true" indent="0" shrinkToFit="false"/>
      <protection locked="true" hidden="false"/>
    </xf>
    <xf numFmtId="164" fontId="0" fillId="13" borderId="0" xfId="0" applyFont="true" applyBorder="true" applyAlignment="true" applyProtection="true">
      <alignment horizontal="left" vertical="bottom" textRotation="0" wrapText="true" indent="0" shrinkToFit="false"/>
      <protection locked="true" hidden="false"/>
    </xf>
    <xf numFmtId="164" fontId="0" fillId="8" borderId="20" xfId="0" applyFont="true" applyBorder="true" applyAlignment="true" applyProtection="true">
      <alignment horizontal="center" vertical="center" textRotation="0" wrapText="true" indent="0" shrinkToFit="false"/>
      <protection locked="true" hidden="false"/>
    </xf>
    <xf numFmtId="164" fontId="0" fillId="5" borderId="20" xfId="0" applyFont="true" applyBorder="true" applyAlignment="true" applyProtection="true">
      <alignment horizontal="center" vertical="center" textRotation="0" wrapText="true" indent="0" shrinkToFit="false"/>
      <protection locked="true" hidden="false"/>
    </xf>
    <xf numFmtId="169" fontId="0" fillId="0" borderId="0" xfId="0" applyFont="false" applyBorder="false" applyAlignment="true" applyProtection="true">
      <alignment horizontal="general" vertical="bottom" textRotation="0" wrapText="true" indent="0" shrinkToFit="false"/>
      <protection locked="true" hidden="false"/>
    </xf>
    <xf numFmtId="164" fontId="0" fillId="10" borderId="5"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10" borderId="20" xfId="0" applyFont="true" applyBorder="true" applyAlignment="true" applyProtection="true">
      <alignment horizontal="general" vertical="bottom" textRotation="0" wrapText="true" indent="0" shrinkToFit="false"/>
      <protection locked="true" hidden="false"/>
    </xf>
    <xf numFmtId="164" fontId="0" fillId="7" borderId="0" xfId="0" applyFont="true" applyBorder="true" applyAlignment="true" applyProtection="true">
      <alignment horizontal="general" vertical="bottom" textRotation="0" wrapText="true" indent="0" shrinkToFit="false"/>
      <protection locked="true" hidden="false"/>
    </xf>
    <xf numFmtId="164" fontId="0" fillId="7" borderId="0" xfId="0" applyFont="false" applyBorder="false" applyAlignment="true" applyProtection="true">
      <alignment horizontal="general" vertical="bottom" textRotation="0" wrapText="true" indent="0" shrinkToFit="false"/>
      <protection locked="true" hidden="false"/>
    </xf>
    <xf numFmtId="164" fontId="14" fillId="8" borderId="5" xfId="0" applyFont="true" applyBorder="true" applyAlignment="true" applyProtection="true">
      <alignment horizontal="general" vertical="bottom" textRotation="0" wrapText="true" indent="0" shrinkToFit="false"/>
      <protection locked="true" hidden="false"/>
    </xf>
    <xf numFmtId="164" fontId="0" fillId="8" borderId="5" xfId="0" applyFont="true" applyBorder="true" applyAlignment="true" applyProtection="true">
      <alignment horizontal="general" vertical="center" textRotation="0" wrapText="true" indent="0" shrinkToFit="false"/>
      <protection locked="true" hidden="false"/>
    </xf>
    <xf numFmtId="167" fontId="14" fillId="5" borderId="5" xfId="19" applyFont="true" applyBorder="true" applyAlignment="true" applyProtection="true">
      <alignment horizontal="general" vertical="bottom" textRotation="0" wrapText="false" indent="0" shrinkToFit="false"/>
      <protection locked="true" hidden="false"/>
    </xf>
    <xf numFmtId="167" fontId="0" fillId="5" borderId="10" xfId="0" applyFont="false" applyBorder="tru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5" fontId="0" fillId="0" borderId="0" xfId="15" applyFont="true" applyBorder="true" applyAlignment="true" applyProtection="true">
      <alignment horizontal="general" vertical="bottom" textRotation="0" wrapText="false" indent="0" shrinkToFit="false"/>
      <protection locked="true" hidden="false"/>
    </xf>
    <xf numFmtId="164" fontId="0" fillId="7" borderId="20" xfId="0" applyFont="true" applyBorder="true" applyAlignment="true" applyProtection="true">
      <alignment horizontal="general" vertical="bottom" textRotation="0" wrapText="true" indent="0" shrinkToFit="false"/>
      <protection locked="true" hidden="false"/>
    </xf>
    <xf numFmtId="164" fontId="14" fillId="8" borderId="22" xfId="0" applyFont="true" applyBorder="true" applyAlignment="true" applyProtection="true">
      <alignment horizontal="general" vertical="bottom" textRotation="0" wrapText="true" indent="0" shrinkToFit="false"/>
      <protection locked="true" hidden="false"/>
    </xf>
    <xf numFmtId="164" fontId="0" fillId="6" borderId="0" xfId="0" applyFont="true" applyBorder="false" applyAlignment="true" applyProtection="true">
      <alignment horizontal="general" vertical="bottom" textRotation="0" wrapText="true" indent="0" shrinkToFit="false"/>
      <protection locked="true" hidden="false"/>
    </xf>
    <xf numFmtId="164" fontId="0" fillId="7" borderId="5" xfId="0" applyFont="true" applyBorder="true" applyAlignment="true" applyProtection="true">
      <alignment horizontal="general" vertical="bottom" textRotation="0" wrapText="true" indent="0" shrinkToFit="false"/>
      <protection locked="true" hidden="false"/>
    </xf>
    <xf numFmtId="164" fontId="5" fillId="14" borderId="5" xfId="26" applyFont="true" applyBorder="true" applyAlignment="true" applyProtection="true">
      <alignment horizontal="center" vertical="center" textRotation="0" wrapText="true" indent="0" shrinkToFit="false"/>
      <protection locked="true" hidden="false"/>
    </xf>
    <xf numFmtId="164" fontId="5" fillId="14" borderId="12" xfId="26" applyFont="true" applyBorder="true" applyAlignment="true" applyProtection="true">
      <alignment horizontal="center" vertical="center" textRotation="0" wrapText="true" indent="0" shrinkToFit="false"/>
      <protection locked="true" hidden="false"/>
    </xf>
    <xf numFmtId="164" fontId="5" fillId="14" borderId="10" xfId="26" applyFont="true" applyBorder="true" applyAlignment="true" applyProtection="true">
      <alignment horizontal="center" vertical="center" textRotation="0" wrapText="true" indent="0" shrinkToFit="false"/>
      <protection locked="true" hidden="false"/>
    </xf>
    <xf numFmtId="164" fontId="0" fillId="8" borderId="5" xfId="0" applyFont="true" applyBorder="true" applyAlignment="true" applyProtection="true">
      <alignment horizontal="general" vertical="bottom" textRotation="0" wrapText="true" indent="0" shrinkToFit="false"/>
      <protection locked="true" hidden="false"/>
    </xf>
    <xf numFmtId="164" fontId="0" fillId="15" borderId="5" xfId="0" applyFont="true" applyBorder="true" applyAlignment="true" applyProtection="true">
      <alignment horizontal="general" vertical="bottom" textRotation="0" wrapText="true" indent="0" shrinkToFit="false"/>
      <protection locked="true" hidden="false"/>
    </xf>
    <xf numFmtId="164" fontId="0" fillId="16" borderId="5" xfId="0" applyFont="false" applyBorder="true" applyAlignment="true" applyProtection="true">
      <alignment horizontal="general" vertical="bottom" textRotation="0" wrapText="false" indent="0" shrinkToFit="false"/>
      <protection locked="true" hidden="false"/>
    </xf>
    <xf numFmtId="164" fontId="0" fillId="15" borderId="5" xfId="0" applyFont="false" applyBorder="true" applyAlignment="true" applyProtection="true">
      <alignment horizontal="general" vertical="bottom" textRotation="0" wrapText="false" indent="0" shrinkToFit="false"/>
      <protection locked="true" hidden="false"/>
    </xf>
    <xf numFmtId="164" fontId="0" fillId="7" borderId="5" xfId="0" applyFont="false" applyBorder="true" applyAlignment="true" applyProtection="true">
      <alignment horizontal="general" vertical="bottom" textRotation="0" wrapText="false" indent="0" shrinkToFit="false"/>
      <protection locked="true" hidden="false"/>
    </xf>
    <xf numFmtId="164" fontId="0" fillId="11" borderId="7" xfId="0" applyFont="true" applyBorder="true" applyAlignment="true" applyProtection="true">
      <alignment horizontal="left" vertical="center" textRotation="0" wrapText="true" indent="0" shrinkToFit="false"/>
      <protection locked="true" hidden="false"/>
    </xf>
    <xf numFmtId="164" fontId="0" fillId="11" borderId="5" xfId="0" applyFont="true" applyBorder="true" applyAlignment="true" applyProtection="true">
      <alignment horizontal="general" vertical="bottom" textRotation="0" wrapText="true" indent="0" shrinkToFit="false"/>
      <protection locked="true" hidden="false"/>
    </xf>
    <xf numFmtId="164" fontId="0" fillId="9" borderId="5" xfId="0" applyFont="true" applyBorder="true" applyAlignment="true" applyProtection="true">
      <alignment horizontal="general" vertical="bottom" textRotation="0" wrapText="false" indent="0" shrinkToFit="false"/>
      <protection locked="true" hidden="false"/>
    </xf>
    <xf numFmtId="164" fontId="0" fillId="15" borderId="0" xfId="0" applyFont="true" applyBorder="false" applyAlignment="true" applyProtection="true">
      <alignment horizontal="general" vertical="bottom" textRotation="0" wrapText="true" indent="0" shrinkToFit="false"/>
      <protection locked="true" hidden="false"/>
    </xf>
    <xf numFmtId="167" fontId="0" fillId="5" borderId="5" xfId="19" applyFont="true" applyBorder="true" applyAlignment="true" applyProtection="true">
      <alignment horizontal="general" vertical="bottom" textRotation="0" wrapText="false" indent="0" shrinkToFit="false"/>
      <protection locked="true" hidden="false"/>
    </xf>
    <xf numFmtId="164" fontId="13" fillId="7" borderId="12" xfId="0" applyFont="true" applyBorder="true" applyAlignment="true" applyProtection="true">
      <alignment horizontal="general" vertical="bottom" textRotation="0" wrapText="true" indent="0" shrinkToFit="false"/>
      <protection locked="true" hidden="false"/>
    </xf>
    <xf numFmtId="164" fontId="0" fillId="7" borderId="10" xfId="0" applyFont="false" applyBorder="true" applyAlignment="true" applyProtection="true">
      <alignment horizontal="general" vertical="bottom" textRotation="0" wrapText="true" indent="0" shrinkToFit="false"/>
      <protection locked="true" hidden="false"/>
    </xf>
    <xf numFmtId="164" fontId="0" fillId="11" borderId="22"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11" borderId="22" xfId="0" applyFont="true" applyBorder="true" applyAlignment="true" applyProtection="true">
      <alignment horizontal="left" vertical="center" textRotation="0" wrapText="true" indent="0" shrinkToFit="false"/>
      <protection locked="true" hidden="false"/>
    </xf>
    <xf numFmtId="164" fontId="0" fillId="11" borderId="5" xfId="0" applyFont="true" applyBorder="true" applyAlignment="true" applyProtection="true">
      <alignment horizontal="left" vertical="center" textRotation="0" wrapText="true" indent="0" shrinkToFit="false"/>
      <protection locked="true" hidden="false"/>
    </xf>
    <xf numFmtId="164" fontId="0" fillId="5" borderId="5" xfId="0" applyFont="true" applyBorder="true" applyAlignment="true" applyProtection="true">
      <alignment horizontal="general" vertical="bottom" textRotation="0" wrapText="true" indent="0" shrinkToFit="false"/>
      <protection locked="true" hidden="false"/>
    </xf>
    <xf numFmtId="164" fontId="13" fillId="7" borderId="0" xfId="0" applyFont="true" applyBorder="false" applyAlignment="true" applyProtection="true">
      <alignment horizontal="general" vertical="bottom" textRotation="0" wrapText="false" indent="0" shrinkToFit="false"/>
      <protection locked="true" hidden="false"/>
    </xf>
    <xf numFmtId="164" fontId="0" fillId="8" borderId="30" xfId="0" applyFont="true" applyBorder="true" applyAlignment="true" applyProtection="true">
      <alignment horizontal="general" vertical="bottom" textRotation="0" wrapText="false" indent="0" shrinkToFit="false"/>
      <protection locked="true" hidden="false"/>
    </xf>
    <xf numFmtId="172" fontId="14" fillId="5" borderId="5" xfId="0" applyFont="true" applyBorder="true" applyAlignment="true" applyProtection="true">
      <alignment horizontal="general" vertical="bottom" textRotation="0" wrapText="false" indent="0" shrinkToFit="false"/>
      <protection locked="true" hidden="false"/>
    </xf>
    <xf numFmtId="172" fontId="14" fillId="7" borderId="0" xfId="0" applyFont="true" applyBorder="false" applyAlignment="true" applyProtection="true">
      <alignment horizontal="general" vertical="bottom" textRotation="0" wrapText="false" indent="0" shrinkToFit="false"/>
      <protection locked="true" hidden="false"/>
    </xf>
    <xf numFmtId="164" fontId="0" fillId="8" borderId="20" xfId="0" applyFont="true" applyBorder="true" applyAlignment="true" applyProtection="true">
      <alignment horizontal="general" vertical="bottom" textRotation="0" wrapText="false" indent="0" shrinkToFit="false"/>
      <protection locked="true" hidden="false"/>
    </xf>
    <xf numFmtId="172" fontId="14" fillId="5" borderId="20" xfId="0" applyFont="true" applyBorder="true" applyAlignment="true" applyProtection="true">
      <alignment horizontal="general" vertical="bottom" textRotation="0" wrapText="false" indent="0" shrinkToFit="false"/>
      <protection locked="true" hidden="false"/>
    </xf>
    <xf numFmtId="164" fontId="0" fillId="8" borderId="11" xfId="0" applyFont="true" applyBorder="true" applyAlignment="true" applyProtection="true">
      <alignment horizontal="center" vertical="center" textRotation="0" wrapText="true" indent="0" shrinkToFit="false"/>
      <protection locked="true" hidden="false"/>
    </xf>
    <xf numFmtId="164" fontId="0" fillId="8" borderId="5" xfId="0" applyFont="true" applyBorder="true" applyAlignment="true" applyProtection="true">
      <alignment horizontal="left" vertical="center" textRotation="0" wrapText="true" indent="0" shrinkToFit="false"/>
      <protection locked="true" hidden="false"/>
    </xf>
    <xf numFmtId="164" fontId="0" fillId="10" borderId="5" xfId="0" applyFont="true" applyBorder="true" applyAlignment="true" applyProtection="true">
      <alignment horizontal="left" vertical="bottom" textRotation="0" wrapText="false" indent="0" shrinkToFit="false"/>
      <protection locked="true" hidden="false"/>
    </xf>
    <xf numFmtId="164" fontId="0" fillId="5" borderId="10" xfId="0" applyFont="true" applyBorder="true" applyAlignment="true" applyProtection="true">
      <alignment horizontal="center" vertical="center" textRotation="0" wrapText="false" indent="0" shrinkToFit="false"/>
      <protection locked="true" hidden="false"/>
    </xf>
    <xf numFmtId="164" fontId="0" fillId="10" borderId="5" xfId="0" applyFont="true" applyBorder="true" applyAlignment="true" applyProtection="true">
      <alignment horizontal="left" vertical="center" textRotation="0" wrapText="false" indent="0" shrinkToFit="false"/>
      <protection locked="true" hidden="false"/>
    </xf>
    <xf numFmtId="164" fontId="6" fillId="3" borderId="0" xfId="0" applyFont="true" applyBorder="true" applyAlignment="true" applyProtection="true">
      <alignment horizontal="left"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19" fillId="17" borderId="31" xfId="0" applyFont="true" applyBorder="true" applyAlignment="true" applyProtection="true">
      <alignment horizontal="left" vertical="bottom" textRotation="0" wrapText="false" indent="0" shrinkToFit="false"/>
      <protection locked="true" hidden="false"/>
    </xf>
    <xf numFmtId="164" fontId="14" fillId="13" borderId="32" xfId="0" applyFont="true" applyBorder="true" applyAlignment="true" applyProtection="true">
      <alignment horizontal="center" vertical="center" textRotation="0" wrapText="false" indent="0" shrinkToFit="false"/>
      <protection locked="true" hidden="false"/>
    </xf>
    <xf numFmtId="164" fontId="0" fillId="18" borderId="5" xfId="0" applyFont="true" applyBorder="true" applyAlignment="true" applyProtection="true">
      <alignment horizontal="general" vertical="bottom" textRotation="0" wrapText="false" indent="0" shrinkToFit="false"/>
      <protection locked="true" hidden="false"/>
    </xf>
    <xf numFmtId="164" fontId="0" fillId="19" borderId="5" xfId="0" applyFont="false" applyBorder="true" applyAlignment="true" applyProtection="true">
      <alignment horizontal="general" vertical="bottom" textRotation="0" wrapText="false" indent="0" shrinkToFit="false"/>
      <protection locked="true" hidden="false"/>
    </xf>
    <xf numFmtId="164" fontId="0" fillId="19" borderId="13" xfId="0" applyFont="false" applyBorder="true" applyAlignment="true" applyProtection="true">
      <alignment horizontal="general" vertical="bottom" textRotation="0" wrapText="false" indent="0" shrinkToFit="false"/>
      <protection locked="true" hidden="false"/>
    </xf>
    <xf numFmtId="164" fontId="0" fillId="18" borderId="33" xfId="0" applyFont="true" applyBorder="true" applyAlignment="true" applyProtection="true">
      <alignment horizontal="general" vertical="bottom" textRotation="0" wrapText="false" indent="0" shrinkToFit="false"/>
      <protection locked="true" hidden="false"/>
    </xf>
    <xf numFmtId="169" fontId="0" fillId="19" borderId="33" xfId="0" applyFont="false" applyBorder="true" applyAlignment="true" applyProtection="true">
      <alignment horizontal="general" vertical="bottom" textRotation="0" wrapText="false" indent="0" shrinkToFit="false"/>
      <protection locked="true" hidden="false"/>
    </xf>
    <xf numFmtId="169" fontId="0" fillId="19" borderId="34" xfId="0" applyFont="false" applyBorder="true" applyAlignment="true" applyProtection="true">
      <alignment horizontal="general" vertical="bottom" textRotation="0" wrapText="false" indent="0" shrinkToFit="false"/>
      <protection locked="true" hidden="false"/>
    </xf>
    <xf numFmtId="164" fontId="0" fillId="13" borderId="24" xfId="0" applyFont="true" applyBorder="true" applyAlignment="true" applyProtection="true">
      <alignment horizontal="center" vertical="bottom" textRotation="0" wrapText="false" indent="0" shrinkToFit="false"/>
      <protection locked="true" hidden="false"/>
    </xf>
    <xf numFmtId="164" fontId="0" fillId="13" borderId="5" xfId="0" applyFont="true" applyBorder="true" applyAlignment="true" applyProtection="true">
      <alignment horizontal="center" vertical="bottom" textRotation="0" wrapText="false" indent="0" shrinkToFit="false"/>
      <protection locked="true" hidden="false"/>
    </xf>
    <xf numFmtId="164" fontId="0" fillId="20" borderId="13" xfId="0" applyFont="false" applyBorder="true" applyAlignment="true" applyProtection="true">
      <alignment horizontal="center" vertical="bottom" textRotation="0" wrapText="false" indent="0" shrinkToFit="false"/>
      <protection locked="true" hidden="false"/>
    </xf>
    <xf numFmtId="164" fontId="0" fillId="13" borderId="24" xfId="0" applyFont="true" applyBorder="true" applyAlignment="true" applyProtection="true">
      <alignment horizontal="left" vertical="bottom" textRotation="0" wrapText="false" indent="0" shrinkToFit="false"/>
      <protection locked="true" hidden="false"/>
    </xf>
    <xf numFmtId="173" fontId="0" fillId="19" borderId="5" xfId="0" applyFont="false" applyBorder="true" applyAlignment="true" applyProtection="true">
      <alignment horizontal="general" vertical="bottom" textRotation="0" wrapText="false" indent="0" shrinkToFit="false"/>
      <protection locked="true" hidden="false"/>
    </xf>
    <xf numFmtId="173" fontId="14" fillId="19" borderId="13" xfId="0" applyFont="true" applyBorder="true" applyAlignment="true" applyProtection="true">
      <alignment horizontal="general" vertical="bottom" textRotation="0" wrapText="false" indent="0" shrinkToFit="false"/>
      <protection locked="true" hidden="false"/>
    </xf>
    <xf numFmtId="173" fontId="14" fillId="19" borderId="5" xfId="0" applyFont="true" applyBorder="true" applyAlignment="true" applyProtection="true">
      <alignment horizontal="general" vertical="bottom" textRotation="0" wrapText="false" indent="0" shrinkToFit="false"/>
      <protection locked="true" hidden="false"/>
    </xf>
    <xf numFmtId="173" fontId="0" fillId="19" borderId="13" xfId="0" applyFont="fals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left" vertical="bottom" textRotation="0" wrapText="false" indent="0" shrinkToFit="false"/>
      <protection locked="true" hidden="false"/>
    </xf>
    <xf numFmtId="174" fontId="0" fillId="21" borderId="34" xfId="0" applyFont="false" applyBorder="true" applyAlignment="true" applyProtection="true">
      <alignment horizontal="general" vertical="bottom" textRotation="0" wrapText="false" indent="0" shrinkToFit="false"/>
      <protection locked="true" hidden="false"/>
    </xf>
    <xf numFmtId="164" fontId="0" fillId="13" borderId="0" xfId="0" applyFont="true" applyBorder="false" applyAlignment="true" applyProtection="true">
      <alignment horizontal="left" vertical="bottom" textRotation="0" wrapText="false" indent="0" shrinkToFit="false"/>
      <protection locked="true" hidden="false"/>
    </xf>
    <xf numFmtId="164" fontId="0" fillId="18" borderId="0" xfId="0" applyFont="true" applyBorder="false" applyAlignment="true" applyProtection="true">
      <alignment horizontal="general" vertical="bottom" textRotation="0" wrapText="false" indent="0" shrinkToFit="false"/>
      <protection locked="true" hidden="false"/>
    </xf>
    <xf numFmtId="173" fontId="0" fillId="21" borderId="5" xfId="0" applyFont="false" applyBorder="true" applyAlignment="true" applyProtection="true">
      <alignment horizontal="general" vertical="bottom" textRotation="0" wrapText="false" indent="0" shrinkToFit="false"/>
      <protection locked="true" hidden="false"/>
    </xf>
    <xf numFmtId="173" fontId="0" fillId="0" borderId="0" xfId="0" applyFont="false" applyBorder="false" applyAlignment="true" applyProtection="true">
      <alignment horizontal="general" vertical="bottom" textRotation="0" wrapText="false" indent="0" shrinkToFit="false"/>
      <protection locked="true" hidden="false"/>
    </xf>
    <xf numFmtId="164" fontId="8" fillId="20" borderId="35" xfId="0" applyFont="true" applyBorder="tru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19" applyFont="true" applyBorder="false" applyAlignment="false" applyProtection="false">
      <alignment horizontal="general" vertical="bottom" textRotation="0" wrapText="false" indent="0" shrinkToFit="false"/>
      <protection locked="true" hidden="false"/>
    </xf>
    <xf numFmtId="165" fontId="0" fillId="0" borderId="0" xfId="15" applyFont="true" applyBorder="false" applyAlignment="false" applyProtection="false">
      <alignment horizontal="general" vertical="bottom" textRotation="0" wrapText="false" indent="0" shrinkToFit="false"/>
      <protection locked="true" hidden="false"/>
    </xf>
    <xf numFmtId="169" fontId="0" fillId="19" borderId="13" xfId="0" applyFont="false" applyBorder="true" applyAlignment="true" applyProtection="true">
      <alignment horizontal="general" vertical="bottom" textRotation="0" wrapText="false" indent="0" shrinkToFit="false"/>
      <protection locked="true" hidden="false"/>
    </xf>
    <xf numFmtId="169" fontId="14" fillId="19" borderId="13" xfId="19" applyFont="true" applyBorder="true" applyAlignment="true" applyProtection="true">
      <alignment horizontal="general" vertical="bottom" textRotation="0" wrapText="false" indent="0" shrinkToFit="false"/>
      <protection locked="true" hidden="false"/>
    </xf>
    <xf numFmtId="169" fontId="14" fillId="19" borderId="34" xfId="0" applyFont="true" applyBorder="true" applyAlignment="true" applyProtection="true">
      <alignment horizontal="general" vertical="bottom" textRotation="0" wrapText="false" indent="0" shrinkToFit="false"/>
      <protection locked="true" hidden="false"/>
    </xf>
    <xf numFmtId="169" fontId="14" fillId="19" borderId="34" xfId="19" applyFont="true" applyBorder="true" applyAlignment="true" applyProtection="true">
      <alignment horizontal="general" vertical="bottom" textRotation="0" wrapText="false" indent="0" shrinkToFit="false"/>
      <protection locked="true" hidden="false"/>
    </xf>
    <xf numFmtId="164" fontId="0" fillId="13" borderId="5" xfId="0" applyFont="true" applyBorder="true" applyAlignment="true" applyProtection="true">
      <alignment horizontal="left" vertical="bottom" textRotation="0" wrapText="false" indent="0" shrinkToFit="false"/>
      <protection locked="true" hidden="false"/>
    </xf>
    <xf numFmtId="169" fontId="14" fillId="19" borderId="5" xfId="19" applyFont="true" applyBorder="true" applyAlignment="true" applyProtection="true">
      <alignment horizontal="general" vertical="bottom" textRotation="0" wrapText="false" indent="0" shrinkToFit="false"/>
      <protection locked="true" hidden="false"/>
    </xf>
    <xf numFmtId="164" fontId="0" fillId="21" borderId="5" xfId="0" applyFont="false" applyBorder="true" applyAlignment="true" applyProtection="true">
      <alignment horizontal="general" vertical="bottom" textRotation="0" wrapText="false" indent="0" shrinkToFit="false"/>
      <protection locked="true" hidden="false"/>
    </xf>
    <xf numFmtId="164" fontId="0" fillId="21" borderId="13" xfId="0" applyFont="false" applyBorder="true" applyAlignment="true" applyProtection="true">
      <alignment horizontal="general" vertical="bottom" textRotation="0" wrapText="false" indent="0" shrinkToFit="false"/>
      <protection locked="true" hidden="false"/>
    </xf>
    <xf numFmtId="175" fontId="0" fillId="21" borderId="5" xfId="0" applyFont="false" applyBorder="true" applyAlignment="true" applyProtection="true">
      <alignment horizontal="general" vertical="bottom" textRotation="0" wrapText="false" indent="0" shrinkToFit="false"/>
      <protection locked="true" hidden="false"/>
    </xf>
    <xf numFmtId="164" fontId="19" fillId="17" borderId="36" xfId="0" applyFont="true" applyBorder="true" applyAlignment="true" applyProtection="true">
      <alignment horizontal="general" vertical="bottom" textRotation="0" wrapText="false" indent="0" shrinkToFit="false"/>
      <protection locked="true" hidden="false"/>
    </xf>
    <xf numFmtId="164" fontId="19" fillId="17" borderId="37" xfId="0" applyFont="true" applyBorder="true" applyAlignment="true" applyProtection="true">
      <alignment horizontal="general" vertical="bottom" textRotation="0" wrapText="false" indent="0" shrinkToFit="false"/>
      <protection locked="true" hidden="false"/>
    </xf>
    <xf numFmtId="164" fontId="19" fillId="17" borderId="38" xfId="0" applyFont="tru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center" vertical="center" textRotation="0" wrapText="false" indent="0" shrinkToFit="false"/>
      <protection locked="true" hidden="false"/>
    </xf>
    <xf numFmtId="164" fontId="19" fillId="17" borderId="39" xfId="0" applyFont="true" applyBorder="true" applyAlignment="true" applyProtection="true">
      <alignment horizontal="left" vertical="bottom" textRotation="0" wrapText="false" indent="0" shrinkToFit="false"/>
      <protection locked="true" hidden="false"/>
    </xf>
    <xf numFmtId="164" fontId="0" fillId="20" borderId="40" xfId="0" applyFont="true" applyBorder="true" applyAlignment="true" applyProtection="true">
      <alignment horizontal="general" vertical="bottom" textRotation="0" wrapText="false" indent="0" shrinkToFit="false"/>
      <protection locked="true" hidden="false"/>
    </xf>
    <xf numFmtId="164" fontId="19" fillId="17" borderId="24" xfId="0" applyFont="true" applyBorder="true" applyAlignment="true" applyProtection="true">
      <alignment horizontal="left" vertical="bottom" textRotation="0" wrapText="false" indent="0" shrinkToFit="false"/>
      <protection locked="true" hidden="false"/>
    </xf>
    <xf numFmtId="164" fontId="0" fillId="20" borderId="13" xfId="0" applyFont="true" applyBorder="true" applyAlignment="true" applyProtection="true">
      <alignment horizontal="general" vertical="bottom" textRotation="0" wrapText="false" indent="0" shrinkToFit="false"/>
      <protection locked="true" hidden="false"/>
    </xf>
    <xf numFmtId="169" fontId="14" fillId="19" borderId="33" xfId="19" applyFont="true" applyBorder="true" applyAlignment="true" applyProtection="true">
      <alignment horizontal="general" vertical="bottom" textRotation="0" wrapText="false" indent="0" shrinkToFit="false"/>
      <protection locked="true" hidden="false"/>
    </xf>
    <xf numFmtId="164" fontId="0" fillId="19" borderId="34" xfId="0" applyFont="false" applyBorder="true" applyAlignment="true" applyProtection="true">
      <alignment horizontal="general" vertical="bottom" textRotation="0" wrapText="false" indent="0" shrinkToFit="false"/>
      <protection locked="true" hidden="false"/>
    </xf>
    <xf numFmtId="164" fontId="0" fillId="13" borderId="24" xfId="0" applyFont="true" applyBorder="true" applyAlignment="true" applyProtection="true">
      <alignment horizontal="center" vertical="center" textRotation="0" wrapText="false" indent="0" shrinkToFit="false"/>
      <protection locked="true" hidden="false"/>
    </xf>
    <xf numFmtId="164" fontId="0" fillId="19" borderId="13" xfId="0" applyFont="false" applyBorder="true" applyAlignment="true" applyProtection="true">
      <alignment horizontal="right" vertical="bottom" textRotation="0" wrapText="false" indent="0" shrinkToFit="false"/>
      <protection locked="true" hidden="false"/>
    </xf>
    <xf numFmtId="167" fontId="14" fillId="19" borderId="13" xfId="19" applyFont="true" applyBorder="true" applyAlignment="true" applyProtection="true">
      <alignment horizontal="general" vertical="bottom" textRotation="0" wrapText="false" indent="0" shrinkToFit="false"/>
      <protection locked="true" hidden="false"/>
    </xf>
    <xf numFmtId="167" fontId="14" fillId="19" borderId="34" xfId="19" applyFont="true" applyBorder="tru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19" borderId="33" xfId="0" applyFont="false" applyBorder="true" applyAlignment="true" applyProtection="true">
      <alignment horizontal="center" vertical="center" textRotation="0" wrapText="false" indent="0" shrinkToFit="false"/>
      <protection locked="true" hidden="false"/>
    </xf>
    <xf numFmtId="176" fontId="0" fillId="0" borderId="0" xfId="0" applyFont="true" applyBorder="false" applyAlignment="true" applyProtection="true">
      <alignment horizontal="general" vertical="bottom" textRotation="0" wrapText="true" indent="0" shrinkToFit="false"/>
      <protection locked="true" hidden="false"/>
    </xf>
    <xf numFmtId="164" fontId="0" fillId="20" borderId="34" xfId="0" applyFont="false" applyBorder="true" applyAlignment="true" applyProtection="true">
      <alignment horizontal="center" vertical="bottom" textRotation="0" wrapText="false" indent="0" shrinkToFit="false"/>
      <protection locked="true" hidden="false"/>
    </xf>
    <xf numFmtId="164" fontId="20" fillId="0" borderId="0" xfId="0" applyFont="true" applyBorder="false" applyAlignment="true" applyProtection="true">
      <alignment horizontal="right" vertical="bottom" textRotation="0" wrapText="true" indent="0" shrinkToFit="false"/>
      <protection locked="true" hidden="false"/>
    </xf>
    <xf numFmtId="164" fontId="21" fillId="0" borderId="0" xfId="0" applyFont="true" applyBorder="false" applyAlignment="true" applyProtection="true">
      <alignment horizontal="right" vertical="bottom" textRotation="0" wrapText="true" indent="0" shrinkToFit="false"/>
      <protection locked="true" hidden="false"/>
    </xf>
    <xf numFmtId="164" fontId="0" fillId="13" borderId="33" xfId="0" applyFont="true" applyBorder="true" applyAlignment="true" applyProtection="true">
      <alignment horizontal="left" vertical="bottom" textRotation="0" wrapText="false" indent="0" shrinkToFit="false"/>
      <protection locked="true" hidden="false"/>
    </xf>
    <xf numFmtId="164" fontId="14" fillId="13" borderId="24" xfId="0" applyFont="true" applyBorder="true" applyAlignment="true" applyProtection="true">
      <alignment horizontal="center" vertical="center" textRotation="0" wrapText="false" indent="0" shrinkToFit="false"/>
      <protection locked="true" hidden="false"/>
    </xf>
    <xf numFmtId="169" fontId="14" fillId="19" borderId="5" xfId="0" applyFont="true" applyBorder="true" applyAlignment="true" applyProtection="true">
      <alignment horizontal="general" vertical="bottom" textRotation="0" wrapText="false" indent="0" shrinkToFit="false"/>
      <protection locked="true" hidden="false"/>
    </xf>
    <xf numFmtId="169" fontId="14" fillId="19" borderId="13" xfId="0" applyFont="true" applyBorder="true" applyAlignment="true" applyProtection="true">
      <alignment horizontal="general" vertical="bottom" textRotation="0" wrapText="false" indent="0" shrinkToFit="false"/>
      <protection locked="true" hidden="false"/>
    </xf>
    <xf numFmtId="169" fontId="0" fillId="19" borderId="5" xfId="0" applyFont="false" applyBorder="true" applyAlignment="true" applyProtection="true">
      <alignment horizontal="general" vertical="bottom" textRotation="0" wrapText="false" indent="0" shrinkToFit="false"/>
      <protection locked="true" hidden="false"/>
    </xf>
    <xf numFmtId="164" fontId="0" fillId="19" borderId="21" xfId="0" applyFont="true" applyBorder="true" applyAlignment="true" applyProtection="true">
      <alignment horizontal="general" vertical="bottom" textRotation="0" wrapText="false" indent="0" shrinkToFit="false"/>
      <protection locked="true" hidden="false"/>
    </xf>
    <xf numFmtId="164" fontId="0" fillId="20" borderId="33" xfId="0" applyFont="false" applyBorder="true" applyAlignment="true" applyProtection="true">
      <alignment horizontal="general" vertical="bottom" textRotation="0" wrapText="false" indent="0" shrinkToFit="false"/>
      <protection locked="true" hidden="false"/>
    </xf>
    <xf numFmtId="169" fontId="0" fillId="19" borderId="13" xfId="0" applyFont="false" applyBorder="true" applyAlignment="true" applyProtection="true">
      <alignment horizontal="right" vertical="bottom" textRotation="0" wrapText="false" indent="0" shrinkToFit="false"/>
      <protection locked="true" hidden="false"/>
    </xf>
    <xf numFmtId="164" fontId="0" fillId="13" borderId="32" xfId="0" applyFont="true" applyBorder="true" applyAlignment="true" applyProtection="true">
      <alignment horizontal="center" vertical="bottom" textRotation="0" wrapText="false" indent="0" shrinkToFit="false"/>
      <protection locked="true" hidden="false"/>
    </xf>
    <xf numFmtId="164" fontId="0" fillId="13" borderId="10" xfId="0" applyFont="true" applyBorder="true" applyAlignment="true" applyProtection="true">
      <alignment horizontal="center" vertical="center" textRotation="0" wrapText="false" indent="0" shrinkToFit="false"/>
      <protection locked="true" hidden="false"/>
    </xf>
    <xf numFmtId="164" fontId="19" fillId="17" borderId="35" xfId="0" applyFont="true" applyBorder="true" applyAlignment="true" applyProtection="true">
      <alignment horizontal="left" vertical="bottom"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14" fillId="13" borderId="11" xfId="0" applyFont="true" applyBorder="true" applyAlignment="true" applyProtection="true">
      <alignment horizontal="center" vertical="center" textRotation="0" wrapText="false" indent="0" shrinkToFit="false"/>
      <protection locked="true" hidden="false"/>
    </xf>
    <xf numFmtId="164" fontId="0" fillId="13" borderId="41" xfId="0" applyFont="true" applyBorder="true" applyAlignment="true" applyProtection="true">
      <alignment horizontal="left" vertical="bottom" textRotation="0" wrapText="true" indent="0" shrinkToFit="false"/>
      <protection locked="true" hidden="false"/>
    </xf>
    <xf numFmtId="164" fontId="14" fillId="13" borderId="42" xfId="0" applyFont="true" applyBorder="true" applyAlignment="true" applyProtection="true">
      <alignment horizontal="center" vertical="center" textRotation="0" wrapText="false" indent="0" shrinkToFit="false"/>
      <protection locked="true" hidden="false"/>
    </xf>
    <xf numFmtId="164" fontId="0" fillId="18" borderId="43" xfId="0" applyFont="true" applyBorder="true" applyAlignment="true" applyProtection="true">
      <alignment horizontal="general" vertical="bottom" textRotation="0" wrapText="false" indent="0" shrinkToFit="false"/>
      <protection locked="true" hidden="false"/>
    </xf>
    <xf numFmtId="164" fontId="0" fillId="19" borderId="44" xfId="0" applyFont="false" applyBorder="true" applyAlignment="true" applyProtection="true">
      <alignment horizontal="center" vertical="center" textRotation="0" wrapText="true" indent="0" shrinkToFit="false"/>
      <protection locked="true" hidden="false"/>
    </xf>
    <xf numFmtId="164" fontId="0" fillId="13" borderId="32" xfId="0" applyFont="true" applyBorder="true" applyAlignment="true" applyProtection="true">
      <alignment horizontal="center" vertical="bottom" textRotation="0" wrapText="true" indent="0" shrinkToFit="false"/>
      <protection locked="true" hidden="false"/>
    </xf>
    <xf numFmtId="164" fontId="0" fillId="13" borderId="5" xfId="0" applyFont="true" applyBorder="true" applyAlignment="true" applyProtection="true">
      <alignment horizontal="left" vertical="center" textRotation="0" wrapText="false" indent="0" shrinkToFit="false"/>
      <protection locked="true" hidden="false"/>
    </xf>
    <xf numFmtId="164" fontId="0" fillId="13" borderId="13" xfId="0" applyFont="true" applyBorder="true" applyAlignment="true" applyProtection="true">
      <alignment horizontal="left" vertical="center" textRotation="0" wrapText="false" indent="0" shrinkToFit="false"/>
      <protection locked="true" hidden="false"/>
    </xf>
    <xf numFmtId="164" fontId="0" fillId="18" borderId="5" xfId="0" applyFont="true" applyBorder="true" applyAlignment="true" applyProtection="true">
      <alignment horizontal="center" vertical="bottom" textRotation="0" wrapText="false" indent="0" shrinkToFit="false"/>
      <protection locked="true" hidden="false"/>
    </xf>
    <xf numFmtId="164" fontId="5" fillId="19" borderId="5" xfId="0" applyFont="true" applyBorder="true" applyAlignment="true" applyProtection="true">
      <alignment horizontal="general" vertical="bottom" textRotation="0" wrapText="false" indent="0" shrinkToFit="false"/>
      <protection locked="true" hidden="false"/>
    </xf>
    <xf numFmtId="164" fontId="5" fillId="19" borderId="13" xfId="0" applyFont="true" applyBorder="true" applyAlignment="true" applyProtection="true">
      <alignment horizontal="general" vertical="bottom" textRotation="0" wrapText="false" indent="0" shrinkToFit="false"/>
      <protection locked="true" hidden="false"/>
    </xf>
    <xf numFmtId="164" fontId="5" fillId="19" borderId="33" xfId="0" applyFont="true" applyBorder="true" applyAlignment="true" applyProtection="true">
      <alignment horizontal="general" vertical="bottom" textRotation="0" wrapText="false" indent="0" shrinkToFit="false"/>
      <protection locked="true" hidden="false"/>
    </xf>
    <xf numFmtId="164" fontId="5" fillId="19" borderId="34" xfId="0" applyFont="true" applyBorder="true" applyAlignment="true" applyProtection="true">
      <alignment horizontal="general" vertical="bottom" textRotation="0" wrapText="false" indent="0" shrinkToFit="false"/>
      <protection locked="true" hidden="false"/>
    </xf>
    <xf numFmtId="164" fontId="0" fillId="18" borderId="5" xfId="0" applyFont="true" applyBorder="true" applyAlignment="true" applyProtection="true">
      <alignment horizontal="left" vertical="bottom" textRotation="0" wrapText="false" indent="0" shrinkToFit="false"/>
      <protection locked="true" hidden="false"/>
    </xf>
    <xf numFmtId="164" fontId="0" fillId="19" borderId="13" xfId="0" applyFont="false" applyBorder="true" applyAlignment="true" applyProtection="true">
      <alignment horizontal="right" vertical="center" textRotation="0" wrapText="false" indent="0" shrinkToFit="false"/>
      <protection locked="true" hidden="false"/>
    </xf>
    <xf numFmtId="164" fontId="0" fillId="13" borderId="18" xfId="0" applyFont="true" applyBorder="true" applyAlignment="true" applyProtection="true">
      <alignment horizontal="center" vertical="bottom" textRotation="0" wrapText="false" indent="0" shrinkToFit="false"/>
      <protection locked="true" hidden="false"/>
    </xf>
    <xf numFmtId="164" fontId="0" fillId="18" borderId="20" xfId="0" applyFont="true" applyBorder="true" applyAlignment="true" applyProtection="true">
      <alignment horizontal="left" vertical="bottom" textRotation="0" wrapText="false" indent="0" shrinkToFit="false"/>
      <protection locked="true" hidden="false"/>
    </xf>
    <xf numFmtId="164" fontId="0" fillId="19" borderId="45" xfId="0" applyFont="false" applyBorder="true" applyAlignment="true" applyProtection="true">
      <alignment horizontal="general" vertical="bottom" textRotation="0" wrapText="false" indent="0" shrinkToFit="false"/>
      <protection locked="true" hidden="false"/>
    </xf>
    <xf numFmtId="164" fontId="22" fillId="20" borderId="24" xfId="0" applyFont="true" applyBorder="true" applyAlignment="true" applyProtection="true">
      <alignment horizontal="center" vertical="center" textRotation="0" wrapText="false" indent="0" shrinkToFit="false"/>
      <protection locked="true" hidden="false"/>
    </xf>
    <xf numFmtId="164" fontId="0" fillId="18" borderId="24" xfId="0" applyFont="true" applyBorder="true" applyAlignment="true" applyProtection="true">
      <alignment horizontal="center" vertical="bottom" textRotation="0" wrapText="false" indent="0" shrinkToFit="false"/>
      <protection locked="true" hidden="false"/>
    </xf>
    <xf numFmtId="164" fontId="4" fillId="19" borderId="5" xfId="20" applyFont="true" applyBorder="true" applyAlignment="true" applyProtection="true">
      <alignment horizontal="general" vertical="center" textRotation="0" wrapText="false" indent="0" shrinkToFit="false"/>
      <protection locked="true" hidden="false"/>
    </xf>
    <xf numFmtId="164" fontId="0" fillId="18" borderId="18" xfId="0" applyFont="true" applyBorder="true" applyAlignment="true" applyProtection="true">
      <alignment horizontal="center" vertical="bottom" textRotation="0" wrapText="false" indent="0" shrinkToFit="false"/>
      <protection locked="true" hidden="false"/>
    </xf>
    <xf numFmtId="164" fontId="0" fillId="13" borderId="24" xfId="0" applyFont="true" applyBorder="true" applyAlignment="true" applyProtection="true">
      <alignment horizontal="center" vertical="bottom" textRotation="0" wrapText="true" indent="0" shrinkToFit="false"/>
      <protection locked="true" hidden="false"/>
    </xf>
    <xf numFmtId="164" fontId="0" fillId="18" borderId="33" xfId="0" applyFont="true" applyBorder="true" applyAlignment="true" applyProtection="true">
      <alignment horizontal="left" vertical="bottom" textRotation="0" wrapText="false" indent="0" shrinkToFit="false"/>
      <protection locked="true" hidden="false"/>
    </xf>
    <xf numFmtId="164" fontId="0" fillId="13" borderId="24" xfId="0" applyFont="true" applyBorder="true" applyAlignment="true" applyProtection="true">
      <alignment horizontal="left" vertical="bottom" textRotation="0" wrapText="true" indent="0" shrinkToFit="false"/>
      <protection locked="true" hidden="false"/>
    </xf>
    <xf numFmtId="164" fontId="0" fillId="13" borderId="24" xfId="0" applyFont="true" applyBorder="true" applyAlignment="true" applyProtection="true">
      <alignment horizontal="left" vertical="center" textRotation="0" wrapText="true" indent="0" shrinkToFit="false"/>
      <protection locked="true" hidden="false"/>
    </xf>
    <xf numFmtId="164" fontId="0" fillId="19" borderId="13" xfId="0" applyFont="false" applyBorder="true" applyAlignment="true" applyProtection="true">
      <alignment horizontal="right" vertical="center" textRotation="0" wrapText="true" indent="0" shrinkToFit="false"/>
      <protection locked="true" hidden="false"/>
    </xf>
    <xf numFmtId="164" fontId="0" fillId="13" borderId="32" xfId="0" applyFont="true" applyBorder="true" applyAlignment="true" applyProtection="true">
      <alignment horizontal="left" vertical="bottom" textRotation="0" wrapText="true" indent="0" shrinkToFit="false"/>
      <protection locked="true" hidden="false"/>
    </xf>
    <xf numFmtId="164" fontId="0" fillId="13" borderId="35" xfId="0" applyFont="true" applyBorder="true" applyAlignment="true" applyProtection="true">
      <alignment horizontal="left" vertical="bottom" textRotation="0" wrapText="true" indent="0" shrinkToFit="false"/>
      <protection locked="true" hidden="false"/>
    </xf>
    <xf numFmtId="172" fontId="14" fillId="19" borderId="13" xfId="0" applyFont="true" applyBorder="true" applyAlignment="true" applyProtection="true">
      <alignment horizontal="general" vertical="bottom" textRotation="0" wrapText="false" indent="0" shrinkToFit="false"/>
      <protection locked="true" hidden="false"/>
    </xf>
    <xf numFmtId="164" fontId="0" fillId="13" borderId="32" xfId="0" applyFont="true" applyBorder="true" applyAlignment="true" applyProtection="true">
      <alignment horizontal="general" vertical="bottom" textRotation="0" wrapText="true" indent="0" shrinkToFit="false"/>
      <protection locked="true" hidden="false"/>
    </xf>
    <xf numFmtId="164" fontId="0" fillId="13" borderId="33" xfId="0" applyFont="false" applyBorder="true" applyAlignment="true" applyProtection="true">
      <alignment horizontal="general" vertical="bottom" textRotation="0" wrapText="true" indent="0" shrinkToFit="false"/>
      <protection locked="true" hidden="false"/>
    </xf>
    <xf numFmtId="164" fontId="0" fillId="13" borderId="34" xfId="0" applyFont="false" applyBorder="true" applyAlignment="true" applyProtection="true">
      <alignment horizontal="general" vertical="bottom" textRotation="0" wrapText="true" indent="0" shrinkToFit="false"/>
      <protection locked="true" hidden="false"/>
    </xf>
    <xf numFmtId="164" fontId="0" fillId="18" borderId="39" xfId="0" applyFont="true" applyBorder="true" applyAlignment="true" applyProtection="true">
      <alignment horizontal="left" vertical="bottom" textRotation="0" wrapText="false" indent="0" shrinkToFit="false"/>
      <protection locked="true" hidden="false"/>
    </xf>
    <xf numFmtId="172" fontId="14" fillId="19" borderId="43" xfId="0" applyFont="true" applyBorder="true" applyAlignment="true" applyProtection="true">
      <alignment horizontal="general" vertical="bottom" textRotation="0" wrapText="false" indent="0" shrinkToFit="false"/>
      <protection locked="true" hidden="false"/>
    </xf>
    <xf numFmtId="164" fontId="0" fillId="20" borderId="40" xfId="0" applyFont="false" applyBorder="true" applyAlignment="true" applyProtection="true">
      <alignment horizontal="center" vertical="bottom" textRotation="0" wrapText="false" indent="0" shrinkToFit="false"/>
      <protection locked="true" hidden="false"/>
    </xf>
    <xf numFmtId="164" fontId="0" fillId="18" borderId="24" xfId="0" applyFont="true" applyBorder="true" applyAlignment="true" applyProtection="true">
      <alignment horizontal="left" vertical="bottom" textRotation="0" wrapText="false" indent="0" shrinkToFit="false"/>
      <protection locked="true" hidden="false"/>
    </xf>
    <xf numFmtId="172" fontId="14" fillId="19" borderId="5" xfId="0" applyFont="true" applyBorder="true" applyAlignment="true" applyProtection="true">
      <alignment horizontal="general" vertical="bottom" textRotation="0" wrapText="false" indent="0" shrinkToFit="false"/>
      <protection locked="true" hidden="false"/>
    </xf>
    <xf numFmtId="164" fontId="0" fillId="13" borderId="5" xfId="0" applyFont="true" applyBorder="true" applyAlignment="true" applyProtection="true">
      <alignment horizontal="left" vertical="bottom" textRotation="0" wrapText="true" indent="0" shrinkToFit="false"/>
      <protection locked="true" hidden="false"/>
    </xf>
    <xf numFmtId="164" fontId="0" fillId="13" borderId="13" xfId="0" applyFont="true" applyBorder="true" applyAlignment="true" applyProtection="true">
      <alignment horizontal="left" vertical="bottom" textRotation="0" wrapText="true" indent="0" shrinkToFit="false"/>
      <protection locked="true" hidden="false"/>
    </xf>
    <xf numFmtId="164" fontId="0" fillId="13" borderId="32" xfId="0" applyFont="true" applyBorder="true" applyAlignment="true" applyProtection="true">
      <alignment horizontal="center" vertical="center" textRotation="0" wrapText="true" indent="0" shrinkToFit="false"/>
      <protection locked="true" hidden="false"/>
    </xf>
    <xf numFmtId="164" fontId="0" fillId="20" borderId="5" xfId="0" applyFont="true" applyBorder="true" applyAlignment="true" applyProtection="true">
      <alignment horizontal="center" vertical="bottom" textRotation="0" wrapText="false" indent="0" shrinkToFit="false"/>
      <protection locked="true" hidden="false"/>
    </xf>
    <xf numFmtId="164" fontId="0" fillId="20" borderId="33" xfId="0" applyFont="true" applyBorder="true" applyAlignment="true" applyProtection="true">
      <alignment horizontal="center" vertical="bottom" textRotation="0" wrapText="false" indent="0" shrinkToFit="false"/>
      <protection locked="true" hidden="false"/>
    </xf>
    <xf numFmtId="164" fontId="0" fillId="20" borderId="31" xfId="0" applyFont="true" applyBorder="true" applyAlignment="true" applyProtection="true">
      <alignment horizontal="left" vertical="bottom" textRotation="0" wrapText="true" indent="0" shrinkToFit="false"/>
      <protection locked="true" hidden="false"/>
    </xf>
    <xf numFmtId="167" fontId="14" fillId="19" borderId="13" xfId="0" applyFont="true" applyBorder="true" applyAlignment="true" applyProtection="true">
      <alignment horizontal="general" vertical="bottom" textRotation="0" wrapText="false" indent="0" shrinkToFit="false"/>
      <protection locked="true" hidden="false"/>
    </xf>
    <xf numFmtId="164" fontId="0" fillId="20" borderId="35" xfId="0" applyFont="true" applyBorder="true" applyAlignment="true" applyProtection="true">
      <alignment horizontal="left" vertical="bottom" textRotation="0" wrapText="false" indent="0" shrinkToFit="false"/>
      <protection locked="true" hidden="false"/>
    </xf>
    <xf numFmtId="164" fontId="0" fillId="19" borderId="13" xfId="0" applyFont="false" applyBorder="true" applyAlignment="true" applyProtection="true">
      <alignment horizontal="center" vertical="bottom" textRotation="0" wrapText="false" indent="0" shrinkToFit="false"/>
      <protection locked="true" hidden="false"/>
    </xf>
    <xf numFmtId="164" fontId="0" fillId="19" borderId="34" xfId="0" applyFont="false" applyBorder="true" applyAlignment="true" applyProtection="true">
      <alignment horizontal="center" vertical="center" textRotation="0" wrapText="false" indent="0" shrinkToFit="false"/>
      <protection locked="true" hidden="false"/>
    </xf>
    <xf numFmtId="164" fontId="13" fillId="19" borderId="39" xfId="0" applyFont="true" applyBorder="true" applyAlignment="true" applyProtection="true">
      <alignment horizontal="general" vertical="bottom" textRotation="0" wrapText="false" indent="0" shrinkToFit="false"/>
      <protection locked="true" hidden="false"/>
    </xf>
    <xf numFmtId="164" fontId="0" fillId="19" borderId="38" xfId="0" applyFont="false" applyBorder="true" applyAlignment="true" applyProtection="true">
      <alignment horizontal="general" vertical="bottom" textRotation="0" wrapText="false" indent="0" shrinkToFit="false"/>
      <protection locked="true" hidden="false"/>
    </xf>
    <xf numFmtId="164" fontId="14" fillId="19" borderId="32" xfId="0" applyFont="true" applyBorder="true" applyAlignment="true" applyProtection="true">
      <alignment horizontal="general" vertical="bottom" textRotation="0" wrapText="false" indent="0" shrinkToFit="false"/>
      <protection locked="true" hidden="false"/>
    </xf>
    <xf numFmtId="164" fontId="0" fillId="23" borderId="34" xfId="0" applyFont="false" applyBorder="true" applyAlignment="true" applyProtection="true">
      <alignment horizontal="general" vertical="bottom" textRotation="0" wrapText="false" indent="0" shrinkToFit="false"/>
      <protection locked="true" hidden="false"/>
    </xf>
    <xf numFmtId="164" fontId="14" fillId="13" borderId="24" xfId="0" applyFont="true" applyBorder="true" applyAlignment="true" applyProtection="true">
      <alignment horizontal="general" vertical="bottom" textRotation="0" wrapText="false" indent="0" shrinkToFit="false"/>
      <protection locked="true" hidden="false"/>
    </xf>
    <xf numFmtId="164" fontId="13" fillId="20" borderId="0" xfId="0" applyFont="true" applyBorder="false" applyAlignment="true" applyProtection="true">
      <alignment horizontal="general" vertical="bottom" textRotation="0" wrapText="false" indent="0" shrinkToFit="false"/>
      <protection locked="true" hidden="false"/>
    </xf>
    <xf numFmtId="164" fontId="0" fillId="20" borderId="0" xfId="0" applyFont="false" applyBorder="false" applyAlignment="true" applyProtection="true">
      <alignment horizontal="general" vertical="bottom" textRotation="0" wrapText="false" indent="0" shrinkToFit="false"/>
      <protection locked="true" hidden="false"/>
    </xf>
    <xf numFmtId="164" fontId="14" fillId="20" borderId="0" xfId="0" applyFont="true" applyBorder="false" applyAlignment="true" applyProtection="true">
      <alignment horizontal="center" vertical="center" textRotation="0" wrapText="false" indent="0" shrinkToFit="false"/>
      <protection locked="true" hidden="false"/>
    </xf>
    <xf numFmtId="164" fontId="19" fillId="17" borderId="39" xfId="0" applyFont="true" applyBorder="true" applyAlignment="true" applyProtection="true">
      <alignment horizontal="general" vertical="bottom" textRotation="0" wrapText="false" indent="0" shrinkToFit="false"/>
      <protection locked="true" hidden="false"/>
    </xf>
    <xf numFmtId="164" fontId="19" fillId="17" borderId="43" xfId="0" applyFont="true" applyBorder="true" applyAlignment="true" applyProtection="true">
      <alignment horizontal="general" vertical="bottom" textRotation="0" wrapText="false" indent="0" shrinkToFit="false"/>
      <protection locked="true" hidden="false"/>
    </xf>
    <xf numFmtId="164" fontId="19" fillId="17" borderId="40" xfId="0" applyFont="true" applyBorder="true" applyAlignment="true" applyProtection="true">
      <alignment horizontal="general" vertical="bottom" textRotation="0" wrapText="false" indent="0" shrinkToFit="false"/>
      <protection locked="true" hidden="false"/>
    </xf>
    <xf numFmtId="164" fontId="14" fillId="13" borderId="32" xfId="0" applyFont="true" applyBorder="true" applyAlignment="true" applyProtection="true">
      <alignment horizontal="general" vertical="bottom" textRotation="0" wrapText="false" indent="0" shrinkToFit="false"/>
      <protection locked="true" hidden="false"/>
    </xf>
    <xf numFmtId="168" fontId="0" fillId="19" borderId="34" xfId="0" applyFont="fals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18" borderId="24" xfId="0" applyFont="true" applyBorder="true" applyAlignment="true" applyProtection="true">
      <alignment horizontal="general" vertical="bottom" textRotation="0" wrapText="false" indent="0" shrinkToFit="false"/>
      <protection locked="true" hidden="false"/>
    </xf>
    <xf numFmtId="164" fontId="0" fillId="19" borderId="24" xfId="0" applyFont="true" applyBorder="true" applyAlignment="true" applyProtection="true">
      <alignment horizontal="left" vertical="bottom" textRotation="0" wrapText="false" indent="0" shrinkToFit="false"/>
      <protection locked="true" hidden="false"/>
    </xf>
    <xf numFmtId="164" fontId="0" fillId="19" borderId="32" xfId="0" applyFont="true" applyBorder="true" applyAlignment="true" applyProtection="true">
      <alignment horizontal="left" vertical="bottom" textRotation="0" wrapText="false" indent="0" shrinkToFit="false"/>
      <protection locked="true" hidden="false"/>
    </xf>
    <xf numFmtId="164" fontId="0" fillId="19" borderId="33" xfId="0" applyFont="false" applyBorder="true" applyAlignment="true" applyProtection="true">
      <alignment horizontal="general" vertical="bottom" textRotation="0" wrapText="false" indent="0" shrinkToFit="false"/>
      <protection locked="true" hidden="false"/>
    </xf>
    <xf numFmtId="164" fontId="13" fillId="20" borderId="24" xfId="0" applyFont="true" applyBorder="true" applyAlignment="true" applyProtection="true">
      <alignment horizontal="left" vertical="bottom" textRotation="0" wrapText="false" indent="0" shrinkToFit="false"/>
      <protection locked="true" hidden="false"/>
    </xf>
    <xf numFmtId="164" fontId="19" fillId="17" borderId="46" xfId="0" applyFont="true" applyBorder="true" applyAlignment="true" applyProtection="true">
      <alignment horizontal="left" vertical="bottom" textRotation="0" wrapText="false" indent="0" shrinkToFit="false"/>
      <protection locked="true" hidden="false"/>
    </xf>
    <xf numFmtId="164" fontId="14" fillId="13" borderId="39" xfId="0" applyFont="true" applyBorder="true" applyAlignment="true" applyProtection="true">
      <alignment horizontal="general" vertical="bottom" textRotation="0" wrapText="false" indent="0" shrinkToFit="false"/>
      <protection locked="true" hidden="false"/>
    </xf>
    <xf numFmtId="164" fontId="0" fillId="19" borderId="40" xfId="0" applyFont="false" applyBorder="true" applyAlignment="true" applyProtection="true">
      <alignment horizontal="general" vertical="bottom" textRotation="0" wrapText="false" indent="0" shrinkToFit="false"/>
      <protection locked="true" hidden="false"/>
    </xf>
    <xf numFmtId="167" fontId="14" fillId="19" borderId="34" xfId="0" applyFont="true" applyBorder="true" applyAlignment="true" applyProtection="true">
      <alignment horizontal="general" vertical="bottom" textRotation="0" wrapText="false" indent="0" shrinkToFit="false"/>
      <protection locked="true" hidden="false"/>
    </xf>
    <xf numFmtId="164" fontId="14" fillId="20" borderId="43" xfId="0" applyFont="true" applyBorder="true" applyAlignment="true" applyProtection="true">
      <alignment horizontal="left" vertical="bottom" textRotation="0" wrapText="false" indent="0" shrinkToFit="false"/>
      <protection locked="true" hidden="false"/>
    </xf>
    <xf numFmtId="164" fontId="23" fillId="20" borderId="43" xfId="0" applyFont="true" applyBorder="true" applyAlignment="true" applyProtection="true">
      <alignment horizontal="left" vertical="center" textRotation="0" wrapText="false" indent="0" shrinkToFit="false"/>
      <protection locked="true" hidden="false"/>
    </xf>
    <xf numFmtId="164" fontId="23" fillId="20" borderId="40" xfId="0" applyFont="true" applyBorder="true" applyAlignment="true" applyProtection="true">
      <alignment horizontal="left" vertical="center" textRotation="0" wrapText="false" indent="0" shrinkToFit="false"/>
      <protection locked="true" hidden="false"/>
    </xf>
    <xf numFmtId="164" fontId="0" fillId="18" borderId="33" xfId="0" applyFont="true" applyBorder="true" applyAlignment="true" applyProtection="true">
      <alignment horizontal="center" vertical="center" textRotation="0" wrapText="false" indent="0" shrinkToFit="false"/>
      <protection locked="true" hidden="false"/>
    </xf>
    <xf numFmtId="164" fontId="24" fillId="0" borderId="47" xfId="0" applyFont="true" applyBorder="true" applyAlignment="true" applyProtection="true">
      <alignment horizontal="general" vertical="center" textRotation="0" wrapText="true" indent="0" shrinkToFit="false"/>
      <protection locked="true" hidden="false"/>
    </xf>
    <xf numFmtId="164" fontId="25" fillId="0" borderId="47" xfId="0" applyFont="true" applyBorder="true" applyAlignment="true" applyProtection="true">
      <alignment horizontal="general" vertical="center" textRotation="0" wrapText="true" indent="0" shrinkToFit="false"/>
      <protection locked="true" hidden="false"/>
    </xf>
    <xf numFmtId="164" fontId="26" fillId="22" borderId="0" xfId="0" applyFont="true" applyBorder="false" applyAlignment="true" applyProtection="true">
      <alignment horizontal="general" vertical="bottom" textRotation="0" wrapText="false" indent="0" shrinkToFit="false"/>
      <protection locked="true" hidden="false"/>
    </xf>
    <xf numFmtId="164" fontId="13" fillId="19" borderId="5" xfId="0" applyFont="true" applyBorder="true" applyAlignment="true" applyProtection="true">
      <alignment horizontal="general" vertical="bottom" textRotation="0" wrapText="false" indent="0" shrinkToFit="false"/>
      <protection locked="true" hidden="false"/>
    </xf>
    <xf numFmtId="164" fontId="13" fillId="19" borderId="13" xfId="0" applyFont="true" applyBorder="true" applyAlignment="true" applyProtection="true">
      <alignment horizontal="general" vertical="bottom" textRotation="0" wrapText="false" indent="0" shrinkToFit="false"/>
      <protection locked="true" hidden="false"/>
    </xf>
    <xf numFmtId="169" fontId="27" fillId="19" borderId="13" xfId="0" applyFont="true" applyBorder="true" applyAlignment="true" applyProtection="true">
      <alignment horizontal="general" vertical="bottom" textRotation="0" wrapText="false" indent="0" shrinkToFit="false"/>
      <protection locked="true" hidden="false"/>
    </xf>
    <xf numFmtId="169" fontId="27" fillId="19" borderId="5" xfId="0" applyFont="true" applyBorder="true" applyAlignment="true" applyProtection="true">
      <alignment horizontal="general" vertical="bottom" textRotation="0" wrapText="false" indent="0" shrinkToFit="false"/>
      <protection locked="true" hidden="false"/>
    </xf>
    <xf numFmtId="169" fontId="25" fillId="0" borderId="47" xfId="0" applyFont="true" applyBorder="true" applyAlignment="true" applyProtection="true">
      <alignment horizontal="general" vertical="center" textRotation="0" wrapText="true" indent="0" shrinkToFit="false"/>
      <protection locked="true" hidden="false"/>
    </xf>
    <xf numFmtId="169" fontId="24" fillId="0" borderId="47" xfId="0" applyFont="true" applyBorder="true" applyAlignment="true" applyProtection="true">
      <alignment horizontal="general" vertical="center"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Input 2" xfId="20"/>
    <cellStyle name="Input 2 2" xfId="21"/>
    <cellStyle name="Millares 2" xfId="22"/>
    <cellStyle name="Normal 2" xfId="23"/>
    <cellStyle name="Normal 2 2" xfId="24"/>
    <cellStyle name="Normal 2 2 2" xfId="25"/>
    <cellStyle name="Normal 4" xfId="26"/>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66FF33"/>
      <rgbColor rgb="FF9C0006"/>
      <rgbColor rgb="FF008000"/>
      <rgbColor rgb="FF000080"/>
      <rgbColor rgb="FF808000"/>
      <rgbColor rgb="FF800080"/>
      <rgbColor rgb="FF008080"/>
      <rgbColor rgb="FFBFBFBF"/>
      <rgbColor rgb="FF7F7F7F"/>
      <rgbColor rgb="FFC3D69B"/>
      <rgbColor rgb="FF993366"/>
      <rgbColor rgb="FFEBF1DE"/>
      <rgbColor rgb="FFDDEBF7"/>
      <rgbColor rgb="FF660066"/>
      <rgbColor rgb="FFFDEADA"/>
      <rgbColor rgb="FF0066CC"/>
      <rgbColor rgb="FFD9D9D9"/>
      <rgbColor rgb="FF000080"/>
      <rgbColor rgb="FFFF00FF"/>
      <rgbColor rgb="FFF8F200"/>
      <rgbColor rgb="FFA2E8BD"/>
      <rgbColor rgb="FF800080"/>
      <rgbColor rgb="FF800000"/>
      <rgbColor rgb="FF008080"/>
      <rgbColor rgb="FF0000FF"/>
      <rgbColor rgb="FF00CCFF"/>
      <rgbColor rgb="FFB7DEE8"/>
      <rgbColor rgb="FFE2EFDA"/>
      <rgbColor rgb="FFFFE699"/>
      <rgbColor rgb="FF9DC3E6"/>
      <rgbColor rgb="FFFFC7CE"/>
      <rgbColor rgb="FFC9C9C9"/>
      <rgbColor rgb="FFFFCC99"/>
      <rgbColor rgb="FF3366FF"/>
      <rgbColor rgb="FF39C6DB"/>
      <rgbColor rgb="FFA9D18E"/>
      <rgbColor rgb="FFFFC000"/>
      <rgbColor rgb="FFFF9900"/>
      <rgbColor rgb="FFFF6600"/>
      <rgbColor rgb="FF666699"/>
      <rgbColor rgb="FFC4BD97"/>
      <rgbColor rgb="FF003366"/>
      <rgbColor rgb="FF00B050"/>
      <rgbColor rgb="FF003300"/>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12</xdr:col>
      <xdr:colOff>13320</xdr:colOff>
      <xdr:row>1</xdr:row>
      <xdr:rowOff>76680</xdr:rowOff>
    </xdr:to>
    <xdr:pic>
      <xdr:nvPicPr>
        <xdr:cNvPr id="1" name="Picture 2"/>
        <xdr:cNvPicPr/>
      </xdr:nvPicPr>
      <xdr:blipFill>
        <a:blip r:embed="rId1"/>
        <a:stretch/>
      </xdr:blipFill>
      <xdr:spPr>
        <a:xfrm>
          <a:off x="0" y="0"/>
          <a:ext cx="12312720" cy="829080"/>
        </a:xfrm>
        <a:prstGeom prst="rect">
          <a:avLst/>
        </a:prstGeom>
        <a:noFill/>
        <a:ln w="0">
          <a:noFill/>
        </a:ln>
      </xdr:spPr>
    </xdr:pic>
    <xdr:clientData/>
  </xdr:twoCellAnchor>
  <xdr:twoCellAnchor editAs="twoCell">
    <xdr:from>
      <xdr:col>0</xdr:col>
      <xdr:colOff>0</xdr:colOff>
      <xdr:row>0</xdr:row>
      <xdr:rowOff>47520</xdr:rowOff>
    </xdr:from>
    <xdr:to>
      <xdr:col>4</xdr:col>
      <xdr:colOff>92520</xdr:colOff>
      <xdr:row>0</xdr:row>
      <xdr:rowOff>530280</xdr:rowOff>
    </xdr:to>
    <xdr:sp>
      <xdr:nvSpPr>
        <xdr:cNvPr id="2" name="TextBox 3"/>
        <xdr:cNvSpPr/>
      </xdr:nvSpPr>
      <xdr:spPr>
        <a:xfrm>
          <a:off x="0" y="47520"/>
          <a:ext cx="5076720" cy="482760"/>
        </a:xfrm>
        <a:prstGeom prst="rect">
          <a:avLst/>
        </a:prstGeom>
        <a:noFill/>
        <a:ln w="9525">
          <a:noFill/>
        </a:ln>
      </xdr:spPr>
      <xdr:style>
        <a:lnRef idx="0"/>
        <a:fillRef idx="0"/>
        <a:effectRef idx="0"/>
        <a:fontRef idx="minor"/>
      </xdr:style>
      <xdr:txBody>
        <a:bodyPr horzOverflow="clip" vertOverflow="clip" lIns="90000" rIns="90000" tIns="45000" bIns="45000" anchor="t">
          <a:noAutofit/>
        </a:bodyPr>
        <a:p>
          <a:pPr>
            <a:lnSpc>
              <a:spcPct val="100000"/>
            </a:lnSpc>
            <a:tabLst>
              <a:tab algn="l" pos="0"/>
            </a:tabLst>
          </a:pPr>
          <a:r>
            <a:rPr lang="en-US" sz="2600" b="1" u="none" strike="noStrike">
              <a:solidFill>
                <a:srgbClr val="000000"/>
              </a:solidFill>
              <a:effectLst/>
              <a:uFillTx/>
              <a:latin typeface="Calibri"/>
              <a:ea typeface="Calibri"/>
            </a:rPr>
            <a:t>PYMEDEASCAT</a:t>
          </a:r>
          <a:endParaRPr lang="ca-ES" sz="26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5.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6.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1:L2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K26" activeCellId="0" sqref="K26"/>
    </sheetView>
  </sheetViews>
  <sheetFormatPr defaultColWidth="11.4296875" defaultRowHeight="15" customHeight="false" zeroHeight="false" outlineLevelRow="0" outlineLevelCol="0"/>
  <cols>
    <col collapsed="false" customWidth="true" hidden="false" outlineLevel="0" max="1" min="1" style="1" width="18.29"/>
    <col collapsed="false" customWidth="true" hidden="false" outlineLevel="0" max="2" min="2" style="1" width="21.14"/>
  </cols>
  <sheetData>
    <row r="1" customFormat="false" ht="59.25" hidden="false" customHeight="true" outlineLevel="0" collapsed="false">
      <c r="A1" s="2"/>
      <c r="B1" s="3"/>
      <c r="C1" s="3"/>
      <c r="D1" s="3"/>
      <c r="E1" s="3"/>
      <c r="F1" s="3"/>
      <c r="G1" s="3"/>
      <c r="H1" s="3"/>
      <c r="I1" s="3"/>
      <c r="J1" s="3"/>
      <c r="K1" s="3"/>
      <c r="L1" s="3"/>
    </row>
    <row r="2" customFormat="false" ht="14.25" hidden="false" customHeight="true" outlineLevel="0" collapsed="false">
      <c r="A2" s="4"/>
      <c r="B2" s="5"/>
      <c r="C2" s="5"/>
      <c r="D2" s="5"/>
      <c r="E2" s="5"/>
      <c r="F2" s="5"/>
      <c r="G2" s="5"/>
      <c r="H2" s="5"/>
      <c r="I2" s="5"/>
      <c r="J2" s="5"/>
      <c r="K2" s="5"/>
      <c r="L2" s="5"/>
    </row>
    <row r="3" customFormat="false" ht="18" hidden="false" customHeight="true" outlineLevel="0" collapsed="false">
      <c r="A3" s="6" t="s">
        <v>0</v>
      </c>
      <c r="B3" s="5"/>
      <c r="C3" s="7"/>
      <c r="D3" s="5"/>
      <c r="E3" s="5"/>
      <c r="F3" s="5"/>
      <c r="G3" s="5"/>
      <c r="H3" s="5"/>
      <c r="I3" s="5"/>
      <c r="J3" s="5"/>
      <c r="K3" s="5"/>
      <c r="L3" s="5"/>
    </row>
    <row r="4" customFormat="false" ht="15" hidden="false" customHeight="false" outlineLevel="0" collapsed="false">
      <c r="A4" s="8" t="s">
        <v>1</v>
      </c>
      <c r="B4" s="5" t="s">
        <v>2</v>
      </c>
      <c r="C4" s="7"/>
      <c r="D4" s="5"/>
      <c r="E4" s="5"/>
      <c r="F4" s="5"/>
      <c r="G4" s="5"/>
      <c r="H4" s="5"/>
      <c r="I4" s="5"/>
      <c r="J4" s="5"/>
      <c r="K4" s="5"/>
      <c r="L4" s="5"/>
    </row>
    <row r="5" customFormat="false" ht="15" hidden="false" customHeight="false" outlineLevel="0" collapsed="false">
      <c r="A5" s="8" t="s">
        <v>3</v>
      </c>
      <c r="B5" s="5" t="s">
        <v>4</v>
      </c>
      <c r="C5" s="7"/>
      <c r="D5" s="5"/>
      <c r="E5" s="5"/>
      <c r="F5" s="5"/>
      <c r="G5" s="5"/>
      <c r="H5" s="5"/>
      <c r="I5" s="5"/>
      <c r="J5" s="5"/>
      <c r="K5" s="5"/>
      <c r="L5" s="5"/>
    </row>
    <row r="6" customFormat="false" ht="15" hidden="false" customHeight="false" outlineLevel="0" collapsed="false">
      <c r="A6" s="5" t="s">
        <v>5</v>
      </c>
      <c r="B6" s="5" t="s">
        <v>6</v>
      </c>
      <c r="C6" s="7"/>
      <c r="D6" s="5"/>
      <c r="E6" s="5"/>
      <c r="F6" s="5"/>
      <c r="G6" s="5"/>
      <c r="H6" s="5"/>
      <c r="I6" s="5"/>
      <c r="J6" s="5"/>
      <c r="K6" s="5"/>
      <c r="L6" s="5"/>
    </row>
    <row r="7" customFormat="false" ht="15" hidden="false" customHeight="false" outlineLevel="0" collapsed="false">
      <c r="A7" s="5"/>
      <c r="B7" s="5"/>
      <c r="C7" s="7"/>
      <c r="D7" s="5"/>
      <c r="E7" s="5"/>
      <c r="F7" s="5"/>
      <c r="G7" s="5"/>
      <c r="H7" s="5"/>
      <c r="I7" s="5"/>
      <c r="J7" s="5"/>
      <c r="K7" s="5"/>
      <c r="L7" s="5"/>
    </row>
    <row r="8" customFormat="false" ht="15" hidden="false" customHeight="false" outlineLevel="0" collapsed="false">
      <c r="A8" s="5" t="s">
        <v>7</v>
      </c>
      <c r="B8" s="5" t="s">
        <v>8</v>
      </c>
      <c r="C8" s="7"/>
      <c r="D8" s="5"/>
      <c r="E8" s="5"/>
      <c r="F8" s="5"/>
      <c r="G8" s="5"/>
      <c r="H8" s="5"/>
      <c r="I8" s="5"/>
      <c r="J8" s="5"/>
      <c r="K8" s="5"/>
      <c r="L8" s="5"/>
    </row>
    <row r="9" customFormat="false" ht="15" hidden="false" customHeight="false" outlineLevel="0" collapsed="false">
      <c r="A9" s="5" t="s">
        <v>9</v>
      </c>
      <c r="B9" s="5" t="s">
        <v>10</v>
      </c>
      <c r="C9" s="7"/>
      <c r="D9" s="5"/>
      <c r="E9" s="5"/>
      <c r="F9" s="5"/>
      <c r="G9" s="5"/>
      <c r="H9" s="5"/>
      <c r="I9" s="5"/>
      <c r="J9" s="5"/>
      <c r="K9" s="5"/>
      <c r="L9" s="5"/>
    </row>
    <row r="10" customFormat="false" ht="15" hidden="false" customHeight="false" outlineLevel="0" collapsed="false">
      <c r="A10" s="5" t="s">
        <v>11</v>
      </c>
      <c r="B10" s="9" t="n">
        <v>44805</v>
      </c>
      <c r="C10" s="5"/>
      <c r="D10" s="5"/>
      <c r="E10" s="5"/>
      <c r="F10" s="5"/>
      <c r="G10" s="5"/>
      <c r="H10" s="5"/>
      <c r="I10" s="5"/>
      <c r="J10" s="5"/>
      <c r="K10" s="5"/>
      <c r="L10" s="5"/>
    </row>
    <row r="11" customFormat="false" ht="15" hidden="false" customHeight="false" outlineLevel="0" collapsed="false">
      <c r="A11" s="5" t="s">
        <v>12</v>
      </c>
      <c r="B11" s="5"/>
      <c r="C11" s="5"/>
      <c r="D11" s="5"/>
      <c r="E11" s="5"/>
      <c r="F11" s="5"/>
      <c r="G11" s="5"/>
      <c r="H11" s="5"/>
      <c r="I11" s="5"/>
      <c r="J11" s="5"/>
      <c r="K11" s="5"/>
      <c r="L11" s="5"/>
    </row>
    <row r="12" customFormat="false" ht="15" hidden="false" customHeight="false" outlineLevel="0" collapsed="false">
      <c r="A12" s="5"/>
      <c r="B12" s="5"/>
      <c r="C12" s="5"/>
      <c r="D12" s="5"/>
      <c r="E12" s="5"/>
      <c r="F12" s="5"/>
      <c r="G12" s="5"/>
      <c r="H12" s="5"/>
      <c r="I12" s="5"/>
      <c r="J12" s="5"/>
      <c r="K12" s="5"/>
      <c r="L12" s="5"/>
    </row>
    <row r="13" customFormat="false" ht="15" hidden="false" customHeight="false" outlineLevel="0" collapsed="false">
      <c r="A13" s="6" t="s">
        <v>13</v>
      </c>
      <c r="B13" s="5"/>
      <c r="C13" s="5"/>
      <c r="D13" s="5"/>
      <c r="E13" s="5"/>
      <c r="F13" s="5"/>
      <c r="G13" s="5"/>
      <c r="H13" s="5"/>
      <c r="I13" s="5"/>
      <c r="J13" s="5"/>
      <c r="K13" s="5"/>
      <c r="L13" s="5"/>
    </row>
    <row r="14" customFormat="false" ht="15" hidden="false" customHeight="false" outlineLevel="0" collapsed="false">
      <c r="A14" s="5" t="s">
        <v>14</v>
      </c>
      <c r="B14" s="5"/>
      <c r="C14" s="5"/>
      <c r="D14" s="5"/>
      <c r="E14" s="5"/>
      <c r="F14" s="5"/>
      <c r="G14" s="5"/>
      <c r="H14" s="5"/>
      <c r="I14" s="5"/>
      <c r="J14" s="5"/>
      <c r="K14" s="5"/>
      <c r="L14" s="5"/>
    </row>
    <row r="15" customFormat="false" ht="15" hidden="false" customHeight="false" outlineLevel="0" collapsed="false">
      <c r="A15" s="5" t="s">
        <v>15</v>
      </c>
      <c r="B15" s="5"/>
      <c r="C15" s="5"/>
      <c r="D15" s="5"/>
      <c r="E15" s="5"/>
      <c r="F15" s="5"/>
      <c r="G15" s="5"/>
      <c r="H15" s="5"/>
      <c r="I15" s="5"/>
      <c r="J15" s="5"/>
      <c r="K15" s="5"/>
      <c r="L15" s="5"/>
    </row>
    <row r="16" customFormat="false" ht="15" hidden="false" customHeight="false" outlineLevel="0" collapsed="false">
      <c r="A16" s="5" t="s">
        <v>16</v>
      </c>
      <c r="B16" s="5"/>
      <c r="C16" s="5"/>
      <c r="D16" s="5"/>
      <c r="E16" s="5"/>
      <c r="F16" s="5"/>
      <c r="G16" s="5"/>
      <c r="H16" s="5"/>
      <c r="I16" s="5"/>
      <c r="J16" s="5"/>
      <c r="K16" s="5"/>
      <c r="L16" s="5"/>
    </row>
    <row r="17" customFormat="false" ht="15" hidden="false" customHeight="false" outlineLevel="0" collapsed="false">
      <c r="A17" s="5" t="s">
        <v>17</v>
      </c>
      <c r="B17" s="5"/>
      <c r="C17" s="5"/>
      <c r="D17" s="5"/>
      <c r="E17" s="5"/>
      <c r="F17" s="5"/>
      <c r="G17" s="5"/>
      <c r="H17" s="5"/>
      <c r="I17" s="5"/>
      <c r="J17" s="5"/>
      <c r="K17" s="5"/>
      <c r="L17" s="5"/>
    </row>
    <row r="18" customFormat="false" ht="15" hidden="false" customHeight="false" outlineLevel="0" collapsed="false">
      <c r="A18" s="5"/>
      <c r="B18" s="5"/>
      <c r="C18" s="5"/>
      <c r="D18" s="5"/>
      <c r="E18" s="5"/>
      <c r="F18" s="5"/>
      <c r="G18" s="5"/>
      <c r="H18" s="5"/>
      <c r="I18" s="5"/>
      <c r="J18" s="5"/>
      <c r="K18" s="5"/>
      <c r="L18" s="10"/>
    </row>
    <row r="19" customFormat="false" ht="15" hidden="false" customHeight="false" outlineLevel="0" collapsed="false">
      <c r="A19" s="6" t="s">
        <v>18</v>
      </c>
      <c r="B19" s="5"/>
      <c r="C19" s="5"/>
      <c r="D19" s="5"/>
      <c r="E19" s="5"/>
      <c r="F19" s="5"/>
      <c r="G19" s="5"/>
      <c r="H19" s="5"/>
      <c r="I19" s="5"/>
      <c r="J19" s="5"/>
      <c r="K19" s="5"/>
      <c r="L19" s="5"/>
    </row>
    <row r="20" customFormat="false" ht="15" hidden="false" customHeight="false" outlineLevel="0" collapsed="false">
      <c r="A20" s="5" t="s">
        <v>19</v>
      </c>
      <c r="B20" s="5" t="s">
        <v>20</v>
      </c>
      <c r="C20" s="5"/>
      <c r="D20" s="5"/>
      <c r="E20" s="5"/>
      <c r="F20" s="5"/>
      <c r="G20" s="5"/>
      <c r="H20" s="5"/>
      <c r="I20" s="5"/>
      <c r="J20" s="5"/>
      <c r="K20" s="5"/>
      <c r="L20" s="5"/>
    </row>
    <row r="21" customFormat="false" ht="15" hidden="false" customHeight="false" outlineLevel="0" collapsed="false">
      <c r="A21" s="5" t="s">
        <v>21</v>
      </c>
      <c r="B21" s="5" t="s">
        <v>22</v>
      </c>
      <c r="C21" s="5"/>
      <c r="D21" s="5"/>
      <c r="E21" s="5"/>
      <c r="F21" s="5"/>
      <c r="G21" s="5"/>
      <c r="H21" s="5"/>
      <c r="I21" s="5"/>
      <c r="J21" s="5"/>
      <c r="K21" s="5"/>
      <c r="L21" s="5"/>
    </row>
    <row r="22" customFormat="false" ht="15" hidden="false" customHeight="false" outlineLevel="0" collapsed="false">
      <c r="A22" s="5" t="s">
        <v>23</v>
      </c>
      <c r="B22" s="5" t="s">
        <v>24</v>
      </c>
      <c r="C22" s="5"/>
      <c r="D22" s="5"/>
      <c r="E22" s="5"/>
      <c r="F22" s="5"/>
      <c r="G22" s="5"/>
      <c r="H22" s="5"/>
      <c r="I22" s="5"/>
      <c r="J22" s="5"/>
      <c r="K22" s="5"/>
      <c r="L22" s="5"/>
    </row>
    <row r="23" customFormat="false" ht="15" hidden="false" customHeight="false" outlineLevel="0" collapsed="false">
      <c r="A23" s="5"/>
      <c r="B23" s="5"/>
      <c r="C23" s="5"/>
      <c r="D23" s="5"/>
      <c r="E23" s="5"/>
      <c r="F23" s="5"/>
      <c r="G23" s="5"/>
      <c r="H23" s="5"/>
      <c r="I23" s="5"/>
      <c r="J23" s="5"/>
      <c r="K23" s="5"/>
      <c r="L23" s="5"/>
    </row>
    <row r="24" customFormat="false" ht="15" hidden="false" customHeight="false" outlineLevel="0" collapsed="false">
      <c r="A24" s="11"/>
      <c r="B24" s="11"/>
      <c r="C24" s="11"/>
      <c r="D24" s="11"/>
      <c r="E24" s="11"/>
      <c r="F24" s="11"/>
      <c r="G24" s="11"/>
      <c r="H24" s="11"/>
      <c r="I24" s="11"/>
      <c r="J24" s="11"/>
      <c r="K24" s="11"/>
      <c r="L24"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A1:FY327"/>
  <sheetViews>
    <sheetView showFormulas="false" showGridLines="true" showRowColHeaders="true" showZeros="true" rightToLeft="false" tabSelected="false" showOutlineSymbols="true" defaultGridColor="true" view="normal" topLeftCell="A273" colorId="64" zoomScale="70" zoomScaleNormal="70" zoomScalePageLayoutView="100" workbookViewId="0">
      <selection pane="topLeft" activeCell="C287" activeCellId="0" sqref="C287"/>
    </sheetView>
  </sheetViews>
  <sheetFormatPr defaultColWidth="11.4296875" defaultRowHeight="15" customHeight="false" zeroHeight="false" outlineLevelRow="0" outlineLevelCol="0"/>
  <cols>
    <col collapsed="false" customWidth="true" hidden="false" outlineLevel="0" max="1" min="1" style="1" width="44.86"/>
    <col collapsed="false" customWidth="true" hidden="false" outlineLevel="0" max="2" min="2" style="1" width="35.28"/>
    <col collapsed="false" customWidth="true" hidden="false" outlineLevel="0" max="3" min="3" style="1" width="80"/>
    <col collapsed="false" customWidth="true" hidden="false" outlineLevel="0" max="4" min="4" style="1" width="56.72"/>
    <col collapsed="false" customWidth="true" hidden="false" outlineLevel="0" max="5" min="5" style="1" width="39.43"/>
    <col collapsed="false" customWidth="true" hidden="false" outlineLevel="0" max="6" min="6" style="1" width="68.43"/>
    <col collapsed="false" customWidth="true" hidden="false" outlineLevel="0" max="7" min="7" style="1" width="34.29"/>
    <col collapsed="false" customWidth="true" hidden="false" outlineLevel="0" max="8" min="8" style="1" width="32.43"/>
    <col collapsed="false" customWidth="true" hidden="false" outlineLevel="0" max="9" min="9" style="1" width="20.29"/>
    <col collapsed="false" customWidth="true" hidden="false" outlineLevel="0" max="17" min="17" style="1" width="35.57"/>
  </cols>
  <sheetData>
    <row r="1" customFormat="false" ht="29.15" hidden="false" customHeight="false" outlineLevel="0" collapsed="false">
      <c r="A1" s="12" t="s">
        <v>25</v>
      </c>
      <c r="B1" s="13"/>
      <c r="C1" s="14"/>
      <c r="D1" s="14"/>
    </row>
    <row r="2" customFormat="false" ht="15" hidden="false" customHeight="false" outlineLevel="0" collapsed="false">
      <c r="A2" s="15" t="s">
        <v>26</v>
      </c>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7"/>
    </row>
    <row r="3" customFormat="false" ht="15" hidden="false" customHeight="false" outlineLevel="0" collapsed="false">
      <c r="A3" s="18" t="s">
        <v>27</v>
      </c>
      <c r="B3" s="1" t="s">
        <v>28</v>
      </c>
      <c r="C3" s="19" t="s">
        <v>29</v>
      </c>
      <c r="D3" s="20" t="s">
        <v>30</v>
      </c>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2"/>
      <c r="CJ3" s="22"/>
      <c r="CK3" s="22"/>
      <c r="CL3" s="23"/>
    </row>
    <row r="4" customFormat="false" ht="15" hidden="false" customHeight="false" outlineLevel="0" collapsed="false">
      <c r="A4" s="24" t="s">
        <v>31</v>
      </c>
      <c r="B4" s="25" t="s">
        <v>32</v>
      </c>
      <c r="C4" s="26" t="s">
        <v>33</v>
      </c>
      <c r="D4" s="27" t="s">
        <v>34</v>
      </c>
    </row>
    <row r="5" customFormat="false" ht="15" hidden="false" customHeight="false" outlineLevel="0" collapsed="false">
      <c r="A5" s="24"/>
      <c r="B5" s="25"/>
      <c r="C5" s="28" t="s">
        <v>35</v>
      </c>
      <c r="D5" s="29" t="s">
        <v>36</v>
      </c>
      <c r="E5" s="30" t="n">
        <v>2015</v>
      </c>
      <c r="F5" s="30" t="n">
        <v>2016</v>
      </c>
      <c r="G5" s="30" t="n">
        <v>2017</v>
      </c>
      <c r="H5" s="30" t="n">
        <v>2018</v>
      </c>
      <c r="I5" s="30" t="n">
        <v>2019</v>
      </c>
      <c r="J5" s="30" t="n">
        <v>2020</v>
      </c>
      <c r="K5" s="30" t="n">
        <v>2021</v>
      </c>
      <c r="L5" s="30" t="n">
        <v>2022</v>
      </c>
      <c r="M5" s="30" t="n">
        <v>2023</v>
      </c>
      <c r="N5" s="30" t="n">
        <v>2024</v>
      </c>
      <c r="O5" s="30" t="n">
        <v>2025</v>
      </c>
      <c r="P5" s="30" t="n">
        <v>2026</v>
      </c>
      <c r="Q5" s="30" t="n">
        <v>2027</v>
      </c>
      <c r="R5" s="30" t="n">
        <v>2028</v>
      </c>
      <c r="S5" s="30" t="n">
        <v>2029</v>
      </c>
      <c r="T5" s="30" t="n">
        <v>2030</v>
      </c>
      <c r="U5" s="30" t="n">
        <v>2031</v>
      </c>
      <c r="V5" s="30" t="n">
        <v>2032</v>
      </c>
      <c r="W5" s="30" t="n">
        <v>2033</v>
      </c>
      <c r="X5" s="30" t="n">
        <v>2034</v>
      </c>
      <c r="Y5" s="30" t="n">
        <v>2035</v>
      </c>
      <c r="Z5" s="30" t="n">
        <v>2036</v>
      </c>
      <c r="AA5" s="30" t="n">
        <v>2037</v>
      </c>
      <c r="AB5" s="30" t="n">
        <v>2038</v>
      </c>
      <c r="AC5" s="30" t="n">
        <v>2039</v>
      </c>
      <c r="AD5" s="30" t="n">
        <v>2040</v>
      </c>
      <c r="AE5" s="30" t="n">
        <v>2041</v>
      </c>
      <c r="AF5" s="30" t="n">
        <v>2042</v>
      </c>
      <c r="AG5" s="30" t="n">
        <v>2043</v>
      </c>
      <c r="AH5" s="30" t="n">
        <v>2044</v>
      </c>
      <c r="AI5" s="30" t="n">
        <v>2045</v>
      </c>
      <c r="AJ5" s="30" t="n">
        <v>2046</v>
      </c>
      <c r="AK5" s="30" t="n">
        <v>2047</v>
      </c>
      <c r="AL5" s="30" t="n">
        <v>2048</v>
      </c>
      <c r="AM5" s="30" t="n">
        <v>2049</v>
      </c>
      <c r="AN5" s="30" t="n">
        <v>2050</v>
      </c>
      <c r="AO5" s="30" t="n">
        <v>2051</v>
      </c>
      <c r="AP5" s="30" t="n">
        <v>2052</v>
      </c>
      <c r="AQ5" s="30" t="n">
        <v>2053</v>
      </c>
      <c r="AR5" s="30" t="n">
        <v>2054</v>
      </c>
      <c r="AS5" s="30" t="n">
        <v>2055</v>
      </c>
      <c r="AT5" s="30" t="n">
        <v>2056</v>
      </c>
      <c r="AU5" s="30" t="n">
        <v>2057</v>
      </c>
      <c r="AV5" s="30" t="n">
        <v>2058</v>
      </c>
      <c r="AW5" s="30" t="n">
        <v>2059</v>
      </c>
      <c r="AX5" s="30" t="n">
        <v>2060</v>
      </c>
      <c r="AY5" s="30" t="n">
        <v>2061</v>
      </c>
      <c r="AZ5" s="30" t="n">
        <v>2062</v>
      </c>
      <c r="BA5" s="30" t="n">
        <v>2063</v>
      </c>
      <c r="BB5" s="30" t="n">
        <v>2064</v>
      </c>
      <c r="BC5" s="30" t="n">
        <v>2065</v>
      </c>
      <c r="BD5" s="30" t="n">
        <v>2066</v>
      </c>
      <c r="BE5" s="30" t="n">
        <v>2067</v>
      </c>
      <c r="BF5" s="30" t="n">
        <v>2068</v>
      </c>
      <c r="BG5" s="30" t="n">
        <v>2069</v>
      </c>
      <c r="BH5" s="30" t="n">
        <v>2070</v>
      </c>
      <c r="BI5" s="30" t="n">
        <v>2071</v>
      </c>
      <c r="BJ5" s="30" t="n">
        <v>2072</v>
      </c>
      <c r="BK5" s="30" t="n">
        <v>2073</v>
      </c>
      <c r="BL5" s="30" t="n">
        <v>2074</v>
      </c>
      <c r="BM5" s="30" t="n">
        <v>2075</v>
      </c>
      <c r="BN5" s="30" t="n">
        <v>2076</v>
      </c>
      <c r="BO5" s="30" t="n">
        <v>2077</v>
      </c>
      <c r="BP5" s="30" t="n">
        <v>2078</v>
      </c>
      <c r="BQ5" s="30" t="n">
        <v>2079</v>
      </c>
      <c r="BR5" s="30" t="n">
        <v>2080</v>
      </c>
      <c r="BS5" s="30" t="n">
        <v>2081</v>
      </c>
      <c r="BT5" s="30" t="n">
        <v>2082</v>
      </c>
      <c r="BU5" s="30" t="n">
        <v>2083</v>
      </c>
      <c r="BV5" s="30" t="n">
        <v>2084</v>
      </c>
      <c r="BW5" s="30" t="n">
        <v>2085</v>
      </c>
      <c r="BX5" s="30" t="n">
        <v>2086</v>
      </c>
      <c r="BY5" s="30" t="n">
        <v>2087</v>
      </c>
      <c r="BZ5" s="30" t="n">
        <v>2088</v>
      </c>
      <c r="CA5" s="30" t="n">
        <v>2089</v>
      </c>
      <c r="CB5" s="30" t="n">
        <v>2090</v>
      </c>
      <c r="CC5" s="30" t="n">
        <v>2091</v>
      </c>
      <c r="CD5" s="30" t="n">
        <v>2092</v>
      </c>
      <c r="CE5" s="30" t="n">
        <v>2093</v>
      </c>
      <c r="CF5" s="30" t="n">
        <v>2094</v>
      </c>
      <c r="CG5" s="30" t="n">
        <v>2095</v>
      </c>
      <c r="CH5" s="30" t="n">
        <v>2096</v>
      </c>
      <c r="CI5" s="30" t="n">
        <v>2097</v>
      </c>
      <c r="CJ5" s="30" t="n">
        <v>2098</v>
      </c>
      <c r="CK5" s="30" t="n">
        <v>2099</v>
      </c>
      <c r="CL5" s="30" t="n">
        <v>2100</v>
      </c>
    </row>
    <row r="6" customFormat="false" ht="15" hidden="false" customHeight="false" outlineLevel="0" collapsed="false">
      <c r="A6" s="24"/>
      <c r="B6" s="25"/>
      <c r="C6" s="28"/>
      <c r="D6" s="29" t="s">
        <v>37</v>
      </c>
      <c r="E6" s="31" t="s">
        <v>38</v>
      </c>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row>
    <row r="7" customFormat="false" ht="15" hidden="false" customHeight="false" outlineLevel="0" collapsed="false">
      <c r="A7" s="24"/>
      <c r="B7" s="25"/>
      <c r="C7" s="28" t="s">
        <v>39</v>
      </c>
      <c r="D7" s="32" t="s">
        <v>40</v>
      </c>
      <c r="E7" s="33" t="s">
        <v>41</v>
      </c>
      <c r="F7" s="18" t="s">
        <v>42</v>
      </c>
      <c r="G7" s="27" t="s">
        <v>43</v>
      </c>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row>
    <row r="8" customFormat="false" ht="15" hidden="false" customHeight="false" outlineLevel="0" collapsed="false">
      <c r="A8" s="24"/>
      <c r="B8" s="25"/>
      <c r="C8" s="34" t="s">
        <v>44</v>
      </c>
      <c r="D8" s="32"/>
      <c r="E8" s="33"/>
      <c r="F8" s="18" t="s">
        <v>45</v>
      </c>
      <c r="G8" s="27" t="s">
        <v>46</v>
      </c>
      <c r="H8" s="18" t="s">
        <v>47</v>
      </c>
      <c r="I8" s="19" t="s">
        <v>47</v>
      </c>
    </row>
    <row r="10" customFormat="false" ht="15" hidden="false" customHeight="false" outlineLevel="0" collapsed="false">
      <c r="A10" s="35" t="s">
        <v>48</v>
      </c>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7"/>
    </row>
    <row r="11" customFormat="false" ht="15" hidden="false" customHeight="false" outlineLevel="0" collapsed="false">
      <c r="A11" s="36" t="s">
        <v>49</v>
      </c>
      <c r="B11" s="37" t="s">
        <v>50</v>
      </c>
      <c r="C11" s="38" t="s">
        <v>51</v>
      </c>
      <c r="D11" s="27" t="s">
        <v>52</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39"/>
    </row>
    <row r="12" customFormat="false" ht="15" hidden="false" customHeight="false" outlineLevel="0" collapsed="false">
      <c r="A12" s="36"/>
      <c r="B12" s="37"/>
      <c r="C12" s="28" t="s">
        <v>35</v>
      </c>
      <c r="D12" s="29" t="s">
        <v>36</v>
      </c>
      <c r="E12" s="30" t="n">
        <v>2015</v>
      </c>
      <c r="F12" s="30" t="n">
        <v>2016</v>
      </c>
      <c r="G12" s="30" t="n">
        <v>2017</v>
      </c>
      <c r="H12" s="30" t="n">
        <v>2018</v>
      </c>
      <c r="I12" s="30" t="n">
        <v>2019</v>
      </c>
      <c r="J12" s="30" t="n">
        <v>2020</v>
      </c>
      <c r="K12" s="30" t="n">
        <v>2021</v>
      </c>
      <c r="L12" s="30" t="n">
        <v>2022</v>
      </c>
      <c r="M12" s="30" t="n">
        <v>2023</v>
      </c>
      <c r="N12" s="30" t="n">
        <v>2024</v>
      </c>
      <c r="O12" s="30" t="n">
        <v>2025</v>
      </c>
      <c r="P12" s="30" t="n">
        <v>2026</v>
      </c>
      <c r="Q12" s="30" t="n">
        <v>2027</v>
      </c>
      <c r="R12" s="30" t="n">
        <v>2028</v>
      </c>
      <c r="S12" s="30" t="n">
        <v>2029</v>
      </c>
      <c r="T12" s="30" t="n">
        <v>2030</v>
      </c>
      <c r="U12" s="30" t="n">
        <v>2031</v>
      </c>
      <c r="V12" s="30" t="n">
        <v>2032</v>
      </c>
      <c r="W12" s="30" t="n">
        <v>2033</v>
      </c>
      <c r="X12" s="30" t="n">
        <v>2034</v>
      </c>
      <c r="Y12" s="30" t="n">
        <v>2035</v>
      </c>
      <c r="Z12" s="30" t="n">
        <v>2036</v>
      </c>
      <c r="AA12" s="30" t="n">
        <v>2037</v>
      </c>
      <c r="AB12" s="30" t="n">
        <v>2038</v>
      </c>
      <c r="AC12" s="30" t="n">
        <v>2039</v>
      </c>
      <c r="AD12" s="30" t="n">
        <v>2040</v>
      </c>
      <c r="AE12" s="30" t="n">
        <v>2041</v>
      </c>
      <c r="AF12" s="30" t="n">
        <v>2042</v>
      </c>
      <c r="AG12" s="30" t="n">
        <v>2043</v>
      </c>
      <c r="AH12" s="30" t="n">
        <v>2044</v>
      </c>
      <c r="AI12" s="30" t="n">
        <v>2045</v>
      </c>
      <c r="AJ12" s="30" t="n">
        <v>2046</v>
      </c>
      <c r="AK12" s="30" t="n">
        <v>2047</v>
      </c>
      <c r="AL12" s="30" t="n">
        <v>2048</v>
      </c>
      <c r="AM12" s="30" t="n">
        <v>2049</v>
      </c>
      <c r="AN12" s="30" t="n">
        <v>2050</v>
      </c>
      <c r="AO12" s="30" t="n">
        <v>2051</v>
      </c>
      <c r="AP12" s="30" t="n">
        <v>2052</v>
      </c>
      <c r="AQ12" s="30" t="n">
        <v>2053</v>
      </c>
      <c r="AR12" s="30" t="n">
        <v>2054</v>
      </c>
      <c r="AS12" s="30" t="n">
        <v>2055</v>
      </c>
      <c r="AT12" s="30" t="n">
        <v>2056</v>
      </c>
      <c r="AU12" s="30" t="n">
        <v>2057</v>
      </c>
      <c r="AV12" s="30" t="n">
        <v>2058</v>
      </c>
      <c r="AW12" s="30" t="n">
        <v>2059</v>
      </c>
      <c r="AX12" s="30" t="n">
        <v>2060</v>
      </c>
      <c r="AY12" s="30" t="n">
        <v>2061</v>
      </c>
      <c r="AZ12" s="30" t="n">
        <v>2062</v>
      </c>
      <c r="BA12" s="30" t="n">
        <v>2063</v>
      </c>
      <c r="BB12" s="30" t="n">
        <v>2064</v>
      </c>
      <c r="BC12" s="30" t="n">
        <v>2065</v>
      </c>
      <c r="BD12" s="30" t="n">
        <v>2066</v>
      </c>
      <c r="BE12" s="30" t="n">
        <v>2067</v>
      </c>
      <c r="BF12" s="30" t="n">
        <v>2068</v>
      </c>
      <c r="BG12" s="30" t="n">
        <v>2069</v>
      </c>
      <c r="BH12" s="30" t="n">
        <v>2070</v>
      </c>
      <c r="BI12" s="30" t="n">
        <v>2071</v>
      </c>
      <c r="BJ12" s="30" t="n">
        <v>2072</v>
      </c>
      <c r="BK12" s="30" t="n">
        <v>2073</v>
      </c>
      <c r="BL12" s="30" t="n">
        <v>2074</v>
      </c>
      <c r="BM12" s="30" t="n">
        <v>2075</v>
      </c>
      <c r="BN12" s="30" t="n">
        <v>2076</v>
      </c>
      <c r="BO12" s="30" t="n">
        <v>2077</v>
      </c>
      <c r="BP12" s="30" t="n">
        <v>2078</v>
      </c>
      <c r="BQ12" s="30" t="n">
        <v>2079</v>
      </c>
      <c r="BR12" s="30" t="n">
        <v>2080</v>
      </c>
      <c r="BS12" s="30" t="n">
        <v>2081</v>
      </c>
      <c r="BT12" s="30" t="n">
        <v>2082</v>
      </c>
      <c r="BU12" s="30" t="n">
        <v>2083</v>
      </c>
      <c r="BV12" s="30" t="n">
        <v>2084</v>
      </c>
      <c r="BW12" s="30" t="n">
        <v>2085</v>
      </c>
      <c r="BX12" s="30" t="n">
        <v>2086</v>
      </c>
      <c r="BY12" s="30" t="n">
        <v>2087</v>
      </c>
      <c r="BZ12" s="30" t="n">
        <v>2088</v>
      </c>
      <c r="CA12" s="30" t="n">
        <v>2089</v>
      </c>
      <c r="CB12" s="30" t="n">
        <v>2090</v>
      </c>
      <c r="CC12" s="30" t="n">
        <v>2091</v>
      </c>
      <c r="CD12" s="30" t="n">
        <v>2092</v>
      </c>
      <c r="CE12" s="30" t="n">
        <v>2093</v>
      </c>
      <c r="CF12" s="30" t="n">
        <v>2094</v>
      </c>
      <c r="CG12" s="30" t="n">
        <v>2095</v>
      </c>
      <c r="CH12" s="30" t="n">
        <v>2096</v>
      </c>
      <c r="CI12" s="30" t="n">
        <v>2097</v>
      </c>
      <c r="CJ12" s="30" t="n">
        <v>2098</v>
      </c>
      <c r="CK12" s="30" t="n">
        <v>2099</v>
      </c>
      <c r="CL12" s="40" t="n">
        <v>2100</v>
      </c>
      <c r="CM12" s="41" t="n">
        <v>2101</v>
      </c>
    </row>
    <row r="13" customFormat="false" ht="15" hidden="false" customHeight="false" outlineLevel="0" collapsed="false">
      <c r="A13" s="36"/>
      <c r="B13" s="37"/>
      <c r="C13" s="28"/>
      <c r="D13" s="29" t="s">
        <v>37</v>
      </c>
      <c r="E13" s="31" t="s">
        <v>53</v>
      </c>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42"/>
      <c r="CM13" s="43"/>
    </row>
    <row r="14" customFormat="false" ht="15" hidden="false" customHeight="false" outlineLevel="0" collapsed="false">
      <c r="A14" s="36"/>
      <c r="B14" s="37"/>
      <c r="C14" s="28" t="s">
        <v>39</v>
      </c>
      <c r="D14" s="44" t="s">
        <v>40</v>
      </c>
      <c r="E14" s="33" t="s">
        <v>54</v>
      </c>
      <c r="F14" s="18" t="s">
        <v>42</v>
      </c>
      <c r="G14" s="27" t="s">
        <v>55</v>
      </c>
    </row>
    <row r="15" customFormat="false" ht="15" hidden="false" customHeight="false" outlineLevel="0" collapsed="false">
      <c r="A15" s="36"/>
      <c r="B15" s="37"/>
      <c r="C15" s="28" t="s">
        <v>44</v>
      </c>
      <c r="D15" s="44"/>
      <c r="E15" s="33"/>
      <c r="F15" s="18" t="s">
        <v>56</v>
      </c>
      <c r="G15" s="27" t="s">
        <v>57</v>
      </c>
      <c r="H15" s="18" t="s">
        <v>47</v>
      </c>
      <c r="I15" s="19" t="s">
        <v>47</v>
      </c>
    </row>
    <row r="16" customFormat="false" ht="15" hidden="false" customHeight="false" outlineLevel="0" collapsed="false">
      <c r="A16" s="45"/>
      <c r="C16" s="46"/>
      <c r="D16" s="45"/>
    </row>
    <row r="17" customFormat="false" ht="15" hidden="false" customHeight="false" outlineLevel="0" collapsed="false">
      <c r="A17" s="45"/>
      <c r="C17" s="46"/>
      <c r="D17" s="45"/>
    </row>
    <row r="18" customFormat="false" ht="15" hidden="false" customHeight="false" outlineLevel="0" collapsed="false">
      <c r="A18" s="47" t="s">
        <v>58</v>
      </c>
      <c r="B18" s="48"/>
      <c r="C18" s="49"/>
      <c r="D18" s="49"/>
      <c r="E18" s="49"/>
      <c r="F18" s="49"/>
      <c r="G18" s="49"/>
      <c r="H18" s="48"/>
      <c r="I18" s="48"/>
      <c r="J18" s="48"/>
      <c r="K18" s="48"/>
      <c r="L18" s="48"/>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50"/>
    </row>
    <row r="19" customFormat="false" ht="14.25" hidden="false" customHeight="true" outlineLevel="0" collapsed="false">
      <c r="A19" s="51" t="s">
        <v>59</v>
      </c>
      <c r="B19" s="52" t="s">
        <v>60</v>
      </c>
      <c r="C19" s="52"/>
      <c r="D19" s="53" t="s">
        <v>61</v>
      </c>
      <c r="G19" s="54"/>
      <c r="L19" s="55"/>
      <c r="CL19" s="56"/>
    </row>
    <row r="20" customFormat="false" ht="15" hidden="false" customHeight="false" outlineLevel="0" collapsed="false">
      <c r="A20" s="51"/>
      <c r="B20" s="52" t="s">
        <v>62</v>
      </c>
      <c r="C20" s="52"/>
      <c r="D20" s="53"/>
      <c r="G20" s="54"/>
      <c r="L20" s="57"/>
      <c r="CL20" s="56"/>
    </row>
    <row r="21" customFormat="false" ht="15" hidden="false" customHeight="false" outlineLevel="0" collapsed="false">
      <c r="A21" s="51"/>
      <c r="B21" s="52" t="s">
        <v>63</v>
      </c>
      <c r="C21" s="52"/>
      <c r="D21" s="53"/>
      <c r="G21" s="54"/>
      <c r="L21" s="57"/>
      <c r="CL21" s="56"/>
    </row>
    <row r="22" customFormat="false" ht="15" hidden="false" customHeight="false" outlineLevel="0" collapsed="false">
      <c r="A22" s="51"/>
      <c r="B22" s="52" t="s">
        <v>64</v>
      </c>
      <c r="C22" s="52"/>
      <c r="D22" s="53"/>
      <c r="E22" s="58" t="s">
        <v>65</v>
      </c>
      <c r="F22" s="59" t="s">
        <v>66</v>
      </c>
      <c r="G22" s="60" t="s">
        <v>67</v>
      </c>
      <c r="H22" s="31" t="s">
        <v>68</v>
      </c>
      <c r="I22" s="11"/>
      <c r="L22" s="61"/>
      <c r="M22" s="45"/>
      <c r="N22" s="62"/>
      <c r="CL22" s="56"/>
    </row>
    <row r="23" customFormat="false" ht="15" hidden="false" customHeight="false" outlineLevel="0" collapsed="false">
      <c r="A23" s="47" t="s">
        <v>69</v>
      </c>
      <c r="B23" s="48"/>
      <c r="C23" s="48"/>
      <c r="D23" s="48"/>
      <c r="E23" s="47" t="s">
        <v>70</v>
      </c>
      <c r="F23" s="48"/>
      <c r="G23" s="48"/>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50"/>
    </row>
    <row r="24" customFormat="false" ht="15" hidden="false" customHeight="true" outlineLevel="0" collapsed="false">
      <c r="A24" s="18" t="s">
        <v>71</v>
      </c>
      <c r="B24" s="30" t="s">
        <v>72</v>
      </c>
      <c r="C24" s="63" t="s">
        <v>73</v>
      </c>
      <c r="D24" s="45"/>
      <c r="E24" s="18" t="s">
        <v>74</v>
      </c>
      <c r="F24" s="64" t="s">
        <v>28</v>
      </c>
      <c r="G24" s="19"/>
      <c r="I24" s="18" t="s">
        <v>75</v>
      </c>
      <c r="J24" s="30" t="s">
        <v>76</v>
      </c>
      <c r="K24" s="19"/>
      <c r="CL24" s="56"/>
    </row>
    <row r="25" customFormat="false" ht="15" hidden="false" customHeight="false" outlineLevel="0" collapsed="false">
      <c r="A25" s="18" t="s">
        <v>77</v>
      </c>
      <c r="B25" s="30" t="s">
        <v>78</v>
      </c>
      <c r="C25" s="65" t="s">
        <v>79</v>
      </c>
      <c r="D25" s="66"/>
      <c r="E25" s="18" t="s">
        <v>80</v>
      </c>
      <c r="F25" s="64" t="s">
        <v>28</v>
      </c>
      <c r="G25" s="19"/>
      <c r="CL25" s="56"/>
    </row>
    <row r="26" customFormat="false" ht="14.25" hidden="false" customHeight="true" outlineLevel="0" collapsed="false">
      <c r="A26" s="18" t="s">
        <v>81</v>
      </c>
      <c r="B26" s="30" t="s">
        <v>72</v>
      </c>
      <c r="C26" s="67" t="s">
        <v>82</v>
      </c>
      <c r="D26" s="45"/>
      <c r="E26" s="18" t="s">
        <v>83</v>
      </c>
      <c r="F26" s="64" t="s">
        <v>28</v>
      </c>
      <c r="G26" s="19"/>
      <c r="CL26" s="56"/>
    </row>
    <row r="27" customFormat="false" ht="15" hidden="false" customHeight="false" outlineLevel="0" collapsed="false">
      <c r="A27" s="18" t="s">
        <v>84</v>
      </c>
      <c r="B27" s="30" t="s">
        <v>72</v>
      </c>
      <c r="C27" s="67" t="s">
        <v>85</v>
      </c>
      <c r="D27" s="45"/>
      <c r="E27" s="47" t="s">
        <v>86</v>
      </c>
      <c r="CL27" s="56"/>
    </row>
    <row r="28" customFormat="false" ht="15" hidden="false" customHeight="false" outlineLevel="0" collapsed="false">
      <c r="A28" s="18" t="s">
        <v>87</v>
      </c>
      <c r="B28" s="30" t="s">
        <v>72</v>
      </c>
      <c r="C28" s="65" t="s">
        <v>88</v>
      </c>
      <c r="D28" s="45"/>
      <c r="E28" s="18" t="s">
        <v>89</v>
      </c>
      <c r="F28" s="64" t="s">
        <v>28</v>
      </c>
      <c r="G28" s="68"/>
      <c r="CL28" s="56"/>
    </row>
    <row r="29" customFormat="false" ht="15" hidden="false" customHeight="false" outlineLevel="0" collapsed="false">
      <c r="A29" s="18" t="s">
        <v>90</v>
      </c>
      <c r="B29" s="30" t="s">
        <v>72</v>
      </c>
      <c r="C29" s="65" t="s">
        <v>91</v>
      </c>
      <c r="D29" s="45"/>
      <c r="E29" s="18" t="s">
        <v>92</v>
      </c>
      <c r="F29" s="64" t="s">
        <v>28</v>
      </c>
      <c r="G29" s="69"/>
      <c r="CL29" s="56"/>
    </row>
    <row r="30" customFormat="false" ht="15" hidden="false" customHeight="false" outlineLevel="0" collapsed="false">
      <c r="A30" s="64"/>
      <c r="B30" s="30"/>
      <c r="C30" s="70"/>
      <c r="D30" s="45"/>
      <c r="E30" s="18" t="s">
        <v>93</v>
      </c>
      <c r="F30" s="64" t="s">
        <v>28</v>
      </c>
      <c r="G30" s="71"/>
      <c r="CL30" s="56"/>
    </row>
    <row r="31" customFormat="false" ht="15" hidden="false" customHeight="false" outlineLevel="0" collapsed="false">
      <c r="A31" s="47" t="s">
        <v>94</v>
      </c>
      <c r="B31" s="48"/>
      <c r="C31" s="48"/>
      <c r="D31" s="49"/>
      <c r="E31" s="72"/>
      <c r="F31" s="73"/>
      <c r="G31" s="73"/>
      <c r="H31" s="47" t="s">
        <v>95</v>
      </c>
      <c r="I31" s="48"/>
      <c r="J31" s="48"/>
      <c r="K31" s="48"/>
      <c r="L31" s="48"/>
      <c r="M31" s="48"/>
      <c r="N31" s="48"/>
      <c r="O31" s="48"/>
      <c r="P31" s="73"/>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50"/>
    </row>
    <row r="32" customFormat="false" ht="15" hidden="false" customHeight="false" outlineLevel="0" collapsed="false">
      <c r="A32" s="18" t="s">
        <v>96</v>
      </c>
      <c r="B32" s="30" t="s">
        <v>97</v>
      </c>
      <c r="C32" s="74" t="s">
        <v>98</v>
      </c>
      <c r="D32" s="18" t="s">
        <v>99</v>
      </c>
      <c r="E32" s="30" t="s">
        <v>36</v>
      </c>
      <c r="F32" s="31" t="s">
        <v>100</v>
      </c>
      <c r="G32" s="75"/>
      <c r="H32" s="18" t="s">
        <v>74</v>
      </c>
      <c r="I32" s="64" t="s">
        <v>28</v>
      </c>
      <c r="J32" s="76" t="s">
        <v>101</v>
      </c>
      <c r="K32" s="76"/>
      <c r="L32" s="76"/>
      <c r="M32" s="76"/>
      <c r="N32" s="76"/>
      <c r="O32" s="76"/>
      <c r="P32" s="45"/>
      <c r="Q32" s="75"/>
      <c r="R32" s="75"/>
      <c r="S32" s="75"/>
      <c r="CK32" s="56"/>
    </row>
    <row r="33" customFormat="false" ht="15" hidden="false" customHeight="false" outlineLevel="0" collapsed="false">
      <c r="A33" s="18" t="s">
        <v>102</v>
      </c>
      <c r="B33" s="30" t="s">
        <v>97</v>
      </c>
      <c r="C33" s="74" t="s">
        <v>98</v>
      </c>
      <c r="D33" s="18" t="s">
        <v>103</v>
      </c>
      <c r="E33" s="30" t="s">
        <v>36</v>
      </c>
      <c r="F33" s="74" t="s">
        <v>104</v>
      </c>
      <c r="G33" s="75"/>
      <c r="H33" s="18" t="s">
        <v>80</v>
      </c>
      <c r="I33" s="64" t="s">
        <v>28</v>
      </c>
      <c r="J33" s="76" t="s">
        <v>105</v>
      </c>
      <c r="K33" s="76"/>
      <c r="L33" s="76"/>
      <c r="M33" s="76"/>
      <c r="N33" s="76"/>
      <c r="O33" s="76"/>
      <c r="P33" s="45"/>
      <c r="Q33" s="75"/>
      <c r="R33" s="75"/>
      <c r="S33" s="75"/>
      <c r="CK33" s="56"/>
    </row>
    <row r="34" customFormat="false" ht="15" hidden="false" customHeight="false" outlineLevel="0" collapsed="false">
      <c r="A34" s="18" t="s">
        <v>106</v>
      </c>
      <c r="B34" s="30" t="s">
        <v>97</v>
      </c>
      <c r="C34" s="74" t="s">
        <v>98</v>
      </c>
      <c r="D34" s="75"/>
      <c r="E34" s="75"/>
      <c r="F34" s="75"/>
      <c r="G34" s="75"/>
      <c r="H34" s="18" t="s">
        <v>83</v>
      </c>
      <c r="I34" s="64" t="s">
        <v>28</v>
      </c>
      <c r="J34" s="76" t="s">
        <v>107</v>
      </c>
      <c r="K34" s="76"/>
      <c r="L34" s="76"/>
      <c r="M34" s="76"/>
      <c r="N34" s="76"/>
      <c r="O34" s="76"/>
      <c r="P34" s="45"/>
      <c r="Q34" s="75"/>
      <c r="R34" s="75"/>
      <c r="S34" s="75"/>
      <c r="CK34" s="56"/>
    </row>
    <row r="35" customFormat="false" ht="15" hidden="false" customHeight="false" outlineLevel="0" collapsed="false">
      <c r="A35" s="18" t="s">
        <v>108</v>
      </c>
      <c r="B35" s="30" t="s">
        <v>97</v>
      </c>
      <c r="C35" s="74" t="s">
        <v>98</v>
      </c>
      <c r="D35" s="18" t="s">
        <v>109</v>
      </c>
      <c r="E35" s="64" t="s">
        <v>28</v>
      </c>
      <c r="F35" s="77" t="n">
        <v>0.5</v>
      </c>
      <c r="J35" s="76"/>
      <c r="K35" s="76"/>
      <c r="L35" s="76"/>
      <c r="M35" s="76"/>
      <c r="N35" s="76"/>
      <c r="O35" s="76"/>
      <c r="CK35" s="56"/>
    </row>
    <row r="36" customFormat="false" ht="15" hidden="false" customHeight="false" outlineLevel="0" collapsed="false">
      <c r="A36" s="18" t="s">
        <v>110</v>
      </c>
      <c r="B36" s="30" t="s">
        <v>97</v>
      </c>
      <c r="C36" s="74" t="s">
        <v>98</v>
      </c>
      <c r="D36" s="75"/>
      <c r="E36" s="75"/>
      <c r="F36" s="78"/>
      <c r="H36" s="18" t="s">
        <v>89</v>
      </c>
      <c r="I36" s="64" t="s">
        <v>28</v>
      </c>
      <c r="J36" s="76" t="s">
        <v>111</v>
      </c>
      <c r="K36" s="76"/>
      <c r="L36" s="76"/>
      <c r="M36" s="76"/>
      <c r="N36" s="76"/>
      <c r="O36" s="76"/>
      <c r="P36" s="79"/>
      <c r="CK36" s="56"/>
    </row>
    <row r="37" customFormat="false" ht="15" hidden="false" customHeight="false" outlineLevel="0" collapsed="false">
      <c r="A37" s="18" t="s">
        <v>112</v>
      </c>
      <c r="B37" s="30" t="s">
        <v>97</v>
      </c>
      <c r="C37" s="74" t="s">
        <v>98</v>
      </c>
      <c r="D37" s="18" t="s">
        <v>113</v>
      </c>
      <c r="E37" s="30" t="s">
        <v>97</v>
      </c>
      <c r="F37" s="74" t="s">
        <v>98</v>
      </c>
      <c r="H37" s="18" t="s">
        <v>114</v>
      </c>
      <c r="I37" s="64" t="s">
        <v>28</v>
      </c>
      <c r="J37" s="76" t="s">
        <v>115</v>
      </c>
      <c r="K37" s="76"/>
      <c r="L37" s="76"/>
      <c r="M37" s="76"/>
      <c r="N37" s="76"/>
      <c r="O37" s="76"/>
      <c r="P37" s="46"/>
      <c r="Q37" s="18" t="s">
        <v>93</v>
      </c>
      <c r="R37" s="64" t="s">
        <v>28</v>
      </c>
      <c r="S37" s="69" t="n">
        <v>0.5</v>
      </c>
      <c r="CK37" s="56"/>
    </row>
    <row r="38" customFormat="false" ht="15" hidden="false" customHeight="false" outlineLevel="0" collapsed="false">
      <c r="A38" s="18" t="s">
        <v>116</v>
      </c>
      <c r="B38" s="30" t="s">
        <v>97</v>
      </c>
      <c r="C38" s="74" t="s">
        <v>98</v>
      </c>
      <c r="D38" s="18" t="s">
        <v>117</v>
      </c>
      <c r="E38" s="30" t="s">
        <v>97</v>
      </c>
      <c r="F38" s="74" t="s">
        <v>98</v>
      </c>
      <c r="H38" s="18" t="s">
        <v>118</v>
      </c>
      <c r="I38" s="64" t="s">
        <v>28</v>
      </c>
      <c r="J38" s="76" t="s">
        <v>119</v>
      </c>
      <c r="K38" s="76"/>
      <c r="L38" s="76"/>
      <c r="M38" s="76"/>
      <c r="N38" s="76"/>
      <c r="O38" s="76"/>
      <c r="CK38" s="56"/>
    </row>
    <row r="39" customFormat="false" ht="15" hidden="false" customHeight="false" outlineLevel="0" collapsed="false">
      <c r="A39" s="80" t="s">
        <v>120</v>
      </c>
      <c r="B39" s="48"/>
      <c r="C39" s="48"/>
      <c r="D39" s="73"/>
      <c r="E39" s="73"/>
      <c r="F39" s="73"/>
      <c r="G39" s="48"/>
      <c r="H39" s="73"/>
      <c r="I39" s="73"/>
      <c r="J39" s="73"/>
      <c r="K39" s="73"/>
      <c r="L39" s="73"/>
      <c r="M39" s="73"/>
      <c r="N39" s="73"/>
      <c r="O39" s="48"/>
      <c r="P39" s="48"/>
      <c r="Q39" s="48"/>
      <c r="R39" s="48"/>
      <c r="S39" s="48"/>
      <c r="T39" s="48"/>
      <c r="U39" s="48"/>
      <c r="V39" s="48"/>
      <c r="W39" s="48"/>
      <c r="X39" s="48"/>
      <c r="Y39" s="48"/>
      <c r="Z39" s="48"/>
      <c r="AA39" s="48"/>
      <c r="AB39" s="48"/>
      <c r="AC39" s="48"/>
      <c r="AD39" s="48"/>
      <c r="AE39" s="48"/>
      <c r="AF39" s="48"/>
      <c r="AG39" s="48"/>
      <c r="AH39" s="48"/>
      <c r="AI39" s="48"/>
      <c r="AJ39" s="48"/>
      <c r="AK39" s="48"/>
      <c r="AL39" s="48"/>
      <c r="AM39" s="48"/>
      <c r="AN39" s="48"/>
      <c r="AO39" s="48"/>
      <c r="AP39" s="48"/>
      <c r="AQ39" s="48"/>
      <c r="AR39" s="48"/>
      <c r="AS39" s="48"/>
      <c r="AT39" s="48"/>
      <c r="AU39" s="48"/>
      <c r="AV39" s="48"/>
      <c r="AW39" s="48"/>
      <c r="AX39" s="48"/>
      <c r="AY39" s="48"/>
      <c r="AZ39" s="48"/>
      <c r="BA39" s="48"/>
      <c r="BB39" s="48"/>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50"/>
    </row>
    <row r="40" customFormat="false" ht="15" hidden="false" customHeight="false" outlineLevel="0" collapsed="false">
      <c r="A40" s="70"/>
      <c r="B40" s="70"/>
      <c r="C40" s="64"/>
      <c r="H40" s="45"/>
      <c r="J40" s="81"/>
      <c r="K40" s="45"/>
      <c r="M40" s="45"/>
      <c r="CL40" s="56"/>
    </row>
    <row r="41" customFormat="false" ht="15" hidden="false" customHeight="false" outlineLevel="0" collapsed="false">
      <c r="A41" s="18" t="s">
        <v>121</v>
      </c>
      <c r="B41" s="64" t="s">
        <v>122</v>
      </c>
      <c r="C41" s="65" t="s">
        <v>123</v>
      </c>
      <c r="D41" s="45"/>
      <c r="F41" s="45"/>
      <c r="H41" s="45"/>
      <c r="K41" s="45"/>
      <c r="M41" s="45"/>
      <c r="CL41" s="56"/>
    </row>
    <row r="42" customFormat="false" ht="15" hidden="false" customHeight="false" outlineLevel="0" collapsed="false">
      <c r="A42" s="18" t="s">
        <v>124</v>
      </c>
      <c r="B42" s="82" t="s">
        <v>125</v>
      </c>
      <c r="C42" s="65" t="s">
        <v>126</v>
      </c>
      <c r="D42" s="45"/>
      <c r="E42" s="45"/>
      <c r="F42" s="45"/>
      <c r="H42" s="45"/>
      <c r="J42" s="81"/>
      <c r="K42" s="45"/>
      <c r="CL42" s="56"/>
    </row>
    <row r="43" customFormat="false" ht="15" hidden="false" customHeight="false" outlineLevel="0" collapsed="false">
      <c r="A43" s="18" t="s">
        <v>127</v>
      </c>
      <c r="B43" s="82" t="s">
        <v>125</v>
      </c>
      <c r="C43" s="19" t="s">
        <v>128</v>
      </c>
      <c r="H43" s="45"/>
      <c r="K43" s="45"/>
      <c r="CL43" s="56"/>
    </row>
    <row r="44" customFormat="false" ht="15" hidden="false" customHeight="false" outlineLevel="0" collapsed="false">
      <c r="A44" s="80" t="s">
        <v>129</v>
      </c>
      <c r="B44" s="48"/>
      <c r="C44" s="48"/>
      <c r="D44" s="72"/>
      <c r="E44" s="72"/>
      <c r="F44" s="72"/>
      <c r="H44" s="45"/>
      <c r="CL44" s="56"/>
    </row>
    <row r="45" customFormat="false" ht="15" hidden="false" customHeight="false" outlineLevel="0" collapsed="false">
      <c r="A45" s="83" t="s">
        <v>130</v>
      </c>
      <c r="B45" s="84" t="s">
        <v>97</v>
      </c>
      <c r="C45" s="85" t="s">
        <v>131</v>
      </c>
      <c r="D45" s="18" t="s">
        <v>132</v>
      </c>
      <c r="E45" s="82" t="s">
        <v>36</v>
      </c>
      <c r="F45" s="86" t="s">
        <v>133</v>
      </c>
      <c r="H45" s="45"/>
      <c r="K45" s="45"/>
      <c r="M45" s="81"/>
      <c r="CL45" s="56"/>
    </row>
    <row r="46" customFormat="false" ht="15" hidden="false" customHeight="false" outlineLevel="0" collapsed="false">
      <c r="A46" s="18" t="s">
        <v>134</v>
      </c>
      <c r="B46" s="82" t="s">
        <v>36</v>
      </c>
      <c r="C46" s="63" t="s">
        <v>135</v>
      </c>
      <c r="D46" s="18" t="s">
        <v>136</v>
      </c>
      <c r="E46" s="30" t="s">
        <v>97</v>
      </c>
      <c r="F46" s="85" t="s">
        <v>98</v>
      </c>
      <c r="H46" s="45"/>
      <c r="CL46" s="56"/>
    </row>
    <row r="47" customFormat="false" ht="15" hidden="false" customHeight="false" outlineLevel="0" collapsed="false">
      <c r="A47" s="18" t="s">
        <v>137</v>
      </c>
      <c r="B47" s="82" t="s">
        <v>97</v>
      </c>
      <c r="C47" s="85" t="s">
        <v>131</v>
      </c>
      <c r="H47" s="45"/>
      <c r="CL47" s="56"/>
    </row>
    <row r="48" customFormat="false" ht="15" hidden="false" customHeight="false" outlineLevel="0" collapsed="false">
      <c r="A48" s="18" t="s">
        <v>138</v>
      </c>
      <c r="B48" s="82" t="s">
        <v>36</v>
      </c>
      <c r="C48" s="87" t="s">
        <v>139</v>
      </c>
      <c r="H48" s="45"/>
      <c r="J48" s="88"/>
      <c r="CL48" s="56"/>
    </row>
    <row r="49" customFormat="false" ht="15" hidden="false" customHeight="false" outlineLevel="0" collapsed="false">
      <c r="A49" s="18" t="s">
        <v>140</v>
      </c>
      <c r="B49" s="82" t="s">
        <v>28</v>
      </c>
      <c r="C49" s="31" t="s">
        <v>141</v>
      </c>
      <c r="H49" s="45"/>
      <c r="J49" s="45"/>
      <c r="CL49" s="56"/>
    </row>
    <row r="50" customFormat="false" ht="15" hidden="false" customHeight="false" outlineLevel="0" collapsed="false">
      <c r="A50" s="18" t="s">
        <v>142</v>
      </c>
      <c r="B50" s="82" t="s">
        <v>97</v>
      </c>
      <c r="C50" s="74" t="s">
        <v>98</v>
      </c>
      <c r="D50" s="45"/>
      <c r="F50" s="45"/>
      <c r="H50" s="45"/>
      <c r="CL50" s="56"/>
    </row>
    <row r="51" customFormat="false" ht="15" hidden="false" customHeight="false" outlineLevel="0" collapsed="false">
      <c r="A51" s="47" t="s">
        <v>143</v>
      </c>
      <c r="B51" s="48"/>
      <c r="C51" s="48"/>
      <c r="D51" s="89" t="s">
        <v>144</v>
      </c>
      <c r="E51" s="48"/>
      <c r="F51" s="48"/>
      <c r="G51" s="48"/>
      <c r="H51" s="49"/>
      <c r="I51" s="49"/>
      <c r="J51" s="49"/>
      <c r="K51" s="49"/>
      <c r="L51" s="49"/>
      <c r="M51" s="49"/>
      <c r="N51" s="49"/>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50"/>
    </row>
    <row r="52" customFormat="false" ht="15" hidden="false" customHeight="false" outlineLevel="0" collapsed="false">
      <c r="A52" s="18" t="s">
        <v>145</v>
      </c>
      <c r="B52" s="30" t="s">
        <v>146</v>
      </c>
      <c r="C52" s="19" t="s">
        <v>147</v>
      </c>
      <c r="D52" s="18" t="s">
        <v>148</v>
      </c>
      <c r="E52" s="30" t="s">
        <v>146</v>
      </c>
      <c r="F52" s="19" t="s">
        <v>149</v>
      </c>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50"/>
    </row>
    <row r="53" customFormat="false" ht="15" hidden="false" customHeight="false" outlineLevel="0" collapsed="false">
      <c r="A53" s="18" t="s">
        <v>150</v>
      </c>
      <c r="B53" s="30" t="s">
        <v>97</v>
      </c>
      <c r="C53" s="74" t="s">
        <v>98</v>
      </c>
      <c r="D53" s="18" t="s">
        <v>151</v>
      </c>
      <c r="E53" s="30" t="s">
        <v>97</v>
      </c>
      <c r="F53" s="74" t="s">
        <v>98</v>
      </c>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CL53" s="56"/>
    </row>
    <row r="54" customFormat="false" ht="15" hidden="false" customHeight="false" outlineLevel="0" collapsed="false">
      <c r="A54" s="89" t="s">
        <v>152</v>
      </c>
      <c r="B54" s="48"/>
      <c r="C54" s="48"/>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90"/>
    </row>
    <row r="55" customFormat="false" ht="15" hidden="false" customHeight="false" outlineLevel="0" collapsed="false">
      <c r="A55" s="18" t="s">
        <v>153</v>
      </c>
      <c r="B55" s="30" t="s">
        <v>122</v>
      </c>
      <c r="C55" s="91" t="s">
        <v>154</v>
      </c>
      <c r="D55" s="45"/>
      <c r="E55" s="45"/>
      <c r="F55" s="45"/>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c r="AT55" s="45"/>
      <c r="AU55" s="45"/>
      <c r="AV55" s="45"/>
      <c r="AW55" s="45"/>
      <c r="AX55" s="45"/>
      <c r="AY55" s="45"/>
      <c r="AZ55" s="45"/>
      <c r="BA55" s="45"/>
    </row>
    <row r="56" customFormat="false" ht="15" hidden="false" customHeight="false" outlineLevel="0" collapsed="false">
      <c r="A56" s="18" t="s">
        <v>155</v>
      </c>
      <c r="B56" s="30" t="s">
        <v>78</v>
      </c>
      <c r="C56" s="91" t="s">
        <v>156</v>
      </c>
      <c r="D56" s="45"/>
      <c r="E56" s="45"/>
      <c r="F56" s="45"/>
    </row>
    <row r="57" customFormat="false" ht="15" hidden="false" customHeight="false" outlineLevel="0" collapsed="false">
      <c r="A57" s="89" t="s">
        <v>157</v>
      </c>
      <c r="B57" s="48"/>
      <c r="C57" s="48"/>
    </row>
    <row r="58" customFormat="false" ht="15" hidden="false" customHeight="false" outlineLevel="0" collapsed="false">
      <c r="A58" s="18" t="s">
        <v>158</v>
      </c>
      <c r="B58" s="1" t="s">
        <v>36</v>
      </c>
      <c r="C58" s="92" t="s">
        <v>159</v>
      </c>
      <c r="G58" s="81"/>
    </row>
    <row r="59" customFormat="false" ht="15" hidden="false" customHeight="false" outlineLevel="0" collapsed="false">
      <c r="A59" s="18" t="s">
        <v>160</v>
      </c>
      <c r="B59" s="30" t="s">
        <v>36</v>
      </c>
      <c r="C59" s="93" t="s">
        <v>104</v>
      </c>
      <c r="G59" s="81"/>
    </row>
    <row r="60" customFormat="false" ht="15" hidden="false" customHeight="false" outlineLevel="0" collapsed="false">
      <c r="A60" s="18" t="s">
        <v>161</v>
      </c>
      <c r="B60" s="30" t="s">
        <v>97</v>
      </c>
      <c r="C60" s="94" t="s">
        <v>98</v>
      </c>
      <c r="D60" s="45"/>
    </row>
    <row r="61" customFormat="false" ht="15" hidden="false" customHeight="false" outlineLevel="0" collapsed="false">
      <c r="A61" s="18" t="s">
        <v>162</v>
      </c>
      <c r="B61" s="30" t="s">
        <v>97</v>
      </c>
      <c r="C61" s="94" t="s">
        <v>98</v>
      </c>
      <c r="D61" s="81"/>
    </row>
    <row r="62" customFormat="false" ht="15" hidden="false" customHeight="false" outlineLevel="0" collapsed="false">
      <c r="A62" s="18" t="s">
        <v>163</v>
      </c>
      <c r="B62" s="30" t="s">
        <v>97</v>
      </c>
      <c r="C62" s="94" t="s">
        <v>98</v>
      </c>
      <c r="D62" s="81"/>
    </row>
    <row r="63" customFormat="false" ht="15" hidden="false" customHeight="false" outlineLevel="0" collapsed="false">
      <c r="A63" s="18"/>
      <c r="B63" s="30"/>
      <c r="C63" s="94"/>
      <c r="D63" s="81"/>
    </row>
    <row r="64" customFormat="false" ht="15" hidden="false" customHeight="false" outlineLevel="0" collapsed="false">
      <c r="A64" s="89" t="s">
        <v>164</v>
      </c>
      <c r="B64" s="48"/>
      <c r="C64" s="48"/>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c r="BC64" s="49"/>
      <c r="BD64" s="49"/>
      <c r="BE64" s="49"/>
      <c r="BF64" s="49"/>
      <c r="BG64" s="49"/>
      <c r="BH64" s="49"/>
      <c r="BI64" s="49"/>
      <c r="BJ64" s="49"/>
      <c r="BK64" s="49"/>
      <c r="BL64" s="49"/>
      <c r="BM64" s="49"/>
      <c r="BN64" s="49"/>
      <c r="BO64" s="49"/>
      <c r="BP64" s="49"/>
      <c r="BQ64" s="49"/>
      <c r="BR64" s="49"/>
      <c r="BS64" s="49"/>
      <c r="BT64" s="49"/>
      <c r="BU64" s="49"/>
      <c r="BV64" s="49"/>
      <c r="BW64" s="49"/>
      <c r="BX64" s="49"/>
      <c r="BY64" s="49"/>
      <c r="BZ64" s="49"/>
      <c r="CA64" s="49"/>
      <c r="CB64" s="49"/>
      <c r="CC64" s="49"/>
      <c r="CD64" s="49"/>
      <c r="CE64" s="49"/>
      <c r="CF64" s="49"/>
      <c r="CG64" s="49"/>
      <c r="CH64" s="49"/>
      <c r="CI64" s="49"/>
      <c r="CJ64" s="49"/>
      <c r="CK64" s="49"/>
      <c r="CL64" s="95"/>
    </row>
    <row r="65" customFormat="false" ht="15" hidden="false" customHeight="false" outlineLevel="0" collapsed="false">
      <c r="A65" s="18" t="s">
        <v>165</v>
      </c>
      <c r="B65" s="31" t="s">
        <v>166</v>
      </c>
      <c r="C65" s="84"/>
      <c r="D65" s="96"/>
      <c r="E65" s="96"/>
      <c r="F65" s="96"/>
      <c r="G65" s="96"/>
      <c r="CL65" s="56"/>
    </row>
    <row r="66" customFormat="false" ht="15" hidden="false" customHeight="false" outlineLevel="0" collapsed="false">
      <c r="A66" s="97" t="s">
        <v>167</v>
      </c>
      <c r="B66" s="73"/>
      <c r="C66" s="72"/>
      <c r="D66" s="49"/>
      <c r="E66" s="49"/>
      <c r="F66" s="49"/>
      <c r="G66" s="49"/>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50"/>
    </row>
    <row r="67" customFormat="false" ht="15" hidden="false" customHeight="false" outlineLevel="0" collapsed="false">
      <c r="A67" s="98" t="s">
        <v>168</v>
      </c>
      <c r="B67" s="99" t="s">
        <v>169</v>
      </c>
      <c r="C67" s="86" t="s">
        <v>170</v>
      </c>
      <c r="D67" s="18" t="s">
        <v>171</v>
      </c>
      <c r="E67" s="27" t="s">
        <v>172</v>
      </c>
      <c r="F67" s="100"/>
      <c r="G67" s="100"/>
      <c r="H67" s="101"/>
      <c r="I67" s="72"/>
      <c r="J67" s="72"/>
      <c r="K67" s="72"/>
      <c r="L67" s="72"/>
      <c r="M67" s="72"/>
      <c r="N67" s="72"/>
      <c r="O67" s="72"/>
      <c r="P67" s="72"/>
      <c r="Q67" s="72"/>
      <c r="R67" s="72"/>
      <c r="S67" s="72"/>
      <c r="T67" s="72"/>
      <c r="U67" s="72"/>
      <c r="V67" s="72"/>
      <c r="W67" s="72"/>
      <c r="X67" s="72"/>
      <c r="Y67" s="72"/>
      <c r="Z67" s="72"/>
      <c r="AA67" s="72"/>
      <c r="AB67" s="72"/>
      <c r="AC67" s="72"/>
      <c r="AD67" s="72"/>
      <c r="AE67" s="72"/>
      <c r="AF67" s="72"/>
      <c r="AG67" s="72"/>
      <c r="AH67" s="72"/>
      <c r="AI67" s="72"/>
      <c r="AJ67" s="72"/>
      <c r="AK67" s="72"/>
      <c r="AL67" s="72"/>
      <c r="AM67" s="72"/>
      <c r="AN67" s="72"/>
      <c r="AO67" s="72"/>
      <c r="AP67" s="72"/>
      <c r="AQ67" s="72"/>
      <c r="AR67" s="72"/>
      <c r="AS67" s="72"/>
      <c r="AT67" s="72"/>
      <c r="AU67" s="72"/>
      <c r="AV67" s="72"/>
      <c r="AW67" s="72"/>
      <c r="AX67" s="72"/>
      <c r="AY67" s="72"/>
      <c r="AZ67" s="72"/>
      <c r="BA67" s="72"/>
      <c r="BB67" s="72"/>
      <c r="BC67" s="72"/>
      <c r="BD67" s="72"/>
      <c r="BE67" s="72"/>
      <c r="BF67" s="72"/>
      <c r="BG67" s="72"/>
      <c r="BH67" s="72"/>
      <c r="BI67" s="72"/>
      <c r="BJ67" s="72"/>
      <c r="BK67" s="72"/>
      <c r="BL67" s="72"/>
      <c r="BM67" s="72"/>
      <c r="BN67" s="72"/>
      <c r="BO67" s="72"/>
      <c r="BP67" s="72"/>
      <c r="BQ67" s="72"/>
      <c r="BR67" s="72"/>
      <c r="BS67" s="72"/>
      <c r="BT67" s="72"/>
      <c r="BU67" s="72"/>
      <c r="BV67" s="72"/>
      <c r="BW67" s="72"/>
      <c r="BX67" s="72"/>
      <c r="BY67" s="72"/>
      <c r="BZ67" s="72"/>
      <c r="CA67" s="72"/>
      <c r="CB67" s="72"/>
      <c r="CC67" s="72"/>
      <c r="CD67" s="72"/>
      <c r="CE67" s="72"/>
      <c r="CF67" s="72"/>
      <c r="CG67" s="72"/>
      <c r="CH67" s="72"/>
      <c r="CI67" s="72"/>
      <c r="CJ67" s="72"/>
      <c r="CK67" s="72"/>
      <c r="CL67" s="102"/>
    </row>
    <row r="68" customFormat="false" ht="14.25" hidden="false" customHeight="true" outlineLevel="0" collapsed="false">
      <c r="A68" s="103" t="s">
        <v>173</v>
      </c>
      <c r="B68" s="52" t="s">
        <v>174</v>
      </c>
      <c r="C68" s="52"/>
      <c r="D68" s="104" t="s">
        <v>175</v>
      </c>
      <c r="CL68" s="56"/>
    </row>
    <row r="69" customFormat="false" ht="15" hidden="false" customHeight="false" outlineLevel="0" collapsed="false">
      <c r="A69" s="103"/>
      <c r="B69" s="52" t="s">
        <v>176</v>
      </c>
      <c r="C69" s="52"/>
      <c r="D69" s="104"/>
      <c r="CL69" s="56"/>
    </row>
    <row r="70" customFormat="false" ht="15" hidden="false" customHeight="false" outlineLevel="0" collapsed="false">
      <c r="A70" s="103"/>
      <c r="B70" s="52" t="s">
        <v>177</v>
      </c>
      <c r="C70" s="52"/>
      <c r="D70" s="104"/>
      <c r="CL70" s="56"/>
    </row>
    <row r="71" customFormat="false" ht="15" hidden="false" customHeight="false" outlineLevel="0" collapsed="false">
      <c r="A71" s="103"/>
      <c r="B71" s="52" t="s">
        <v>178</v>
      </c>
      <c r="C71" s="52"/>
      <c r="D71" s="104"/>
      <c r="CL71" s="56"/>
    </row>
    <row r="72" customFormat="false" ht="14.25" hidden="false" customHeight="true" outlineLevel="0" collapsed="false">
      <c r="A72" s="103" t="s">
        <v>179</v>
      </c>
      <c r="B72" s="52" t="s">
        <v>180</v>
      </c>
      <c r="C72" s="52"/>
      <c r="D72" s="105" t="s">
        <v>175</v>
      </c>
      <c r="CL72" s="56"/>
    </row>
    <row r="73" customFormat="false" ht="15" hidden="false" customHeight="false" outlineLevel="0" collapsed="false">
      <c r="A73" s="103"/>
      <c r="B73" s="52" t="s">
        <v>181</v>
      </c>
      <c r="C73" s="52"/>
      <c r="D73" s="105"/>
      <c r="CL73" s="56"/>
    </row>
    <row r="74" customFormat="false" ht="15" hidden="false" customHeight="false" outlineLevel="0" collapsed="false">
      <c r="A74" s="103"/>
      <c r="B74" s="52" t="s">
        <v>182</v>
      </c>
      <c r="C74" s="52"/>
      <c r="D74" s="105"/>
      <c r="CL74" s="56"/>
    </row>
    <row r="75" customFormat="false" ht="15" hidden="false" customHeight="false" outlineLevel="0" collapsed="false">
      <c r="A75" s="103"/>
      <c r="B75" s="52" t="s">
        <v>183</v>
      </c>
      <c r="C75" s="52"/>
      <c r="D75" s="105"/>
      <c r="CL75" s="56"/>
    </row>
    <row r="76" customFormat="false" ht="14.25" hidden="false" customHeight="true" outlineLevel="0" collapsed="false">
      <c r="A76" s="103" t="s">
        <v>184</v>
      </c>
      <c r="B76" s="52" t="s">
        <v>185</v>
      </c>
      <c r="C76" s="52"/>
      <c r="D76" s="105" t="s">
        <v>175</v>
      </c>
      <c r="CL76" s="56"/>
    </row>
    <row r="77" customFormat="false" ht="15" hidden="false" customHeight="false" outlineLevel="0" collapsed="false">
      <c r="A77" s="103"/>
      <c r="B77" s="52" t="s">
        <v>186</v>
      </c>
      <c r="C77" s="52"/>
      <c r="D77" s="105"/>
      <c r="CL77" s="56"/>
    </row>
    <row r="78" customFormat="false" ht="15" hidden="false" customHeight="false" outlineLevel="0" collapsed="false">
      <c r="A78" s="103"/>
      <c r="B78" s="52"/>
      <c r="C78" s="52"/>
      <c r="D78" s="105"/>
      <c r="CL78" s="56"/>
    </row>
    <row r="79" customFormat="false" ht="15" hidden="false" customHeight="false" outlineLevel="0" collapsed="false">
      <c r="A79" s="103"/>
      <c r="B79" s="52"/>
      <c r="C79" s="52"/>
      <c r="D79" s="105"/>
      <c r="CL79" s="56"/>
    </row>
    <row r="80" customFormat="false" ht="14.25" hidden="false" customHeight="true" outlineLevel="0" collapsed="false">
      <c r="A80" s="103" t="s">
        <v>187</v>
      </c>
      <c r="B80" s="106" t="s">
        <v>188</v>
      </c>
      <c r="C80" s="107" t="s">
        <v>189</v>
      </c>
      <c r="D80" s="105" t="s">
        <v>190</v>
      </c>
      <c r="CL80" s="56"/>
    </row>
    <row r="81" customFormat="false" ht="15" hidden="false" customHeight="false" outlineLevel="0" collapsed="false">
      <c r="A81" s="103"/>
      <c r="B81" s="108" t="s">
        <v>191</v>
      </c>
      <c r="C81" s="109"/>
      <c r="D81" s="105"/>
      <c r="CL81" s="56"/>
    </row>
    <row r="82" customFormat="false" ht="15" hidden="false" customHeight="false" outlineLevel="0" collapsed="false">
      <c r="A82" s="103"/>
      <c r="B82" s="110"/>
      <c r="C82" s="111"/>
      <c r="D82" s="105"/>
      <c r="CL82" s="56"/>
    </row>
    <row r="83" customFormat="false" ht="15" hidden="false" customHeight="false" outlineLevel="0" collapsed="false">
      <c r="A83" s="112" t="s">
        <v>192</v>
      </c>
      <c r="B83" s="99" t="s">
        <v>193</v>
      </c>
      <c r="C83" s="86" t="s">
        <v>194</v>
      </c>
      <c r="D83" s="18" t="s">
        <v>195</v>
      </c>
      <c r="E83" s="27" t="s">
        <v>196</v>
      </c>
      <c r="F83" s="100"/>
      <c r="G83" s="100"/>
      <c r="H83" s="101"/>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50"/>
    </row>
    <row r="84" customFormat="false" ht="14.25" hidden="false" customHeight="true" outlineLevel="0" collapsed="false">
      <c r="A84" s="103" t="s">
        <v>197</v>
      </c>
      <c r="B84" s="52" t="s">
        <v>198</v>
      </c>
      <c r="C84" s="52"/>
      <c r="D84" s="105" t="s">
        <v>175</v>
      </c>
      <c r="CL84" s="56"/>
    </row>
    <row r="85" customFormat="false" ht="15" hidden="false" customHeight="false" outlineLevel="0" collapsed="false">
      <c r="A85" s="103"/>
      <c r="B85" s="52" t="s">
        <v>199</v>
      </c>
      <c r="C85" s="52"/>
      <c r="D85" s="105"/>
      <c r="CL85" s="56"/>
    </row>
    <row r="86" customFormat="false" ht="15" hidden="false" customHeight="false" outlineLevel="0" collapsed="false">
      <c r="A86" s="103"/>
      <c r="B86" s="52" t="s">
        <v>200</v>
      </c>
      <c r="C86" s="52"/>
      <c r="D86" s="105"/>
      <c r="CL86" s="56"/>
    </row>
    <row r="87" customFormat="false" ht="15" hidden="false" customHeight="false" outlineLevel="0" collapsed="false">
      <c r="A87" s="103"/>
      <c r="B87" s="52" t="s">
        <v>201</v>
      </c>
      <c r="C87" s="52"/>
      <c r="D87" s="105"/>
      <c r="CL87" s="56"/>
    </row>
    <row r="88" customFormat="false" ht="14.25" hidden="false" customHeight="true" outlineLevel="0" collapsed="false">
      <c r="A88" s="103" t="s">
        <v>202</v>
      </c>
      <c r="B88" s="52" t="s">
        <v>180</v>
      </c>
      <c r="C88" s="52"/>
      <c r="D88" s="105" t="s">
        <v>175</v>
      </c>
      <c r="CL88" s="56"/>
    </row>
    <row r="89" customFormat="false" ht="15" hidden="false" customHeight="false" outlineLevel="0" collapsed="false">
      <c r="A89" s="103"/>
      <c r="B89" s="52" t="s">
        <v>181</v>
      </c>
      <c r="C89" s="52"/>
      <c r="D89" s="105"/>
      <c r="CL89" s="56"/>
    </row>
    <row r="90" customFormat="false" ht="15" hidden="false" customHeight="false" outlineLevel="0" collapsed="false">
      <c r="A90" s="103"/>
      <c r="B90" s="52" t="s">
        <v>182</v>
      </c>
      <c r="C90" s="52"/>
      <c r="D90" s="105"/>
      <c r="CL90" s="56"/>
    </row>
    <row r="91" customFormat="false" ht="15" hidden="false" customHeight="false" outlineLevel="0" collapsed="false">
      <c r="A91" s="103"/>
      <c r="B91" s="52" t="s">
        <v>203</v>
      </c>
      <c r="C91" s="52"/>
      <c r="D91" s="105"/>
      <c r="CL91" s="56"/>
    </row>
    <row r="92" customFormat="false" ht="14.25" hidden="false" customHeight="true" outlineLevel="0" collapsed="false">
      <c r="A92" s="103" t="s">
        <v>204</v>
      </c>
      <c r="B92" s="52" t="s">
        <v>205</v>
      </c>
      <c r="C92" s="52"/>
      <c r="D92" s="105" t="s">
        <v>175</v>
      </c>
      <c r="CL92" s="56"/>
    </row>
    <row r="93" customFormat="false" ht="15" hidden="false" customHeight="false" outlineLevel="0" collapsed="false">
      <c r="A93" s="103"/>
      <c r="B93" s="52" t="s">
        <v>206</v>
      </c>
      <c r="C93" s="52"/>
      <c r="D93" s="105"/>
      <c r="CL93" s="56"/>
    </row>
    <row r="94" customFormat="false" ht="15" hidden="false" customHeight="false" outlineLevel="0" collapsed="false">
      <c r="A94" s="103"/>
      <c r="B94" s="52" t="s">
        <v>207</v>
      </c>
      <c r="C94" s="52"/>
      <c r="D94" s="105"/>
      <c r="CL94" s="56"/>
    </row>
    <row r="95" customFormat="false" ht="15" hidden="false" customHeight="false" outlineLevel="0" collapsed="false">
      <c r="A95" s="103"/>
      <c r="B95" s="52"/>
      <c r="C95" s="52"/>
      <c r="D95" s="105"/>
      <c r="CL95" s="56"/>
    </row>
    <row r="96" customFormat="false" ht="14.25" hidden="false" customHeight="true" outlineLevel="0" collapsed="false">
      <c r="A96" s="103" t="s">
        <v>208</v>
      </c>
      <c r="B96" s="106" t="s">
        <v>188</v>
      </c>
      <c r="C96" s="107" t="s">
        <v>209</v>
      </c>
      <c r="D96" s="105" t="s">
        <v>190</v>
      </c>
      <c r="CL96" s="56"/>
    </row>
    <row r="97" customFormat="false" ht="15" hidden="false" customHeight="false" outlineLevel="0" collapsed="false">
      <c r="A97" s="103"/>
      <c r="B97" s="108" t="s">
        <v>210</v>
      </c>
      <c r="C97" s="109"/>
      <c r="D97" s="105"/>
      <c r="CL97" s="56"/>
    </row>
    <row r="98" customFormat="false" ht="15" hidden="false" customHeight="false" outlineLevel="0" collapsed="false">
      <c r="A98" s="103"/>
      <c r="B98" s="113"/>
      <c r="C98" s="109"/>
      <c r="D98" s="105"/>
      <c r="CL98" s="56"/>
    </row>
    <row r="99" customFormat="false" ht="15" hidden="false" customHeight="false" outlineLevel="0" collapsed="false">
      <c r="A99" s="112" t="s">
        <v>211</v>
      </c>
      <c r="B99" s="49"/>
      <c r="C99" s="49"/>
      <c r="D99" s="18" t="s">
        <v>212</v>
      </c>
      <c r="E99" s="27" t="s">
        <v>213</v>
      </c>
      <c r="F99" s="114"/>
      <c r="G99" s="114"/>
      <c r="H99" s="114"/>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50"/>
    </row>
    <row r="100" customFormat="false" ht="14.25" hidden="false" customHeight="true" outlineLevel="0" collapsed="false">
      <c r="A100" s="103" t="s">
        <v>214</v>
      </c>
      <c r="B100" s="52" t="s">
        <v>215</v>
      </c>
      <c r="C100" s="52" t="s">
        <v>216</v>
      </c>
      <c r="D100" s="105" t="s">
        <v>217</v>
      </c>
      <c r="CL100" s="56"/>
    </row>
    <row r="101" customFormat="false" ht="15" hidden="false" customHeight="false" outlineLevel="0" collapsed="false">
      <c r="A101" s="103"/>
      <c r="B101" s="52" t="s">
        <v>218</v>
      </c>
      <c r="C101" s="52"/>
      <c r="D101" s="105"/>
      <c r="CL101" s="56"/>
    </row>
    <row r="102" customFormat="false" ht="15" hidden="false" customHeight="false" outlineLevel="0" collapsed="false">
      <c r="A102" s="103"/>
      <c r="B102" s="52" t="s">
        <v>219</v>
      </c>
      <c r="C102" s="52"/>
      <c r="D102" s="105"/>
      <c r="CL102" s="56"/>
    </row>
    <row r="103" customFormat="false" ht="15" hidden="false" customHeight="false" outlineLevel="0" collapsed="false">
      <c r="A103" s="103"/>
      <c r="B103" s="52" t="s">
        <v>220</v>
      </c>
      <c r="C103" s="52"/>
      <c r="D103" s="105"/>
      <c r="CL103" s="56"/>
    </row>
    <row r="104" customFormat="false" ht="15" hidden="false" customHeight="false" outlineLevel="0" collapsed="false">
      <c r="A104" s="112" t="s">
        <v>221</v>
      </c>
      <c r="B104" s="48"/>
      <c r="C104" s="48"/>
      <c r="D104" s="18" t="s">
        <v>222</v>
      </c>
      <c r="E104" s="27" t="s">
        <v>223</v>
      </c>
      <c r="F104" s="114"/>
      <c r="G104" s="114"/>
      <c r="H104" s="114"/>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50"/>
    </row>
    <row r="105" customFormat="false" ht="14.25" hidden="false" customHeight="true" outlineLevel="0" collapsed="false">
      <c r="A105" s="103" t="s">
        <v>224</v>
      </c>
      <c r="B105" s="52" t="s">
        <v>225</v>
      </c>
      <c r="C105" s="52"/>
      <c r="D105" s="105" t="s">
        <v>217</v>
      </c>
      <c r="CL105" s="56"/>
    </row>
    <row r="106" customFormat="false" ht="15" hidden="false" customHeight="false" outlineLevel="0" collapsed="false">
      <c r="A106" s="103"/>
      <c r="B106" s="115" t="s">
        <v>226</v>
      </c>
      <c r="C106" s="52"/>
      <c r="D106" s="105"/>
      <c r="CL106" s="56"/>
    </row>
    <row r="107" customFormat="false" ht="15" hidden="false" customHeight="false" outlineLevel="0" collapsed="false">
      <c r="A107" s="103"/>
      <c r="B107" s="52" t="s">
        <v>227</v>
      </c>
      <c r="C107" s="52"/>
      <c r="D107" s="105"/>
      <c r="CL107" s="56"/>
    </row>
    <row r="108" customFormat="false" ht="15" hidden="false" customHeight="false" outlineLevel="0" collapsed="false">
      <c r="A108" s="103"/>
      <c r="B108" s="30"/>
      <c r="C108" s="52"/>
      <c r="D108" s="105"/>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c r="AH108" s="116"/>
      <c r="AI108" s="116"/>
      <c r="AJ108" s="116"/>
      <c r="AK108" s="116"/>
      <c r="AL108" s="116"/>
      <c r="AM108" s="116"/>
      <c r="AN108" s="116"/>
      <c r="AO108" s="116"/>
      <c r="AP108" s="116"/>
      <c r="AQ108" s="116"/>
      <c r="AR108" s="116"/>
      <c r="AS108" s="116"/>
      <c r="AT108" s="116"/>
      <c r="AU108" s="116"/>
      <c r="AV108" s="116"/>
      <c r="AW108" s="116"/>
      <c r="AX108" s="116"/>
      <c r="AY108" s="116"/>
      <c r="AZ108" s="116"/>
      <c r="BA108" s="116"/>
      <c r="BB108" s="116"/>
      <c r="BC108" s="116"/>
      <c r="BD108" s="116"/>
      <c r="BE108" s="116"/>
      <c r="BF108" s="116"/>
      <c r="BG108" s="116"/>
      <c r="BH108" s="116"/>
      <c r="BI108" s="116"/>
      <c r="BJ108" s="116"/>
      <c r="BK108" s="116"/>
      <c r="BL108" s="116"/>
      <c r="BM108" s="116"/>
      <c r="BN108" s="116"/>
      <c r="BO108" s="116"/>
      <c r="BP108" s="116"/>
      <c r="BQ108" s="116"/>
      <c r="BR108" s="116"/>
      <c r="BS108" s="116"/>
      <c r="BT108" s="116"/>
      <c r="BU108" s="116"/>
      <c r="BV108" s="116"/>
      <c r="BW108" s="116"/>
      <c r="BX108" s="116"/>
      <c r="BY108" s="116"/>
      <c r="BZ108" s="116"/>
      <c r="CA108" s="116"/>
      <c r="CB108" s="116"/>
      <c r="CC108" s="116"/>
      <c r="CD108" s="116"/>
      <c r="CE108" s="116"/>
      <c r="CF108" s="116"/>
      <c r="CG108" s="116"/>
      <c r="CH108" s="116"/>
      <c r="CI108" s="116"/>
      <c r="CJ108" s="116"/>
      <c r="CK108" s="116"/>
      <c r="CL108" s="117"/>
    </row>
    <row r="109" customFormat="false" ht="15" hidden="false" customHeight="false" outlineLevel="0" collapsed="false">
      <c r="A109" s="112" t="s">
        <v>228</v>
      </c>
      <c r="B109" s="49"/>
      <c r="C109" s="49"/>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50"/>
    </row>
    <row r="110" customFormat="false" ht="15" hidden="false" customHeight="false" outlineLevel="0" collapsed="false">
      <c r="A110" s="18" t="s">
        <v>229</v>
      </c>
      <c r="B110" s="30" t="s">
        <v>97</v>
      </c>
      <c r="C110" s="74" t="s">
        <v>98</v>
      </c>
      <c r="D110" s="101"/>
      <c r="K110" s="118"/>
      <c r="L110" s="118"/>
      <c r="M110" s="118"/>
      <c r="N110" s="118"/>
      <c r="O110" s="118"/>
      <c r="P110" s="118"/>
      <c r="Q110" s="118"/>
      <c r="R110" s="118"/>
      <c r="S110" s="118"/>
      <c r="T110" s="118"/>
    </row>
    <row r="111" customFormat="false" ht="15" hidden="false" customHeight="false" outlineLevel="0" collapsed="false">
      <c r="A111" s="112" t="s">
        <v>230</v>
      </c>
      <c r="B111" s="49"/>
      <c r="C111" s="49"/>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50"/>
    </row>
    <row r="112" customFormat="false" ht="15" hidden="false" customHeight="false" outlineLevel="0" collapsed="false">
      <c r="A112" s="18" t="s">
        <v>231</v>
      </c>
      <c r="B112" s="30" t="s">
        <v>97</v>
      </c>
      <c r="C112" s="74" t="s">
        <v>98</v>
      </c>
      <c r="D112" s="101"/>
      <c r="K112" s="118"/>
      <c r="L112" s="118"/>
      <c r="M112" s="118"/>
      <c r="N112" s="118"/>
      <c r="O112" s="118"/>
      <c r="P112" s="118"/>
      <c r="Q112" s="118"/>
      <c r="R112" s="118"/>
      <c r="S112" s="118"/>
      <c r="T112" s="118"/>
    </row>
    <row r="113" customFormat="false" ht="15" hidden="false" customHeight="false" outlineLevel="0" collapsed="false">
      <c r="K113" s="118"/>
      <c r="L113" s="118"/>
      <c r="M113" s="118"/>
      <c r="N113" s="118"/>
      <c r="O113" s="118"/>
      <c r="P113" s="118"/>
      <c r="Q113" s="118"/>
      <c r="R113" s="118"/>
      <c r="S113" s="118"/>
      <c r="T113" s="118"/>
    </row>
    <row r="114" customFormat="false" ht="15" hidden="false" customHeight="false" outlineLevel="0" collapsed="false">
      <c r="A114" s="99" t="s">
        <v>232</v>
      </c>
      <c r="B114" s="48"/>
      <c r="C114" s="48"/>
      <c r="D114" s="48"/>
      <c r="E114" s="119"/>
      <c r="K114" s="118"/>
      <c r="L114" s="118"/>
      <c r="M114" s="118"/>
      <c r="N114" s="118"/>
      <c r="O114" s="118"/>
      <c r="P114" s="118"/>
      <c r="Q114" s="118"/>
      <c r="R114" s="118"/>
      <c r="S114" s="118"/>
      <c r="T114" s="118"/>
    </row>
    <row r="115" customFormat="false" ht="15" hidden="false" customHeight="false" outlineLevel="0" collapsed="false">
      <c r="A115" s="120"/>
      <c r="B115" s="120"/>
      <c r="C115" s="120"/>
      <c r="D115" s="120"/>
      <c r="E115" s="120"/>
    </row>
    <row r="116" customFormat="false" ht="15" hidden="false" customHeight="false" outlineLevel="0" collapsed="false">
      <c r="A116" s="83"/>
      <c r="B116" s="121"/>
      <c r="C116" s="122"/>
      <c r="D116" s="122"/>
      <c r="E116" s="122"/>
    </row>
    <row r="117" customFormat="false" ht="15" hidden="false" customHeight="false" outlineLevel="0" collapsed="false">
      <c r="C117" s="118"/>
      <c r="D117" s="118"/>
      <c r="E117" s="118"/>
      <c r="F117" s="118"/>
      <c r="G117" s="118"/>
      <c r="H117" s="118"/>
    </row>
    <row r="118" customFormat="false" ht="15" hidden="false" customHeight="false" outlineLevel="0" collapsed="false">
      <c r="A118" s="99" t="s">
        <v>233</v>
      </c>
      <c r="B118" s="48"/>
      <c r="C118" s="73"/>
      <c r="D118" s="73"/>
      <c r="E118" s="123"/>
      <c r="F118" s="118"/>
      <c r="G118" s="118"/>
      <c r="H118" s="118"/>
      <c r="I118" s="118"/>
      <c r="J118" s="118"/>
      <c r="K118" s="118"/>
      <c r="L118" s="118"/>
      <c r="M118" s="118"/>
      <c r="N118" s="118"/>
      <c r="O118" s="118"/>
      <c r="P118" s="118"/>
      <c r="Q118" s="118"/>
      <c r="R118" s="118"/>
      <c r="S118" s="118"/>
      <c r="T118" s="118"/>
    </row>
    <row r="119" customFormat="false" ht="15" hidden="false" customHeight="false" outlineLevel="0" collapsed="false">
      <c r="A119" s="83" t="s">
        <v>234</v>
      </c>
      <c r="B119" s="84" t="s">
        <v>28</v>
      </c>
      <c r="C119" s="92" t="s">
        <v>235</v>
      </c>
      <c r="D119" s="92"/>
      <c r="E119" s="124"/>
      <c r="F119" s="118"/>
      <c r="G119" s="118"/>
      <c r="H119" s="118"/>
      <c r="I119" s="125"/>
      <c r="J119" s="125"/>
      <c r="K119" s="125"/>
      <c r="L119" s="125"/>
      <c r="M119" s="125"/>
      <c r="N119" s="125"/>
      <c r="O119" s="125"/>
      <c r="P119" s="125"/>
      <c r="Q119" s="125"/>
      <c r="R119" s="125"/>
      <c r="S119" s="125"/>
      <c r="T119" s="125"/>
    </row>
    <row r="120" customFormat="false" ht="15" hidden="false" customHeight="false" outlineLevel="0" collapsed="false">
      <c r="B120" s="118"/>
      <c r="C120" s="118"/>
      <c r="D120" s="118"/>
      <c r="E120" s="126"/>
      <c r="F120" s="118"/>
      <c r="G120" s="118"/>
      <c r="H120" s="118"/>
      <c r="I120" s="127"/>
      <c r="J120" s="127"/>
      <c r="K120" s="127"/>
      <c r="L120" s="127"/>
      <c r="M120" s="127"/>
      <c r="N120" s="127"/>
      <c r="O120" s="127"/>
      <c r="P120" s="127"/>
      <c r="Q120" s="127"/>
      <c r="R120" s="127"/>
      <c r="S120" s="127"/>
      <c r="T120" s="127"/>
    </row>
    <row r="121" customFormat="false" ht="15" hidden="false" customHeight="false" outlineLevel="0" collapsed="false">
      <c r="A121" s="99" t="s">
        <v>236</v>
      </c>
      <c r="B121" s="48"/>
      <c r="C121" s="48"/>
      <c r="D121" s="48"/>
      <c r="E121" s="48"/>
      <c r="F121" s="123"/>
      <c r="G121" s="118"/>
      <c r="H121" s="118"/>
      <c r="I121" s="127"/>
      <c r="J121" s="127"/>
      <c r="K121" s="127"/>
      <c r="L121" s="127"/>
      <c r="M121" s="127"/>
      <c r="N121" s="127"/>
      <c r="O121" s="127"/>
      <c r="P121" s="127"/>
      <c r="Q121" s="127"/>
      <c r="R121" s="127"/>
      <c r="S121" s="127"/>
      <c r="T121" s="127"/>
    </row>
    <row r="122" customFormat="false" ht="15" hidden="false" customHeight="false" outlineLevel="0" collapsed="false">
      <c r="A122" s="128" t="s">
        <v>237</v>
      </c>
      <c r="B122" s="129" t="s">
        <v>238</v>
      </c>
      <c r="C122" s="130" t="s">
        <v>239</v>
      </c>
      <c r="D122" s="131" t="s">
        <v>240</v>
      </c>
      <c r="E122" s="132" t="s">
        <v>238</v>
      </c>
      <c r="F122" s="105" t="s">
        <v>239</v>
      </c>
      <c r="G122" s="105"/>
    </row>
    <row r="123" customFormat="false" ht="31.3" hidden="false" customHeight="false" outlineLevel="0" collapsed="false">
      <c r="A123" s="128"/>
      <c r="B123" s="133" t="s">
        <v>241</v>
      </c>
      <c r="C123" s="134" t="s">
        <v>242</v>
      </c>
      <c r="D123" s="131"/>
      <c r="E123" s="132"/>
      <c r="F123" s="105"/>
      <c r="G123" s="105"/>
    </row>
    <row r="124" customFormat="false" ht="15" hidden="false" customHeight="false" outlineLevel="0" collapsed="false">
      <c r="A124" s="128" t="s">
        <v>243</v>
      </c>
      <c r="B124" s="129" t="s">
        <v>238</v>
      </c>
      <c r="C124" s="130" t="s">
        <v>239</v>
      </c>
      <c r="D124" s="131"/>
      <c r="E124" s="135" t="s">
        <v>241</v>
      </c>
      <c r="F124" s="136" t="s">
        <v>242</v>
      </c>
      <c r="G124" s="136"/>
    </row>
    <row r="125" customFormat="false" ht="31.3" hidden="false" customHeight="false" outlineLevel="0" collapsed="false">
      <c r="A125" s="128"/>
      <c r="B125" s="133" t="s">
        <v>241</v>
      </c>
      <c r="C125" s="134" t="s">
        <v>242</v>
      </c>
      <c r="D125" s="131"/>
      <c r="E125" s="135"/>
      <c r="F125" s="136"/>
      <c r="G125" s="136"/>
    </row>
    <row r="126" customFormat="false" ht="15" hidden="false" customHeight="false" outlineLevel="0" collapsed="false">
      <c r="A126" s="128" t="s">
        <v>244</v>
      </c>
      <c r="B126" s="129" t="s">
        <v>238</v>
      </c>
      <c r="C126" s="130" t="s">
        <v>239</v>
      </c>
      <c r="D126" s="128" t="s">
        <v>245</v>
      </c>
      <c r="E126" s="135" t="s">
        <v>238</v>
      </c>
      <c r="F126" s="105" t="s">
        <v>239</v>
      </c>
      <c r="G126" s="105"/>
      <c r="I126" s="125"/>
      <c r="J126" s="125"/>
      <c r="K126" s="125"/>
      <c r="L126" s="125"/>
      <c r="M126" s="125"/>
      <c r="N126" s="125"/>
      <c r="O126" s="125"/>
      <c r="P126" s="125"/>
      <c r="Q126" s="125"/>
      <c r="R126" s="125"/>
      <c r="S126" s="125"/>
      <c r="T126" s="125"/>
    </row>
    <row r="127" customFormat="false" ht="31.3" hidden="false" customHeight="false" outlineLevel="0" collapsed="false">
      <c r="A127" s="128"/>
      <c r="B127" s="133" t="s">
        <v>241</v>
      </c>
      <c r="C127" s="134" t="s">
        <v>242</v>
      </c>
      <c r="D127" s="128"/>
      <c r="E127" s="135"/>
      <c r="F127" s="105"/>
      <c r="G127" s="105"/>
      <c r="I127" s="125"/>
      <c r="J127" s="125"/>
      <c r="K127" s="125"/>
      <c r="L127" s="125"/>
      <c r="M127" s="125"/>
      <c r="N127" s="125"/>
      <c r="O127" s="125"/>
      <c r="P127" s="125"/>
      <c r="Q127" s="125"/>
      <c r="R127" s="125"/>
      <c r="S127" s="125"/>
      <c r="T127" s="125"/>
    </row>
    <row r="128" customFormat="false" ht="15" hidden="false" customHeight="false" outlineLevel="0" collapsed="false">
      <c r="A128" s="128" t="s">
        <v>246</v>
      </c>
      <c r="B128" s="129" t="s">
        <v>238</v>
      </c>
      <c r="C128" s="130" t="s">
        <v>239</v>
      </c>
      <c r="D128" s="128"/>
      <c r="E128" s="135" t="s">
        <v>241</v>
      </c>
      <c r="F128" s="137" t="s">
        <v>242</v>
      </c>
      <c r="G128" s="137"/>
      <c r="I128" s="125"/>
      <c r="J128" s="125"/>
      <c r="K128" s="125"/>
      <c r="L128" s="125"/>
      <c r="M128" s="125"/>
      <c r="N128" s="125"/>
      <c r="O128" s="125"/>
      <c r="P128" s="125"/>
      <c r="Q128" s="125"/>
      <c r="R128" s="125"/>
      <c r="S128" s="125"/>
      <c r="T128" s="125"/>
    </row>
    <row r="129" customFormat="false" ht="31.3" hidden="false" customHeight="false" outlineLevel="0" collapsed="false">
      <c r="A129" s="128"/>
      <c r="B129" s="133" t="s">
        <v>241</v>
      </c>
      <c r="C129" s="134" t="s">
        <v>242</v>
      </c>
      <c r="D129" s="128"/>
      <c r="E129" s="135"/>
      <c r="F129" s="137"/>
      <c r="G129" s="137"/>
      <c r="I129" s="125"/>
      <c r="J129" s="125"/>
      <c r="K129" s="125"/>
      <c r="L129" s="125"/>
      <c r="M129" s="125"/>
      <c r="N129" s="125"/>
      <c r="O129" s="125"/>
      <c r="P129" s="125"/>
      <c r="Q129" s="125"/>
      <c r="R129" s="125"/>
      <c r="S129" s="125"/>
      <c r="T129" s="125"/>
    </row>
    <row r="130" customFormat="false" ht="15" hidden="false" customHeight="false" outlineLevel="0" collapsed="false">
      <c r="A130" s="128" t="s">
        <v>211</v>
      </c>
      <c r="B130" s="129" t="s">
        <v>238</v>
      </c>
      <c r="C130" s="31" t="s">
        <v>239</v>
      </c>
      <c r="D130" s="27"/>
      <c r="G130" s="138"/>
      <c r="I130" s="125"/>
      <c r="J130" s="125"/>
      <c r="K130" s="125"/>
      <c r="L130" s="125"/>
      <c r="M130" s="125"/>
      <c r="N130" s="125"/>
      <c r="O130" s="125"/>
      <c r="P130" s="125"/>
      <c r="Q130" s="125"/>
      <c r="R130" s="125"/>
      <c r="S130" s="125"/>
      <c r="T130" s="125"/>
    </row>
    <row r="131" customFormat="false" ht="31.3" hidden="false" customHeight="false" outlineLevel="0" collapsed="false">
      <c r="A131" s="128"/>
      <c r="B131" s="133" t="s">
        <v>241</v>
      </c>
      <c r="C131" s="31" t="s">
        <v>242</v>
      </c>
      <c r="D131" s="27"/>
    </row>
    <row r="132" customFormat="false" ht="15" hidden="false" customHeight="false" outlineLevel="0" collapsed="false">
      <c r="A132" s="139" t="s">
        <v>247</v>
      </c>
    </row>
    <row r="134" customFormat="false" ht="15" hidden="true" customHeight="false" outlineLevel="0" collapsed="false"/>
    <row r="135" customFormat="false" ht="15" hidden="true" customHeight="false" outlineLevel="0" collapsed="false"/>
    <row r="136" customFormat="false" ht="15" hidden="true" customHeight="false" outlineLevel="0" collapsed="false"/>
    <row r="137" customFormat="false" ht="15" hidden="true" customHeight="false" outlineLevel="0" collapsed="false"/>
    <row r="138" customFormat="false" ht="15" hidden="true" customHeight="false" outlineLevel="0" collapsed="false"/>
    <row r="139" customFormat="false" ht="15" hidden="true" customHeight="false" outlineLevel="0" collapsed="false"/>
    <row r="140" customFormat="false" ht="15" hidden="true" customHeight="false" outlineLevel="0" collapsed="false"/>
    <row r="141" customFormat="false" ht="15" hidden="true" customHeight="false" outlineLevel="0" collapsed="false"/>
    <row r="142" customFormat="false" ht="15" hidden="true" customHeight="false" outlineLevel="0" collapsed="false"/>
    <row r="143" customFormat="false" ht="15" hidden="true" customHeight="false" outlineLevel="0" collapsed="false"/>
    <row r="144" customFormat="false" ht="15" hidden="true" customHeight="false" outlineLevel="0" collapsed="false"/>
    <row r="145" customFormat="false" ht="15" hidden="true" customHeight="false" outlineLevel="0" collapsed="false"/>
    <row r="146" customFormat="false" ht="15" hidden="true" customHeight="false" outlineLevel="0" collapsed="false"/>
    <row r="147" customFormat="false" ht="15" hidden="true" customHeight="false" outlineLevel="0" collapsed="false"/>
    <row r="148" customFormat="false" ht="15" hidden="true" customHeight="false" outlineLevel="0" collapsed="false"/>
    <row r="149" customFormat="false" ht="15" hidden="true" customHeight="false" outlineLevel="0" collapsed="false"/>
    <row r="150" customFormat="false" ht="15" hidden="true" customHeight="false" outlineLevel="0" collapsed="false"/>
    <row r="151" customFormat="false" ht="15" hidden="true" customHeight="false" outlineLevel="0" collapsed="false"/>
    <row r="152" customFormat="false" ht="15" hidden="true" customHeight="false" outlineLevel="0" collapsed="false"/>
    <row r="153" customFormat="false" ht="15" hidden="true" customHeight="false" outlineLevel="0" collapsed="false"/>
    <row r="154" customFormat="false" ht="15" hidden="true" customHeight="false" outlineLevel="0" collapsed="false"/>
    <row r="155" customFormat="false" ht="15" hidden="true" customHeight="false" outlineLevel="0" collapsed="false"/>
    <row r="156" customFormat="false" ht="15" hidden="true" customHeight="false" outlineLevel="0" collapsed="false"/>
    <row r="157" customFormat="false" ht="15" hidden="true" customHeight="false" outlineLevel="0" collapsed="false"/>
    <row r="158" customFormat="false" ht="15" hidden="true" customHeight="false" outlineLevel="0" collapsed="false"/>
    <row r="159" customFormat="false" ht="15" hidden="true" customHeight="false" outlineLevel="0" collapsed="false"/>
    <row r="160" customFormat="false" ht="15" hidden="true" customHeight="false" outlineLevel="0" collapsed="false"/>
    <row r="161" customFormat="false" ht="15" hidden="true" customHeight="false" outlineLevel="0" collapsed="false"/>
    <row r="162" customFormat="false" ht="15" hidden="true" customHeight="false" outlineLevel="0" collapsed="false"/>
    <row r="163" customFormat="false" ht="15" hidden="true" customHeight="false" outlineLevel="0" collapsed="false"/>
    <row r="164" customFormat="false" ht="15" hidden="true" customHeight="false" outlineLevel="0" collapsed="false"/>
    <row r="166" s="48" customFormat="true" ht="15" hidden="false" customHeight="false" outlineLevel="0" collapsed="false">
      <c r="A166" s="99" t="s">
        <v>248</v>
      </c>
      <c r="E166" s="119"/>
    </row>
    <row r="167" customFormat="false" ht="15" hidden="false" customHeight="false" outlineLevel="0" collapsed="false">
      <c r="A167" s="83" t="s">
        <v>249</v>
      </c>
      <c r="B167" s="84" t="s">
        <v>28</v>
      </c>
      <c r="C167" s="140" t="s">
        <v>250</v>
      </c>
      <c r="D167" s="141" t="s">
        <v>251</v>
      </c>
      <c r="E167" s="27" t="s">
        <v>252</v>
      </c>
      <c r="F167" s="141" t="s">
        <v>253</v>
      </c>
      <c r="G167" s="27" t="s">
        <v>254</v>
      </c>
      <c r="H167" s="142" t="s">
        <v>255</v>
      </c>
      <c r="I167" s="27" t="s">
        <v>255</v>
      </c>
      <c r="J167" s="11"/>
    </row>
    <row r="168" customFormat="false" ht="15" hidden="false" customHeight="false" outlineLevel="0" collapsed="false">
      <c r="A168" s="83" t="s">
        <v>256</v>
      </c>
      <c r="B168" s="84" t="s">
        <v>28</v>
      </c>
      <c r="C168" s="140" t="s">
        <v>250</v>
      </c>
      <c r="D168" s="143" t="s">
        <v>257</v>
      </c>
      <c r="E168" s="27" t="s">
        <v>258</v>
      </c>
      <c r="F168" s="143" t="s">
        <v>259</v>
      </c>
      <c r="G168" s="27" t="s">
        <v>260</v>
      </c>
      <c r="H168" s="142" t="s">
        <v>261</v>
      </c>
      <c r="I168" s="27" t="s">
        <v>261</v>
      </c>
      <c r="J168" s="11"/>
    </row>
    <row r="169" customFormat="false" ht="16.5" hidden="false" customHeight="true" outlineLevel="0" collapsed="false">
      <c r="A169" s="144" t="s">
        <v>262</v>
      </c>
      <c r="B169" s="144"/>
      <c r="C169" s="144"/>
      <c r="D169" s="72"/>
    </row>
    <row r="170" customFormat="false" ht="15" hidden="false" customHeight="false" outlineLevel="0" collapsed="false">
      <c r="A170" s="143" t="s">
        <v>263</v>
      </c>
      <c r="B170" s="30" t="s">
        <v>28</v>
      </c>
      <c r="C170" s="31" t="s">
        <v>264</v>
      </c>
      <c r="D170" s="27"/>
    </row>
    <row r="171" customFormat="false" ht="15" hidden="false" customHeight="false" outlineLevel="0" collapsed="false">
      <c r="A171" s="143" t="s">
        <v>265</v>
      </c>
      <c r="B171" s="30" t="s">
        <v>28</v>
      </c>
      <c r="C171" s="31" t="s">
        <v>266</v>
      </c>
      <c r="D171" s="27"/>
    </row>
    <row r="172" customFormat="false" ht="15" hidden="false" customHeight="false" outlineLevel="0" collapsed="false">
      <c r="A172" s="143" t="s">
        <v>267</v>
      </c>
      <c r="B172" s="30" t="s">
        <v>36</v>
      </c>
      <c r="C172" s="31" t="s">
        <v>268</v>
      </c>
      <c r="D172" s="27"/>
    </row>
    <row r="173" customFormat="false" ht="15" hidden="false" customHeight="false" outlineLevel="0" collapsed="false">
      <c r="A173" s="143" t="s">
        <v>269</v>
      </c>
      <c r="B173" s="30" t="s">
        <v>36</v>
      </c>
      <c r="C173" s="31" t="s">
        <v>270</v>
      </c>
      <c r="D173" s="27"/>
    </row>
    <row r="174" customFormat="false" ht="15" hidden="false" customHeight="false" outlineLevel="0" collapsed="false">
      <c r="A174" s="143" t="s">
        <v>271</v>
      </c>
      <c r="B174" s="30" t="s">
        <v>36</v>
      </c>
      <c r="C174" s="31" t="s">
        <v>272</v>
      </c>
      <c r="D174" s="27"/>
    </row>
    <row r="175" customFormat="false" ht="15" hidden="false" customHeight="false" outlineLevel="0" collapsed="false">
      <c r="A175" s="143" t="s">
        <v>273</v>
      </c>
      <c r="B175" s="30" t="s">
        <v>36</v>
      </c>
      <c r="C175" s="31" t="s">
        <v>274</v>
      </c>
      <c r="D175" s="27"/>
    </row>
    <row r="176" customFormat="false" ht="15" hidden="false" customHeight="false" outlineLevel="0" collapsed="false">
      <c r="A176" s="144" t="s">
        <v>275</v>
      </c>
      <c r="B176" s="144"/>
      <c r="C176" s="72"/>
      <c r="D176" s="72"/>
    </row>
    <row r="177" customFormat="false" ht="15" hidden="false" customHeight="false" outlineLevel="0" collapsed="false">
      <c r="A177" s="143" t="s">
        <v>276</v>
      </c>
      <c r="B177" s="30" t="s">
        <v>28</v>
      </c>
      <c r="C177" s="31" t="s">
        <v>277</v>
      </c>
      <c r="D177" s="27"/>
      <c r="E177" s="1" t="s">
        <v>278</v>
      </c>
    </row>
    <row r="178" customFormat="false" ht="15" hidden="false" customHeight="false" outlineLevel="0" collapsed="false">
      <c r="A178" s="143" t="s">
        <v>279</v>
      </c>
      <c r="B178" s="30" t="s">
        <v>28</v>
      </c>
      <c r="C178" s="31" t="s">
        <v>280</v>
      </c>
      <c r="D178" s="27"/>
      <c r="E178" s="1" t="s">
        <v>281</v>
      </c>
    </row>
    <row r="179" customFormat="false" ht="15" hidden="false" customHeight="false" outlineLevel="0" collapsed="false">
      <c r="A179" s="143" t="s">
        <v>282</v>
      </c>
      <c r="B179" s="30" t="s">
        <v>28</v>
      </c>
      <c r="C179" s="31" t="s">
        <v>283</v>
      </c>
      <c r="D179" s="27"/>
      <c r="E179" s="1" t="s">
        <v>284</v>
      </c>
    </row>
    <row r="180" customFormat="false" ht="15" hidden="false" customHeight="false" outlineLevel="0" collapsed="false">
      <c r="A180" s="143" t="s">
        <v>285</v>
      </c>
      <c r="B180" s="30" t="s">
        <v>28</v>
      </c>
      <c r="C180" s="31" t="s">
        <v>286</v>
      </c>
      <c r="D180" s="27"/>
      <c r="E180" s="1" t="s">
        <v>287</v>
      </c>
    </row>
    <row r="181" customFormat="false" ht="15" hidden="false" customHeight="false" outlineLevel="0" collapsed="false">
      <c r="A181" s="143" t="s">
        <v>288</v>
      </c>
      <c r="B181" s="30" t="s">
        <v>28</v>
      </c>
      <c r="C181" s="31" t="s">
        <v>289</v>
      </c>
      <c r="D181" s="27"/>
      <c r="E181" s="1" t="s">
        <v>290</v>
      </c>
    </row>
    <row r="182" customFormat="false" ht="15" hidden="false" customHeight="false" outlineLevel="0" collapsed="false">
      <c r="A182" s="144" t="s">
        <v>291</v>
      </c>
      <c r="B182" s="144"/>
      <c r="C182" s="144" t="s">
        <v>292</v>
      </c>
      <c r="D182" s="72"/>
    </row>
    <row r="183" customFormat="false" ht="15" hidden="false" customHeight="false" outlineLevel="0" collapsed="false">
      <c r="A183" s="143" t="s">
        <v>293</v>
      </c>
      <c r="B183" s="30" t="s">
        <v>28</v>
      </c>
      <c r="C183" s="31" t="s">
        <v>294</v>
      </c>
      <c r="D183" s="27"/>
      <c r="E183" s="1" t="s">
        <v>295</v>
      </c>
    </row>
    <row r="184" customFormat="false" ht="15" hidden="false" customHeight="false" outlineLevel="0" collapsed="false">
      <c r="A184" s="143" t="s">
        <v>296</v>
      </c>
      <c r="B184" s="30" t="s">
        <v>28</v>
      </c>
      <c r="C184" s="31" t="s">
        <v>297</v>
      </c>
      <c r="D184" s="27"/>
      <c r="E184" s="1" t="s">
        <v>298</v>
      </c>
    </row>
    <row r="185" customFormat="false" ht="15" hidden="false" customHeight="false" outlineLevel="0" collapsed="false">
      <c r="A185" s="143" t="s">
        <v>299</v>
      </c>
      <c r="B185" s="30" t="s">
        <v>28</v>
      </c>
      <c r="C185" s="31" t="s">
        <v>300</v>
      </c>
      <c r="D185" s="27"/>
      <c r="E185" s="1" t="s">
        <v>301</v>
      </c>
    </row>
    <row r="186" customFormat="false" ht="15" hidden="false" customHeight="false" outlineLevel="0" collapsed="false">
      <c r="A186" s="143" t="s">
        <v>302</v>
      </c>
      <c r="B186" s="30" t="s">
        <v>28</v>
      </c>
      <c r="C186" s="31" t="s">
        <v>303</v>
      </c>
      <c r="D186" s="27"/>
      <c r="E186" s="1" t="s">
        <v>304</v>
      </c>
    </row>
    <row r="187" customFormat="false" ht="15" hidden="false" customHeight="false" outlineLevel="0" collapsed="false">
      <c r="A187" s="143" t="s">
        <v>305</v>
      </c>
      <c r="B187" s="30" t="s">
        <v>28</v>
      </c>
      <c r="C187" s="31" t="s">
        <v>306</v>
      </c>
      <c r="D187" s="27"/>
      <c r="E187" s="1" t="s">
        <v>307</v>
      </c>
    </row>
    <row r="188" customFormat="false" ht="15" hidden="false" customHeight="false" outlineLevel="0" collapsed="false">
      <c r="A188" s="143" t="s">
        <v>308</v>
      </c>
      <c r="B188" s="30" t="s">
        <v>28</v>
      </c>
      <c r="C188" s="31" t="s">
        <v>309</v>
      </c>
      <c r="D188" s="27"/>
    </row>
    <row r="189" customFormat="false" ht="15" hidden="false" customHeight="false" outlineLevel="0" collapsed="false">
      <c r="A189" s="143" t="s">
        <v>310</v>
      </c>
      <c r="B189" s="30" t="s">
        <v>28</v>
      </c>
      <c r="C189" s="31" t="s">
        <v>311</v>
      </c>
      <c r="D189" s="27"/>
      <c r="E189" s="1" t="s">
        <v>312</v>
      </c>
    </row>
    <row r="190" customFormat="false" ht="15" hidden="false" customHeight="false" outlineLevel="0" collapsed="false">
      <c r="A190" s="143" t="s">
        <v>313</v>
      </c>
      <c r="B190" s="30" t="s">
        <v>28</v>
      </c>
      <c r="C190" s="31" t="s">
        <v>314</v>
      </c>
      <c r="D190" s="27"/>
    </row>
    <row r="191" customFormat="false" ht="15" hidden="false" customHeight="false" outlineLevel="0" collapsed="false">
      <c r="A191" s="143" t="s">
        <v>315</v>
      </c>
      <c r="B191" s="121" t="s">
        <v>28</v>
      </c>
      <c r="C191" s="31" t="s">
        <v>316</v>
      </c>
      <c r="D191" s="27"/>
    </row>
    <row r="193" customFormat="false" ht="16.4" hidden="false" customHeight="false" outlineLevel="0" collapsed="false">
      <c r="A193" s="145" t="s">
        <v>317</v>
      </c>
      <c r="B193" s="72"/>
      <c r="C193" s="72"/>
      <c r="D193" s="72"/>
      <c r="E193" s="72"/>
    </row>
    <row r="194" customFormat="false" ht="71.25" hidden="false" customHeight="true" outlineLevel="0" collapsed="false">
      <c r="A194" s="146" t="s">
        <v>318</v>
      </c>
      <c r="B194" s="146"/>
      <c r="C194" s="146"/>
      <c r="D194" s="146"/>
      <c r="E194" s="146"/>
    </row>
    <row r="195" customFormat="false" ht="13.5" hidden="false" customHeight="true" outlineLevel="0" collapsed="false">
      <c r="A195" s="147" t="s">
        <v>319</v>
      </c>
      <c r="B195" s="52" t="s">
        <v>320</v>
      </c>
      <c r="C195" s="148" t="s">
        <v>175</v>
      </c>
      <c r="D195" s="78"/>
      <c r="F195" s="78"/>
      <c r="G195" s="78"/>
      <c r="H195" s="78"/>
      <c r="I195" s="78"/>
      <c r="J195" s="78"/>
      <c r="K195" s="149"/>
      <c r="L195" s="149"/>
      <c r="M195" s="78"/>
      <c r="N195" s="78"/>
    </row>
    <row r="196" customFormat="false" ht="16.4" hidden="false" customHeight="false" outlineLevel="0" collapsed="false">
      <c r="A196" s="147"/>
      <c r="B196" s="150" t="s">
        <v>321</v>
      </c>
      <c r="C196" s="148"/>
      <c r="D196" s="151"/>
      <c r="E196" s="151"/>
      <c r="F196" s="151"/>
      <c r="G196" s="151"/>
      <c r="H196" s="151"/>
      <c r="I196" s="151"/>
      <c r="J196" s="151"/>
      <c r="K196" s="151"/>
      <c r="L196" s="151"/>
      <c r="M196" s="151"/>
      <c r="N196" s="151"/>
    </row>
    <row r="197" customFormat="false" ht="28.5" hidden="false" customHeight="true" outlineLevel="0" collapsed="false">
      <c r="A197" s="147"/>
      <c r="B197" s="152" t="s">
        <v>322</v>
      </c>
      <c r="C197" s="148"/>
      <c r="D197" s="78"/>
      <c r="E197" s="78"/>
      <c r="F197" s="78"/>
      <c r="G197" s="78"/>
      <c r="H197" s="78"/>
      <c r="I197" s="78"/>
      <c r="J197" s="78"/>
      <c r="K197" s="78"/>
      <c r="L197" s="78"/>
      <c r="M197" s="78"/>
      <c r="N197" s="78"/>
    </row>
    <row r="198" customFormat="false" ht="13.5" hidden="false" customHeight="true" outlineLevel="0" collapsed="false">
      <c r="A198" s="153" t="s">
        <v>323</v>
      </c>
      <c r="B198" s="153"/>
      <c r="C198" s="153"/>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c r="AB198" s="154"/>
      <c r="AC198" s="154"/>
      <c r="AD198" s="154"/>
      <c r="AE198" s="154"/>
      <c r="AF198" s="154"/>
      <c r="AG198" s="154"/>
      <c r="AH198" s="154"/>
      <c r="AI198" s="154"/>
      <c r="AJ198" s="154"/>
      <c r="AK198" s="154"/>
      <c r="AL198" s="154"/>
      <c r="AM198" s="154"/>
      <c r="AN198" s="154"/>
      <c r="AO198" s="154"/>
      <c r="AP198" s="154"/>
      <c r="AQ198" s="154"/>
      <c r="AR198" s="154"/>
      <c r="AS198" s="154"/>
      <c r="AT198" s="154"/>
      <c r="AU198" s="154"/>
      <c r="AV198" s="154"/>
      <c r="AW198" s="154"/>
      <c r="AX198" s="154"/>
      <c r="AY198" s="154"/>
      <c r="AZ198" s="154"/>
      <c r="BA198" s="154"/>
      <c r="BB198" s="154"/>
      <c r="BC198" s="154"/>
      <c r="BD198" s="154"/>
      <c r="BE198" s="154"/>
      <c r="BF198" s="154"/>
      <c r="BG198" s="154"/>
      <c r="BH198" s="154"/>
      <c r="BI198" s="154"/>
      <c r="BJ198" s="154"/>
      <c r="BK198" s="154"/>
      <c r="BL198" s="154"/>
      <c r="BM198" s="154"/>
      <c r="BN198" s="154"/>
      <c r="BO198" s="154"/>
      <c r="BP198" s="154"/>
      <c r="BQ198" s="154"/>
      <c r="BR198" s="154"/>
      <c r="BS198" s="154"/>
      <c r="BT198" s="154"/>
      <c r="BU198" s="154"/>
      <c r="BV198" s="154"/>
      <c r="BW198" s="154"/>
      <c r="BX198" s="154"/>
      <c r="BY198" s="154"/>
      <c r="BZ198" s="154"/>
      <c r="CA198" s="154"/>
      <c r="CB198" s="154"/>
      <c r="CC198" s="154"/>
      <c r="CD198" s="154"/>
      <c r="CE198" s="154"/>
      <c r="CF198" s="154"/>
      <c r="CG198" s="154"/>
      <c r="CH198" s="154"/>
      <c r="CI198" s="154"/>
      <c r="CJ198" s="154"/>
      <c r="CK198" s="154"/>
      <c r="CL198" s="154"/>
      <c r="CM198" s="154"/>
      <c r="CN198" s="154"/>
      <c r="CO198" s="154"/>
      <c r="CP198" s="154"/>
      <c r="CQ198" s="154"/>
      <c r="CR198" s="154"/>
      <c r="CS198" s="154"/>
      <c r="CT198" s="154"/>
      <c r="CU198" s="154"/>
      <c r="CV198" s="154"/>
      <c r="CW198" s="154"/>
      <c r="CX198" s="154"/>
      <c r="CY198" s="154"/>
      <c r="CZ198" s="154"/>
      <c r="DA198" s="154"/>
      <c r="DB198" s="154"/>
      <c r="DC198" s="154"/>
      <c r="DD198" s="154"/>
      <c r="DE198" s="154"/>
      <c r="DF198" s="154"/>
      <c r="DG198" s="154"/>
      <c r="DH198" s="154"/>
      <c r="DI198" s="154"/>
      <c r="DJ198" s="154"/>
      <c r="DK198" s="154"/>
      <c r="DL198" s="154"/>
      <c r="DM198" s="154"/>
      <c r="DN198" s="154"/>
      <c r="DO198" s="154"/>
      <c r="DP198" s="154"/>
      <c r="DQ198" s="154"/>
      <c r="DR198" s="154"/>
      <c r="DS198" s="154"/>
      <c r="DT198" s="154"/>
      <c r="DU198" s="154"/>
      <c r="DV198" s="154"/>
      <c r="DW198" s="154"/>
      <c r="DX198" s="154"/>
      <c r="DY198" s="154"/>
      <c r="DZ198" s="154"/>
      <c r="EA198" s="154"/>
      <c r="EB198" s="154"/>
      <c r="EC198" s="154"/>
      <c r="ED198" s="154"/>
      <c r="EE198" s="154"/>
      <c r="EF198" s="154"/>
      <c r="EG198" s="154"/>
      <c r="EH198" s="154"/>
      <c r="EI198" s="154"/>
      <c r="EJ198" s="154"/>
      <c r="EK198" s="154"/>
      <c r="EL198" s="154"/>
      <c r="EM198" s="154"/>
      <c r="EN198" s="154"/>
      <c r="EO198" s="154"/>
      <c r="EP198" s="154"/>
      <c r="EQ198" s="154"/>
      <c r="ER198" s="154"/>
      <c r="ES198" s="154"/>
      <c r="ET198" s="154"/>
      <c r="EU198" s="154"/>
      <c r="EV198" s="154"/>
      <c r="EW198" s="154"/>
      <c r="EX198" s="154"/>
      <c r="EY198" s="154"/>
      <c r="EZ198" s="154"/>
      <c r="FA198" s="154"/>
      <c r="FB198" s="154"/>
      <c r="FC198" s="154"/>
      <c r="FD198" s="154"/>
      <c r="FE198" s="154"/>
      <c r="FF198" s="154"/>
      <c r="FG198" s="154"/>
      <c r="FH198" s="154"/>
      <c r="FI198" s="154"/>
      <c r="FJ198" s="154"/>
      <c r="FK198" s="154"/>
      <c r="FL198" s="154"/>
      <c r="FM198" s="154"/>
      <c r="FN198" s="154"/>
      <c r="FO198" s="154"/>
      <c r="FP198" s="154"/>
      <c r="FQ198" s="154"/>
      <c r="FR198" s="154"/>
      <c r="FS198" s="154"/>
      <c r="FT198" s="154"/>
      <c r="FU198" s="154"/>
      <c r="FV198" s="154"/>
      <c r="FW198" s="154"/>
      <c r="FX198" s="154"/>
      <c r="FY198" s="154"/>
    </row>
    <row r="199" customFormat="false" ht="16.4" hidden="false" customHeight="false" outlineLevel="0" collapsed="false">
      <c r="A199" s="155" t="s">
        <v>324</v>
      </c>
      <c r="B199" s="30" t="s">
        <v>28</v>
      </c>
      <c r="C199" s="63" t="s">
        <v>325</v>
      </c>
    </row>
    <row r="200" customFormat="false" ht="31.3" hidden="false" customHeight="false" outlineLevel="0" collapsed="false">
      <c r="A200" s="156" t="s">
        <v>326</v>
      </c>
      <c r="B200" s="30" t="s">
        <v>327</v>
      </c>
      <c r="C200" s="157" t="s">
        <v>326</v>
      </c>
      <c r="D200" s="158"/>
      <c r="E200" s="159"/>
      <c r="F200" s="159"/>
      <c r="G200" s="159"/>
      <c r="H200" s="159"/>
      <c r="I200" s="159"/>
      <c r="J200" s="159"/>
      <c r="K200" s="159"/>
      <c r="L200" s="159"/>
      <c r="M200" s="159"/>
      <c r="N200" s="159"/>
    </row>
    <row r="201" customFormat="false" ht="15" hidden="false" customHeight="false" outlineLevel="0" collapsed="false">
      <c r="A201" s="78"/>
      <c r="B201" s="30"/>
      <c r="C201" s="160"/>
    </row>
    <row r="202" customFormat="false" ht="16.4" hidden="false" customHeight="false" outlineLevel="0" collapsed="false">
      <c r="A202" s="161" t="s">
        <v>328</v>
      </c>
    </row>
    <row r="203" customFormat="false" ht="16.4" hidden="false" customHeight="false" outlineLevel="0" collapsed="false">
      <c r="A203" s="155" t="s">
        <v>329</v>
      </c>
      <c r="B203" s="31" t="s">
        <v>330</v>
      </c>
      <c r="C203" s="27"/>
    </row>
    <row r="204" customFormat="false" ht="16.4" hidden="false" customHeight="false" outlineLevel="0" collapsed="false">
      <c r="A204" s="162" t="s">
        <v>331</v>
      </c>
      <c r="B204" s="30" t="s">
        <v>36</v>
      </c>
      <c r="C204" s="31" t="s">
        <v>332</v>
      </c>
      <c r="D204" s="27"/>
    </row>
    <row r="205" customFormat="false" ht="15" hidden="false" customHeight="false" outlineLevel="0" collapsed="false">
      <c r="A205" s="83" t="s">
        <v>333</v>
      </c>
      <c r="B205" s="30" t="s">
        <v>36</v>
      </c>
      <c r="C205" s="31" t="s">
        <v>334</v>
      </c>
      <c r="D205" s="27"/>
    </row>
    <row r="206" customFormat="false" ht="16.4" hidden="false" customHeight="false" outlineLevel="0" collapsed="false">
      <c r="A206" s="163" t="s">
        <v>335</v>
      </c>
    </row>
    <row r="207" customFormat="false" ht="52.5" hidden="false" customHeight="true" outlineLevel="0" collapsed="false">
      <c r="A207" s="164" t="s">
        <v>336</v>
      </c>
      <c r="B207" s="165" t="s">
        <v>337</v>
      </c>
      <c r="C207" s="165"/>
      <c r="D207" s="165"/>
      <c r="E207" s="165"/>
      <c r="F207" s="165"/>
      <c r="G207" s="165" t="s">
        <v>338</v>
      </c>
      <c r="H207" s="165"/>
      <c r="I207" s="165"/>
      <c r="J207" s="165"/>
      <c r="K207" s="165"/>
      <c r="L207" s="165" t="s">
        <v>339</v>
      </c>
      <c r="M207" s="165"/>
      <c r="N207" s="165"/>
      <c r="O207" s="165"/>
      <c r="P207" s="165"/>
      <c r="Q207" s="165" t="s">
        <v>340</v>
      </c>
      <c r="R207" s="165"/>
      <c r="S207" s="165"/>
      <c r="T207" s="165"/>
      <c r="U207" s="165"/>
      <c r="V207" s="165" t="s">
        <v>341</v>
      </c>
      <c r="W207" s="165"/>
      <c r="X207" s="165"/>
      <c r="Y207" s="165"/>
      <c r="Z207" s="165"/>
      <c r="AA207" s="165" t="s">
        <v>342</v>
      </c>
      <c r="AB207" s="165"/>
      <c r="AC207" s="165"/>
      <c r="AD207" s="165"/>
      <c r="AE207" s="165"/>
      <c r="AF207" s="165" t="s">
        <v>343</v>
      </c>
      <c r="AG207" s="165"/>
      <c r="AH207" s="165"/>
      <c r="AI207" s="165"/>
      <c r="AJ207" s="165"/>
      <c r="AK207" s="165" t="s">
        <v>344</v>
      </c>
      <c r="AL207" s="165"/>
      <c r="AM207" s="165"/>
      <c r="AN207" s="165"/>
      <c r="AO207" s="165"/>
      <c r="AP207" s="165" t="s">
        <v>345</v>
      </c>
      <c r="AQ207" s="165"/>
      <c r="AR207" s="165"/>
      <c r="AS207" s="165"/>
      <c r="AT207" s="165"/>
      <c r="AU207" s="165" t="s">
        <v>346</v>
      </c>
      <c r="AV207" s="165"/>
      <c r="AW207" s="165"/>
      <c r="AX207" s="165"/>
      <c r="AY207" s="165"/>
      <c r="AZ207" s="165" t="s">
        <v>347</v>
      </c>
      <c r="BA207" s="165"/>
      <c r="BB207" s="165"/>
      <c r="BC207" s="165"/>
      <c r="BD207" s="165"/>
      <c r="BE207" s="165" t="s">
        <v>348</v>
      </c>
      <c r="BF207" s="165"/>
      <c r="BG207" s="165"/>
      <c r="BH207" s="165"/>
      <c r="BI207" s="165"/>
      <c r="BJ207" s="165" t="s">
        <v>349</v>
      </c>
      <c r="BK207" s="165"/>
      <c r="BL207" s="165"/>
      <c r="BM207" s="165"/>
      <c r="BN207" s="165"/>
      <c r="BO207" s="165" t="s">
        <v>350</v>
      </c>
      <c r="BP207" s="165"/>
      <c r="BQ207" s="165"/>
      <c r="BR207" s="165"/>
      <c r="BS207" s="165"/>
      <c r="BT207" s="165" t="s">
        <v>351</v>
      </c>
      <c r="BU207" s="165"/>
      <c r="BV207" s="165"/>
      <c r="BW207" s="165"/>
      <c r="BX207" s="165"/>
      <c r="BY207" s="165" t="s">
        <v>352</v>
      </c>
      <c r="BZ207" s="165"/>
      <c r="CA207" s="165"/>
      <c r="CB207" s="165"/>
      <c r="CC207" s="165"/>
      <c r="CD207" s="165" t="s">
        <v>353</v>
      </c>
      <c r="CE207" s="165"/>
      <c r="CF207" s="165"/>
      <c r="CG207" s="165"/>
      <c r="CH207" s="165"/>
      <c r="CI207" s="165" t="s">
        <v>354</v>
      </c>
      <c r="CJ207" s="165"/>
      <c r="CK207" s="165"/>
      <c r="CL207" s="165"/>
      <c r="CM207" s="165"/>
      <c r="CN207" s="165" t="s">
        <v>355</v>
      </c>
      <c r="CO207" s="165"/>
      <c r="CP207" s="165"/>
      <c r="CQ207" s="165"/>
      <c r="CR207" s="165"/>
      <c r="CS207" s="165" t="s">
        <v>356</v>
      </c>
      <c r="CT207" s="165"/>
      <c r="CU207" s="165"/>
      <c r="CV207" s="165"/>
      <c r="CW207" s="165"/>
      <c r="CX207" s="165" t="s">
        <v>357</v>
      </c>
      <c r="CY207" s="165"/>
      <c r="CZ207" s="165"/>
      <c r="DA207" s="165"/>
      <c r="DB207" s="165"/>
      <c r="DC207" s="165" t="s">
        <v>358</v>
      </c>
      <c r="DD207" s="165"/>
      <c r="DE207" s="165"/>
      <c r="DF207" s="165"/>
      <c r="DG207" s="165"/>
      <c r="DH207" s="166" t="s">
        <v>359</v>
      </c>
      <c r="DI207" s="166"/>
      <c r="DJ207" s="166"/>
      <c r="DK207" s="167" t="s">
        <v>360</v>
      </c>
      <c r="DL207" s="167" t="n">
        <v>1</v>
      </c>
      <c r="DM207" s="165" t="s">
        <v>361</v>
      </c>
      <c r="DN207" s="165"/>
      <c r="DO207" s="165"/>
      <c r="DP207" s="165"/>
      <c r="DQ207" s="165"/>
      <c r="DR207" s="165" t="s">
        <v>362</v>
      </c>
      <c r="DS207" s="165"/>
      <c r="DT207" s="165"/>
      <c r="DU207" s="165"/>
      <c r="DV207" s="165"/>
      <c r="DW207" s="165" t="s">
        <v>363</v>
      </c>
      <c r="DX207" s="165"/>
      <c r="DY207" s="165"/>
      <c r="DZ207" s="165"/>
      <c r="EA207" s="165"/>
      <c r="EB207" s="165" t="s">
        <v>364</v>
      </c>
      <c r="EC207" s="165"/>
      <c r="ED207" s="165"/>
      <c r="EE207" s="165"/>
      <c r="EF207" s="165"/>
      <c r="EG207" s="165" t="s">
        <v>365</v>
      </c>
      <c r="EH207" s="165"/>
      <c r="EI207" s="165"/>
      <c r="EJ207" s="165"/>
      <c r="EK207" s="165"/>
      <c r="EL207" s="165" t="s">
        <v>366</v>
      </c>
      <c r="EM207" s="165"/>
      <c r="EN207" s="165"/>
      <c r="EO207" s="165"/>
      <c r="EP207" s="165"/>
      <c r="EQ207" s="165" t="s">
        <v>367</v>
      </c>
      <c r="ER207" s="165"/>
      <c r="ES207" s="165"/>
      <c r="ET207" s="165"/>
      <c r="EU207" s="165"/>
      <c r="EV207" s="165" t="s">
        <v>368</v>
      </c>
      <c r="EW207" s="165"/>
      <c r="EX207" s="165"/>
      <c r="EY207" s="165"/>
      <c r="EZ207" s="165"/>
      <c r="FA207" s="165" t="s">
        <v>369</v>
      </c>
      <c r="FB207" s="165"/>
      <c r="FC207" s="165"/>
      <c r="FD207" s="165"/>
      <c r="FE207" s="165"/>
      <c r="FF207" s="165" t="s">
        <v>370</v>
      </c>
      <c r="FG207" s="165"/>
      <c r="FH207" s="165"/>
      <c r="FI207" s="165"/>
      <c r="FJ207" s="165"/>
      <c r="FK207" s="165" t="s">
        <v>371</v>
      </c>
      <c r="FL207" s="165"/>
      <c r="FM207" s="165"/>
      <c r="FN207" s="165"/>
      <c r="FO207" s="165"/>
      <c r="FP207" s="165" t="s">
        <v>372</v>
      </c>
      <c r="FQ207" s="165"/>
      <c r="FR207" s="165"/>
      <c r="FS207" s="165"/>
      <c r="FT207" s="165"/>
      <c r="FU207" s="166" t="s">
        <v>373</v>
      </c>
      <c r="FV207" s="166"/>
      <c r="FW207" s="166"/>
      <c r="FX207" s="167" t="s">
        <v>360</v>
      </c>
      <c r="FY207" s="167" t="n">
        <v>1</v>
      </c>
    </row>
    <row r="208" customFormat="false" ht="15" hidden="false" customHeight="false" outlineLevel="0" collapsed="false">
      <c r="A208" s="78"/>
      <c r="B208" s="31" t="s">
        <v>374</v>
      </c>
      <c r="C208" s="31" t="s">
        <v>375</v>
      </c>
      <c r="D208" s="31" t="s">
        <v>376</v>
      </c>
      <c r="E208" s="31" t="s">
        <v>377</v>
      </c>
      <c r="F208" s="31" t="s">
        <v>378</v>
      </c>
      <c r="G208" s="31" t="s">
        <v>374</v>
      </c>
      <c r="H208" s="31" t="s">
        <v>375</v>
      </c>
      <c r="I208" s="31" t="s">
        <v>376</v>
      </c>
      <c r="J208" s="31" t="s">
        <v>377</v>
      </c>
      <c r="K208" s="31" t="s">
        <v>378</v>
      </c>
      <c r="L208" s="31" t="s">
        <v>374</v>
      </c>
      <c r="M208" s="31" t="s">
        <v>375</v>
      </c>
      <c r="N208" s="31" t="s">
        <v>376</v>
      </c>
      <c r="O208" s="31" t="s">
        <v>377</v>
      </c>
      <c r="P208" s="31" t="s">
        <v>378</v>
      </c>
      <c r="Q208" s="31" t="s">
        <v>374</v>
      </c>
      <c r="R208" s="31" t="s">
        <v>375</v>
      </c>
      <c r="S208" s="31" t="s">
        <v>376</v>
      </c>
      <c r="T208" s="31" t="s">
        <v>377</v>
      </c>
      <c r="U208" s="31" t="s">
        <v>378</v>
      </c>
      <c r="V208" s="31" t="s">
        <v>374</v>
      </c>
      <c r="W208" s="31" t="s">
        <v>375</v>
      </c>
      <c r="X208" s="31" t="s">
        <v>376</v>
      </c>
      <c r="Y208" s="31" t="s">
        <v>377</v>
      </c>
      <c r="Z208" s="31" t="s">
        <v>378</v>
      </c>
      <c r="AA208" s="31" t="s">
        <v>374</v>
      </c>
      <c r="AB208" s="31" t="s">
        <v>375</v>
      </c>
      <c r="AC208" s="31" t="s">
        <v>376</v>
      </c>
      <c r="AD208" s="31" t="s">
        <v>377</v>
      </c>
      <c r="AE208" s="31" t="s">
        <v>378</v>
      </c>
      <c r="AF208" s="31" t="s">
        <v>374</v>
      </c>
      <c r="AG208" s="31" t="s">
        <v>375</v>
      </c>
      <c r="AH208" s="31" t="s">
        <v>376</v>
      </c>
      <c r="AI208" s="31" t="s">
        <v>377</v>
      </c>
      <c r="AJ208" s="31" t="s">
        <v>378</v>
      </c>
      <c r="AK208" s="31" t="s">
        <v>374</v>
      </c>
      <c r="AL208" s="31" t="s">
        <v>375</v>
      </c>
      <c r="AM208" s="31" t="s">
        <v>376</v>
      </c>
      <c r="AN208" s="31" t="s">
        <v>377</v>
      </c>
      <c r="AO208" s="31" t="s">
        <v>378</v>
      </c>
      <c r="AP208" s="31" t="s">
        <v>374</v>
      </c>
      <c r="AQ208" s="31" t="s">
        <v>375</v>
      </c>
      <c r="AR208" s="31" t="s">
        <v>376</v>
      </c>
      <c r="AS208" s="31" t="s">
        <v>377</v>
      </c>
      <c r="AT208" s="31" t="s">
        <v>378</v>
      </c>
      <c r="AU208" s="31" t="s">
        <v>374</v>
      </c>
      <c r="AV208" s="31" t="s">
        <v>375</v>
      </c>
      <c r="AW208" s="31" t="s">
        <v>376</v>
      </c>
      <c r="AX208" s="31" t="s">
        <v>377</v>
      </c>
      <c r="AY208" s="31" t="s">
        <v>378</v>
      </c>
      <c r="AZ208" s="31" t="s">
        <v>374</v>
      </c>
      <c r="BA208" s="31" t="s">
        <v>375</v>
      </c>
      <c r="BB208" s="31" t="s">
        <v>376</v>
      </c>
      <c r="BC208" s="31" t="s">
        <v>377</v>
      </c>
      <c r="BD208" s="31" t="s">
        <v>378</v>
      </c>
      <c r="BE208" s="31" t="s">
        <v>374</v>
      </c>
      <c r="BF208" s="31" t="s">
        <v>375</v>
      </c>
      <c r="BG208" s="31" t="s">
        <v>376</v>
      </c>
      <c r="BH208" s="31" t="s">
        <v>377</v>
      </c>
      <c r="BI208" s="31" t="s">
        <v>378</v>
      </c>
      <c r="BJ208" s="31" t="s">
        <v>374</v>
      </c>
      <c r="BK208" s="31" t="s">
        <v>375</v>
      </c>
      <c r="BL208" s="31" t="s">
        <v>376</v>
      </c>
      <c r="BM208" s="31" t="s">
        <v>377</v>
      </c>
      <c r="BN208" s="31" t="s">
        <v>378</v>
      </c>
      <c r="BO208" s="31" t="s">
        <v>374</v>
      </c>
      <c r="BP208" s="31" t="s">
        <v>375</v>
      </c>
      <c r="BQ208" s="31" t="s">
        <v>376</v>
      </c>
      <c r="BR208" s="31" t="s">
        <v>377</v>
      </c>
      <c r="BS208" s="31" t="s">
        <v>378</v>
      </c>
      <c r="BT208" s="31" t="s">
        <v>374</v>
      </c>
      <c r="BU208" s="31" t="s">
        <v>375</v>
      </c>
      <c r="BV208" s="31" t="s">
        <v>376</v>
      </c>
      <c r="BW208" s="31" t="s">
        <v>377</v>
      </c>
      <c r="BX208" s="31" t="s">
        <v>378</v>
      </c>
      <c r="BY208" s="31" t="s">
        <v>374</v>
      </c>
      <c r="BZ208" s="31" t="s">
        <v>375</v>
      </c>
      <c r="CA208" s="31" t="s">
        <v>376</v>
      </c>
      <c r="CB208" s="31" t="s">
        <v>377</v>
      </c>
      <c r="CC208" s="31" t="s">
        <v>378</v>
      </c>
      <c r="CD208" s="31" t="s">
        <v>374</v>
      </c>
      <c r="CE208" s="31" t="s">
        <v>375</v>
      </c>
      <c r="CF208" s="31" t="s">
        <v>376</v>
      </c>
      <c r="CG208" s="31" t="s">
        <v>377</v>
      </c>
      <c r="CH208" s="31" t="s">
        <v>378</v>
      </c>
      <c r="CI208" s="31" t="s">
        <v>374</v>
      </c>
      <c r="CJ208" s="31" t="s">
        <v>375</v>
      </c>
      <c r="CK208" s="31" t="s">
        <v>376</v>
      </c>
      <c r="CL208" s="31" t="s">
        <v>377</v>
      </c>
      <c r="CM208" s="31" t="s">
        <v>378</v>
      </c>
      <c r="CN208" s="31" t="s">
        <v>374</v>
      </c>
      <c r="CO208" s="31" t="s">
        <v>375</v>
      </c>
      <c r="CP208" s="31" t="s">
        <v>376</v>
      </c>
      <c r="CQ208" s="31" t="s">
        <v>377</v>
      </c>
      <c r="CR208" s="31" t="s">
        <v>378</v>
      </c>
      <c r="CS208" s="31" t="s">
        <v>374</v>
      </c>
      <c r="CT208" s="31" t="s">
        <v>375</v>
      </c>
      <c r="CU208" s="31" t="s">
        <v>376</v>
      </c>
      <c r="CV208" s="31" t="s">
        <v>377</v>
      </c>
      <c r="CW208" s="31" t="s">
        <v>378</v>
      </c>
      <c r="CX208" s="31" t="s">
        <v>374</v>
      </c>
      <c r="CY208" s="31" t="s">
        <v>375</v>
      </c>
      <c r="CZ208" s="31" t="s">
        <v>376</v>
      </c>
      <c r="DA208" s="31" t="s">
        <v>377</v>
      </c>
      <c r="DB208" s="31" t="s">
        <v>378</v>
      </c>
      <c r="DC208" s="31" t="s">
        <v>374</v>
      </c>
      <c r="DD208" s="31" t="s">
        <v>375</v>
      </c>
      <c r="DE208" s="31" t="s">
        <v>376</v>
      </c>
      <c r="DF208" s="31" t="s">
        <v>377</v>
      </c>
      <c r="DG208" s="31" t="s">
        <v>378</v>
      </c>
      <c r="DH208" s="140" t="s">
        <v>374</v>
      </c>
      <c r="DI208" s="140" t="s">
        <v>375</v>
      </c>
      <c r="DJ208" s="140" t="s">
        <v>376</v>
      </c>
      <c r="DK208" s="140" t="s">
        <v>377</v>
      </c>
      <c r="DL208" s="31" t="s">
        <v>378</v>
      </c>
      <c r="DM208" s="31" t="s">
        <v>374</v>
      </c>
      <c r="DN208" s="31" t="s">
        <v>375</v>
      </c>
      <c r="DO208" s="31" t="s">
        <v>376</v>
      </c>
      <c r="DP208" s="31" t="s">
        <v>377</v>
      </c>
      <c r="DQ208" s="31" t="s">
        <v>378</v>
      </c>
      <c r="DR208" s="31" t="s">
        <v>374</v>
      </c>
      <c r="DS208" s="31" t="s">
        <v>375</v>
      </c>
      <c r="DT208" s="31" t="s">
        <v>376</v>
      </c>
      <c r="DU208" s="31" t="s">
        <v>377</v>
      </c>
      <c r="DV208" s="31" t="s">
        <v>378</v>
      </c>
      <c r="DW208" s="31" t="s">
        <v>374</v>
      </c>
      <c r="DX208" s="31" t="s">
        <v>375</v>
      </c>
      <c r="DY208" s="31" t="s">
        <v>376</v>
      </c>
      <c r="DZ208" s="31" t="s">
        <v>377</v>
      </c>
      <c r="EA208" s="31" t="s">
        <v>378</v>
      </c>
      <c r="EB208" s="31" t="s">
        <v>374</v>
      </c>
      <c r="EC208" s="31" t="s">
        <v>375</v>
      </c>
      <c r="ED208" s="31" t="s">
        <v>376</v>
      </c>
      <c r="EE208" s="31" t="s">
        <v>377</v>
      </c>
      <c r="EF208" s="31" t="s">
        <v>378</v>
      </c>
      <c r="EG208" s="31" t="s">
        <v>374</v>
      </c>
      <c r="EH208" s="31" t="s">
        <v>375</v>
      </c>
      <c r="EI208" s="31" t="s">
        <v>376</v>
      </c>
      <c r="EJ208" s="31" t="s">
        <v>377</v>
      </c>
      <c r="EK208" s="31" t="s">
        <v>378</v>
      </c>
      <c r="EL208" s="31" t="s">
        <v>374</v>
      </c>
      <c r="EM208" s="31" t="s">
        <v>375</v>
      </c>
      <c r="EN208" s="31" t="s">
        <v>376</v>
      </c>
      <c r="EO208" s="31" t="s">
        <v>377</v>
      </c>
      <c r="EP208" s="31" t="s">
        <v>378</v>
      </c>
      <c r="EQ208" s="31" t="s">
        <v>374</v>
      </c>
      <c r="ER208" s="31" t="s">
        <v>375</v>
      </c>
      <c r="ES208" s="31" t="s">
        <v>376</v>
      </c>
      <c r="ET208" s="31" t="s">
        <v>377</v>
      </c>
      <c r="EU208" s="31" t="s">
        <v>378</v>
      </c>
      <c r="EV208" s="31" t="s">
        <v>374</v>
      </c>
      <c r="EW208" s="31" t="s">
        <v>375</v>
      </c>
      <c r="EX208" s="31" t="s">
        <v>376</v>
      </c>
      <c r="EY208" s="31" t="s">
        <v>377</v>
      </c>
      <c r="EZ208" s="31" t="s">
        <v>378</v>
      </c>
      <c r="FA208" s="31" t="s">
        <v>374</v>
      </c>
      <c r="FB208" s="31" t="s">
        <v>375</v>
      </c>
      <c r="FC208" s="31" t="s">
        <v>376</v>
      </c>
      <c r="FD208" s="31" t="s">
        <v>377</v>
      </c>
      <c r="FE208" s="31" t="s">
        <v>378</v>
      </c>
      <c r="FF208" s="31" t="s">
        <v>374</v>
      </c>
      <c r="FG208" s="31" t="s">
        <v>375</v>
      </c>
      <c r="FH208" s="31" t="s">
        <v>376</v>
      </c>
      <c r="FI208" s="31" t="s">
        <v>377</v>
      </c>
      <c r="FJ208" s="31" t="s">
        <v>378</v>
      </c>
      <c r="FK208" s="31" t="s">
        <v>374</v>
      </c>
      <c r="FL208" s="31" t="s">
        <v>375</v>
      </c>
      <c r="FM208" s="31" t="s">
        <v>376</v>
      </c>
      <c r="FN208" s="31" t="s">
        <v>377</v>
      </c>
      <c r="FO208" s="31" t="s">
        <v>378</v>
      </c>
      <c r="FP208" s="31" t="s">
        <v>374</v>
      </c>
      <c r="FQ208" s="31" t="s">
        <v>375</v>
      </c>
      <c r="FR208" s="31" t="s">
        <v>376</v>
      </c>
      <c r="FS208" s="31" t="s">
        <v>377</v>
      </c>
      <c r="FT208" s="31" t="s">
        <v>378</v>
      </c>
      <c r="FU208" s="31" t="s">
        <v>374</v>
      </c>
      <c r="FV208" s="31" t="s">
        <v>375</v>
      </c>
      <c r="FW208" s="31" t="s">
        <v>376</v>
      </c>
      <c r="FX208" s="31" t="s">
        <v>377</v>
      </c>
      <c r="FY208" s="31" t="s">
        <v>378</v>
      </c>
    </row>
    <row r="209" customFormat="false" ht="16.4" hidden="false" customHeight="false" outlineLevel="0" collapsed="false">
      <c r="A209" s="164" t="s">
        <v>379</v>
      </c>
      <c r="B209" s="144"/>
      <c r="C209" s="144"/>
      <c r="D209" s="144"/>
      <c r="E209" s="144"/>
      <c r="F209" s="144"/>
      <c r="G209" s="144"/>
      <c r="H209" s="144"/>
      <c r="I209" s="144"/>
      <c r="J209" s="144"/>
      <c r="K209" s="144"/>
      <c r="L209" s="144"/>
      <c r="M209" s="144"/>
      <c r="N209" s="144"/>
      <c r="O209" s="144"/>
      <c r="P209" s="144"/>
      <c r="Q209" s="144"/>
      <c r="R209" s="144"/>
      <c r="S209" s="144"/>
      <c r="T209" s="144"/>
      <c r="U209" s="144"/>
      <c r="V209" s="144"/>
      <c r="W209" s="144"/>
      <c r="X209" s="144"/>
      <c r="Y209" s="144"/>
      <c r="Z209" s="144"/>
      <c r="AA209" s="144"/>
      <c r="AB209" s="144"/>
      <c r="AC209" s="144"/>
      <c r="AD209" s="144"/>
      <c r="AE209" s="144"/>
      <c r="AF209" s="144"/>
      <c r="AG209" s="144"/>
      <c r="AH209" s="144"/>
      <c r="AI209" s="144"/>
      <c r="AJ209" s="144"/>
      <c r="AK209" s="144"/>
      <c r="AL209" s="144"/>
      <c r="AM209" s="144"/>
      <c r="AN209" s="144"/>
      <c r="AO209" s="144"/>
      <c r="AP209" s="144"/>
      <c r="AQ209" s="144"/>
      <c r="AR209" s="144"/>
      <c r="AS209" s="144"/>
      <c r="AT209" s="144"/>
      <c r="AU209" s="144"/>
      <c r="AV209" s="144"/>
      <c r="AW209" s="144"/>
      <c r="AX209" s="144"/>
      <c r="AY209" s="144"/>
      <c r="AZ209" s="144"/>
      <c r="BA209" s="144"/>
      <c r="BB209" s="144"/>
      <c r="BC209" s="144"/>
      <c r="BD209" s="144"/>
      <c r="BE209" s="144"/>
      <c r="BF209" s="144"/>
      <c r="BG209" s="144"/>
      <c r="BH209" s="144"/>
      <c r="BI209" s="144"/>
      <c r="BJ209" s="144"/>
      <c r="BK209" s="144"/>
      <c r="BL209" s="144"/>
      <c r="BM209" s="144"/>
      <c r="BN209" s="144"/>
      <c r="BO209" s="144"/>
      <c r="BP209" s="144"/>
      <c r="BQ209" s="144"/>
      <c r="BR209" s="144"/>
      <c r="BS209" s="144"/>
      <c r="BT209" s="144"/>
      <c r="BU209" s="144"/>
      <c r="BV209" s="144"/>
      <c r="BW209" s="144"/>
      <c r="BX209" s="144"/>
      <c r="BY209" s="144"/>
      <c r="BZ209" s="144"/>
      <c r="CA209" s="144"/>
      <c r="CB209" s="144"/>
      <c r="CC209" s="144"/>
      <c r="CD209" s="144"/>
      <c r="CE209" s="144"/>
      <c r="CF209" s="144"/>
      <c r="CG209" s="144"/>
      <c r="CH209" s="144"/>
      <c r="CI209" s="144"/>
      <c r="CJ209" s="144"/>
      <c r="CK209" s="144"/>
      <c r="CL209" s="144"/>
      <c r="CM209" s="144"/>
      <c r="CN209" s="144"/>
      <c r="CO209" s="144"/>
      <c r="CP209" s="144"/>
      <c r="CQ209" s="144"/>
      <c r="CR209" s="144"/>
      <c r="CS209" s="144"/>
      <c r="CT209" s="144"/>
      <c r="CU209" s="144"/>
      <c r="CV209" s="144"/>
      <c r="CW209" s="144"/>
      <c r="CX209" s="144"/>
      <c r="CY209" s="144"/>
      <c r="CZ209" s="144"/>
      <c r="DA209" s="144"/>
      <c r="DB209" s="144"/>
      <c r="DC209" s="144"/>
      <c r="DD209" s="144"/>
      <c r="DE209" s="144"/>
      <c r="DF209" s="144"/>
      <c r="DG209" s="144"/>
      <c r="DH209" s="144"/>
      <c r="DI209" s="144"/>
      <c r="DJ209" s="144"/>
      <c r="DK209" s="144"/>
      <c r="DL209" s="144"/>
      <c r="DM209" s="144"/>
      <c r="DN209" s="144"/>
      <c r="DO209" s="144"/>
      <c r="DP209" s="144"/>
      <c r="DQ209" s="144"/>
      <c r="DR209" s="144"/>
      <c r="DS209" s="144"/>
      <c r="DT209" s="144"/>
      <c r="DU209" s="144"/>
      <c r="DV209" s="144"/>
      <c r="DW209" s="144"/>
      <c r="DX209" s="144"/>
      <c r="DY209" s="144"/>
      <c r="DZ209" s="144"/>
      <c r="EA209" s="144"/>
      <c r="EB209" s="144"/>
      <c r="EC209" s="144"/>
      <c r="ED209" s="144"/>
      <c r="EE209" s="144"/>
      <c r="EF209" s="144"/>
      <c r="EG209" s="144"/>
      <c r="EH209" s="144"/>
      <c r="EI209" s="144"/>
      <c r="EJ209" s="144"/>
      <c r="EK209" s="144"/>
      <c r="EL209" s="144"/>
      <c r="EM209" s="144"/>
      <c r="EN209" s="144"/>
      <c r="EO209" s="144"/>
      <c r="EP209" s="144"/>
      <c r="EQ209" s="144"/>
      <c r="ER209" s="144"/>
      <c r="ES209" s="144"/>
      <c r="ET209" s="144"/>
      <c r="EU209" s="144"/>
      <c r="EV209" s="144"/>
      <c r="EW209" s="144"/>
      <c r="EX209" s="144"/>
      <c r="EY209" s="144"/>
      <c r="EZ209" s="144"/>
      <c r="FA209" s="144"/>
      <c r="FB209" s="144"/>
      <c r="FC209" s="144"/>
      <c r="FD209" s="144"/>
      <c r="FE209" s="144"/>
      <c r="FF209" s="144"/>
      <c r="FG209" s="144"/>
      <c r="FH209" s="144"/>
      <c r="FI209" s="144"/>
      <c r="FJ209" s="144"/>
      <c r="FK209" s="144"/>
      <c r="FL209" s="144"/>
      <c r="FM209" s="144"/>
      <c r="FN209" s="144"/>
      <c r="FO209" s="144"/>
      <c r="FP209" s="144"/>
      <c r="FQ209" s="144"/>
      <c r="FR209" s="144"/>
      <c r="FS209" s="144"/>
      <c r="FT209" s="144"/>
      <c r="FU209" s="144"/>
      <c r="FV209" s="144"/>
      <c r="FW209" s="144"/>
      <c r="FX209" s="144"/>
      <c r="FY209" s="144"/>
    </row>
    <row r="210" customFormat="false" ht="16.4" hidden="false" customHeight="false" outlineLevel="0" collapsed="false">
      <c r="A210" s="168" t="s">
        <v>380</v>
      </c>
      <c r="B210" s="30" t="n">
        <v>0</v>
      </c>
      <c r="C210" s="30" t="n">
        <v>0</v>
      </c>
      <c r="D210" s="30" t="n">
        <v>0</v>
      </c>
      <c r="E210" s="30" t="n">
        <v>0</v>
      </c>
      <c r="F210" s="30" t="n">
        <v>0</v>
      </c>
      <c r="G210" s="30" t="n">
        <v>0</v>
      </c>
      <c r="H210" s="30" t="n">
        <v>0</v>
      </c>
      <c r="I210" s="30" t="n">
        <v>0</v>
      </c>
      <c r="J210" s="30" t="n">
        <v>0</v>
      </c>
      <c r="K210" s="30" t="n">
        <v>0</v>
      </c>
      <c r="L210" s="30" t="n">
        <v>0</v>
      </c>
      <c r="M210" s="30" t="n">
        <v>0</v>
      </c>
      <c r="N210" s="30" t="n">
        <v>0</v>
      </c>
      <c r="O210" s="30" t="n">
        <v>0</v>
      </c>
      <c r="P210" s="30" t="n">
        <v>0</v>
      </c>
      <c r="Q210" s="30" t="n">
        <v>0</v>
      </c>
      <c r="R210" s="30" t="n">
        <v>0</v>
      </c>
      <c r="S210" s="30" t="n">
        <v>0</v>
      </c>
      <c r="T210" s="30" t="n">
        <v>0</v>
      </c>
      <c r="U210" s="30" t="n">
        <v>0</v>
      </c>
      <c r="V210" s="30" t="n">
        <v>0</v>
      </c>
      <c r="W210" s="30" t="n">
        <v>0</v>
      </c>
      <c r="X210" s="30" t="n">
        <v>0</v>
      </c>
      <c r="Y210" s="30" t="n">
        <v>0</v>
      </c>
      <c r="Z210" s="30" t="n">
        <v>0</v>
      </c>
      <c r="AA210" s="30" t="n">
        <v>0</v>
      </c>
      <c r="AB210" s="30" t="n">
        <v>0</v>
      </c>
      <c r="AC210" s="30" t="n">
        <v>0</v>
      </c>
      <c r="AD210" s="30" t="n">
        <v>0</v>
      </c>
      <c r="AE210" s="30" t="n">
        <v>0</v>
      </c>
      <c r="AF210" s="30" t="n">
        <v>0</v>
      </c>
      <c r="AG210" s="30" t="n">
        <v>0</v>
      </c>
      <c r="AH210" s="30" t="n">
        <v>0</v>
      </c>
      <c r="AI210" s="30" t="n">
        <v>0</v>
      </c>
      <c r="AJ210" s="30" t="n">
        <v>0</v>
      </c>
      <c r="AK210" s="30" t="n">
        <v>0</v>
      </c>
      <c r="AL210" s="30" t="n">
        <v>0</v>
      </c>
      <c r="AM210" s="30" t="n">
        <v>0</v>
      </c>
      <c r="AN210" s="30" t="n">
        <v>0</v>
      </c>
      <c r="AO210" s="30" t="n">
        <v>0</v>
      </c>
      <c r="AP210" s="30" t="n">
        <v>0</v>
      </c>
      <c r="AQ210" s="30" t="n">
        <v>0</v>
      </c>
      <c r="AR210" s="30" t="n">
        <v>0</v>
      </c>
      <c r="AS210" s="30" t="n">
        <v>0</v>
      </c>
      <c r="AT210" s="30" t="n">
        <v>0</v>
      </c>
      <c r="AU210" s="30" t="n">
        <v>0</v>
      </c>
      <c r="AV210" s="30" t="n">
        <v>0</v>
      </c>
      <c r="AW210" s="30" t="n">
        <v>0</v>
      </c>
      <c r="AX210" s="30" t="n">
        <v>0</v>
      </c>
      <c r="AY210" s="30" t="n">
        <v>0</v>
      </c>
      <c r="AZ210" s="30" t="n">
        <v>0</v>
      </c>
      <c r="BA210" s="30" t="n">
        <v>0</v>
      </c>
      <c r="BB210" s="30" t="n">
        <v>0</v>
      </c>
      <c r="BC210" s="30" t="n">
        <v>0</v>
      </c>
      <c r="BD210" s="30" t="n">
        <v>0</v>
      </c>
      <c r="BE210" s="30" t="n">
        <v>0</v>
      </c>
      <c r="BF210" s="30" t="n">
        <v>0</v>
      </c>
      <c r="BG210" s="30" t="n">
        <v>0</v>
      </c>
      <c r="BH210" s="30" t="n">
        <v>0</v>
      </c>
      <c r="BI210" s="30" t="n">
        <v>0</v>
      </c>
      <c r="BJ210" s="30" t="n">
        <v>0</v>
      </c>
      <c r="BK210" s="30" t="n">
        <v>0</v>
      </c>
      <c r="BL210" s="30" t="n">
        <v>0</v>
      </c>
      <c r="BM210" s="30" t="n">
        <v>0</v>
      </c>
      <c r="BN210" s="30" t="n">
        <v>0</v>
      </c>
      <c r="BO210" s="30" t="n">
        <v>0</v>
      </c>
      <c r="BP210" s="30" t="n">
        <v>0</v>
      </c>
      <c r="BQ210" s="30" t="n">
        <v>0</v>
      </c>
      <c r="BR210" s="30" t="n">
        <v>0</v>
      </c>
      <c r="BS210" s="30" t="n">
        <v>0</v>
      </c>
      <c r="BT210" s="30" t="n">
        <v>0</v>
      </c>
      <c r="BU210" s="30" t="n">
        <v>0</v>
      </c>
      <c r="BV210" s="30" t="n">
        <v>0</v>
      </c>
      <c r="BW210" s="30" t="n">
        <v>0</v>
      </c>
      <c r="BX210" s="30" t="n">
        <v>0</v>
      </c>
      <c r="BY210" s="30" t="n">
        <v>0</v>
      </c>
      <c r="BZ210" s="30" t="n">
        <v>0</v>
      </c>
      <c r="CA210" s="30" t="n">
        <v>0</v>
      </c>
      <c r="CB210" s="30" t="n">
        <v>0</v>
      </c>
      <c r="CC210" s="30" t="n">
        <v>0</v>
      </c>
      <c r="CD210" s="30" t="n">
        <v>0</v>
      </c>
      <c r="CE210" s="30" t="n">
        <v>0</v>
      </c>
      <c r="CF210" s="30" t="n">
        <v>0</v>
      </c>
      <c r="CG210" s="30" t="n">
        <v>0</v>
      </c>
      <c r="CH210" s="30" t="n">
        <v>0</v>
      </c>
      <c r="CI210" s="30" t="n">
        <v>0</v>
      </c>
      <c r="CJ210" s="30" t="n">
        <v>0</v>
      </c>
      <c r="CK210" s="30" t="n">
        <v>0</v>
      </c>
      <c r="CL210" s="30" t="n">
        <v>0</v>
      </c>
      <c r="CM210" s="30" t="n">
        <v>0</v>
      </c>
      <c r="CN210" s="30" t="n">
        <v>0</v>
      </c>
      <c r="CO210" s="30" t="n">
        <v>0</v>
      </c>
      <c r="CP210" s="30" t="n">
        <v>0</v>
      </c>
      <c r="CQ210" s="30" t="n">
        <v>0</v>
      </c>
      <c r="CR210" s="30" t="n">
        <v>0</v>
      </c>
      <c r="CS210" s="30" t="n">
        <v>0</v>
      </c>
      <c r="CT210" s="30" t="n">
        <v>0</v>
      </c>
      <c r="CU210" s="30" t="n">
        <v>0</v>
      </c>
      <c r="CV210" s="30" t="n">
        <v>0</v>
      </c>
      <c r="CW210" s="30" t="n">
        <v>0</v>
      </c>
      <c r="CX210" s="30" t="n">
        <v>0</v>
      </c>
      <c r="CY210" s="30" t="n">
        <v>0</v>
      </c>
      <c r="CZ210" s="30" t="n">
        <v>0</v>
      </c>
      <c r="DA210" s="30" t="n">
        <v>0</v>
      </c>
      <c r="DB210" s="30" t="n">
        <v>0</v>
      </c>
      <c r="DC210" s="30" t="n">
        <v>0</v>
      </c>
      <c r="DD210" s="30" t="n">
        <v>0</v>
      </c>
      <c r="DE210" s="30" t="n">
        <v>0</v>
      </c>
      <c r="DF210" s="30" t="n">
        <v>0</v>
      </c>
      <c r="DG210" s="30" t="n">
        <v>0</v>
      </c>
      <c r="DH210" s="30" t="n">
        <v>0</v>
      </c>
      <c r="DI210" s="30" t="n">
        <v>0</v>
      </c>
      <c r="DJ210" s="30" t="n">
        <v>0</v>
      </c>
      <c r="DK210" s="30" t="n">
        <v>0</v>
      </c>
      <c r="DL210" s="30" t="n">
        <v>0</v>
      </c>
      <c r="DM210" s="30" t="n">
        <v>0</v>
      </c>
      <c r="DN210" s="30" t="n">
        <v>0</v>
      </c>
      <c r="DO210" s="30" t="n">
        <v>0</v>
      </c>
      <c r="DP210" s="30" t="n">
        <v>0</v>
      </c>
      <c r="DQ210" s="30" t="n">
        <v>0</v>
      </c>
      <c r="DR210" s="30" t="n">
        <v>0</v>
      </c>
      <c r="DS210" s="30" t="n">
        <v>0</v>
      </c>
      <c r="DT210" s="30" t="n">
        <v>0</v>
      </c>
      <c r="DU210" s="30" t="n">
        <v>0</v>
      </c>
      <c r="DV210" s="30" t="n">
        <v>0</v>
      </c>
      <c r="DW210" s="30" t="n">
        <v>0</v>
      </c>
      <c r="DX210" s="30" t="n">
        <v>0</v>
      </c>
      <c r="DY210" s="30" t="n">
        <v>0</v>
      </c>
      <c r="DZ210" s="30" t="n">
        <v>0</v>
      </c>
      <c r="EA210" s="30" t="n">
        <v>0</v>
      </c>
      <c r="EB210" s="30" t="n">
        <v>0</v>
      </c>
      <c r="EC210" s="30" t="n">
        <v>0</v>
      </c>
      <c r="ED210" s="30" t="n">
        <v>0</v>
      </c>
      <c r="EE210" s="30" t="n">
        <v>0</v>
      </c>
      <c r="EF210" s="30" t="n">
        <v>0</v>
      </c>
      <c r="EG210" s="30" t="n">
        <v>0</v>
      </c>
      <c r="EH210" s="30" t="n">
        <v>0</v>
      </c>
      <c r="EI210" s="30" t="n">
        <v>0</v>
      </c>
      <c r="EJ210" s="30" t="n">
        <v>0</v>
      </c>
      <c r="EK210" s="30" t="n">
        <v>0</v>
      </c>
      <c r="EL210" s="30" t="n">
        <v>0</v>
      </c>
      <c r="EM210" s="30" t="n">
        <v>0</v>
      </c>
      <c r="EN210" s="30" t="n">
        <v>0</v>
      </c>
      <c r="EO210" s="30" t="n">
        <v>0</v>
      </c>
      <c r="EP210" s="30" t="n">
        <v>0</v>
      </c>
      <c r="EQ210" s="30" t="n">
        <v>0</v>
      </c>
      <c r="ER210" s="30" t="n">
        <v>0</v>
      </c>
      <c r="ES210" s="30" t="n">
        <v>0</v>
      </c>
      <c r="ET210" s="30" t="n">
        <v>0</v>
      </c>
      <c r="EU210" s="30" t="n">
        <v>0</v>
      </c>
      <c r="EV210" s="30" t="n">
        <v>0</v>
      </c>
      <c r="EW210" s="30" t="n">
        <v>0</v>
      </c>
      <c r="EX210" s="30" t="n">
        <v>0</v>
      </c>
      <c r="EY210" s="30" t="n">
        <v>0</v>
      </c>
      <c r="EZ210" s="30" t="n">
        <v>0</v>
      </c>
      <c r="FA210" s="30" t="n">
        <v>0</v>
      </c>
      <c r="FB210" s="30" t="n">
        <v>0</v>
      </c>
      <c r="FC210" s="30" t="n">
        <v>0</v>
      </c>
      <c r="FD210" s="30" t="n">
        <v>0</v>
      </c>
      <c r="FE210" s="30" t="n">
        <v>0</v>
      </c>
      <c r="FF210" s="30" t="n">
        <v>0</v>
      </c>
      <c r="FG210" s="30" t="n">
        <v>0</v>
      </c>
      <c r="FH210" s="30" t="n">
        <v>0</v>
      </c>
      <c r="FI210" s="30" t="n">
        <v>0</v>
      </c>
      <c r="FJ210" s="30" t="n">
        <v>0</v>
      </c>
      <c r="FK210" s="30" t="n">
        <v>0</v>
      </c>
      <c r="FL210" s="30" t="n">
        <v>0</v>
      </c>
      <c r="FM210" s="30" t="n">
        <v>0</v>
      </c>
      <c r="FN210" s="30" t="n">
        <v>0</v>
      </c>
      <c r="FO210" s="30" t="n">
        <v>0</v>
      </c>
      <c r="FP210" s="30" t="n">
        <v>0</v>
      </c>
      <c r="FQ210" s="30" t="n">
        <v>0</v>
      </c>
      <c r="FR210" s="30" t="n">
        <v>0</v>
      </c>
      <c r="FS210" s="30" t="n">
        <v>0</v>
      </c>
      <c r="FT210" s="30" t="n">
        <v>0</v>
      </c>
      <c r="FU210" s="30" t="n">
        <v>0</v>
      </c>
      <c r="FV210" s="30" t="n">
        <v>0</v>
      </c>
      <c r="FW210" s="30" t="n">
        <v>0</v>
      </c>
      <c r="FX210" s="30" t="n">
        <v>0</v>
      </c>
      <c r="FY210" s="30" t="n">
        <v>0</v>
      </c>
    </row>
    <row r="211" customFormat="false" ht="16.4" hidden="false" customHeight="false" outlineLevel="0" collapsed="false">
      <c r="A211" s="168" t="s">
        <v>381</v>
      </c>
      <c r="B211" s="30" t="n">
        <v>0</v>
      </c>
      <c r="C211" s="30" t="n">
        <v>0</v>
      </c>
      <c r="D211" s="30" t="n">
        <v>0</v>
      </c>
      <c r="E211" s="30" t="n">
        <v>0</v>
      </c>
      <c r="F211" s="30" t="n">
        <v>0</v>
      </c>
      <c r="G211" s="30" t="n">
        <v>0</v>
      </c>
      <c r="H211" s="30" t="n">
        <v>0</v>
      </c>
      <c r="I211" s="30" t="n">
        <v>0</v>
      </c>
      <c r="J211" s="30" t="n">
        <v>0</v>
      </c>
      <c r="K211" s="30" t="n">
        <v>0</v>
      </c>
      <c r="L211" s="30" t="n">
        <v>0</v>
      </c>
      <c r="M211" s="30" t="n">
        <v>0</v>
      </c>
      <c r="N211" s="30" t="n">
        <v>0</v>
      </c>
      <c r="O211" s="30" t="n">
        <v>0</v>
      </c>
      <c r="P211" s="30" t="n">
        <v>0</v>
      </c>
      <c r="Q211" s="30" t="n">
        <v>0</v>
      </c>
      <c r="R211" s="30" t="n">
        <v>0</v>
      </c>
      <c r="S211" s="30" t="n">
        <v>0</v>
      </c>
      <c r="T211" s="30" t="n">
        <v>0</v>
      </c>
      <c r="U211" s="30" t="n">
        <v>0</v>
      </c>
      <c r="V211" s="30" t="n">
        <v>0</v>
      </c>
      <c r="W211" s="30" t="n">
        <v>0</v>
      </c>
      <c r="X211" s="30" t="n">
        <v>0</v>
      </c>
      <c r="Y211" s="30" t="n">
        <v>0</v>
      </c>
      <c r="Z211" s="30" t="n">
        <v>0</v>
      </c>
      <c r="AA211" s="30" t="n">
        <v>0</v>
      </c>
      <c r="AB211" s="30" t="n">
        <v>0</v>
      </c>
      <c r="AC211" s="30" t="n">
        <v>0</v>
      </c>
      <c r="AD211" s="30" t="n">
        <v>0</v>
      </c>
      <c r="AE211" s="30" t="n">
        <v>0</v>
      </c>
      <c r="AF211" s="30" t="n">
        <v>0</v>
      </c>
      <c r="AG211" s="30" t="n">
        <v>0</v>
      </c>
      <c r="AH211" s="30" t="n">
        <v>0</v>
      </c>
      <c r="AI211" s="30" t="n">
        <v>0</v>
      </c>
      <c r="AJ211" s="30" t="n">
        <v>0</v>
      </c>
      <c r="AK211" s="30" t="n">
        <v>0</v>
      </c>
      <c r="AL211" s="30" t="n">
        <v>0</v>
      </c>
      <c r="AM211" s="30" t="n">
        <v>0</v>
      </c>
      <c r="AN211" s="30" t="n">
        <v>0</v>
      </c>
      <c r="AO211" s="30" t="n">
        <v>0</v>
      </c>
      <c r="AP211" s="30" t="n">
        <v>0</v>
      </c>
      <c r="AQ211" s="30" t="n">
        <v>0</v>
      </c>
      <c r="AR211" s="30" t="n">
        <v>0</v>
      </c>
      <c r="AS211" s="30" t="n">
        <v>0</v>
      </c>
      <c r="AT211" s="30" t="n">
        <v>0</v>
      </c>
      <c r="AU211" s="30" t="n">
        <v>0</v>
      </c>
      <c r="AV211" s="30" t="n">
        <v>0</v>
      </c>
      <c r="AW211" s="30" t="n">
        <v>0</v>
      </c>
      <c r="AX211" s="30" t="n">
        <v>0</v>
      </c>
      <c r="AY211" s="30" t="n">
        <v>0</v>
      </c>
      <c r="AZ211" s="30" t="n">
        <v>0</v>
      </c>
      <c r="BA211" s="30" t="n">
        <v>0</v>
      </c>
      <c r="BB211" s="30" t="n">
        <v>0</v>
      </c>
      <c r="BC211" s="30" t="n">
        <v>0</v>
      </c>
      <c r="BD211" s="30" t="n">
        <v>0</v>
      </c>
      <c r="BE211" s="30" t="n">
        <v>0</v>
      </c>
      <c r="BF211" s="30" t="n">
        <v>0</v>
      </c>
      <c r="BG211" s="30" t="n">
        <v>0</v>
      </c>
      <c r="BH211" s="30" t="n">
        <v>0</v>
      </c>
      <c r="BI211" s="30" t="n">
        <v>0</v>
      </c>
      <c r="BJ211" s="30" t="n">
        <v>0</v>
      </c>
      <c r="BK211" s="30" t="n">
        <v>0</v>
      </c>
      <c r="BL211" s="30" t="n">
        <v>0</v>
      </c>
      <c r="BM211" s="30" t="n">
        <v>0</v>
      </c>
      <c r="BN211" s="30" t="n">
        <v>0</v>
      </c>
      <c r="BO211" s="30" t="n">
        <v>0</v>
      </c>
      <c r="BP211" s="30" t="n">
        <v>0</v>
      </c>
      <c r="BQ211" s="30" t="n">
        <v>0</v>
      </c>
      <c r="BR211" s="30" t="n">
        <v>0</v>
      </c>
      <c r="BS211" s="30" t="n">
        <v>0</v>
      </c>
      <c r="BT211" s="30" t="n">
        <v>0</v>
      </c>
      <c r="BU211" s="30" t="n">
        <v>0</v>
      </c>
      <c r="BV211" s="30" t="n">
        <v>0</v>
      </c>
      <c r="BW211" s="30" t="n">
        <v>0</v>
      </c>
      <c r="BX211" s="30" t="n">
        <v>0</v>
      </c>
      <c r="BY211" s="30" t="n">
        <v>0</v>
      </c>
      <c r="BZ211" s="30" t="n">
        <v>0</v>
      </c>
      <c r="CA211" s="30" t="n">
        <v>0</v>
      </c>
      <c r="CB211" s="30" t="n">
        <v>0</v>
      </c>
      <c r="CC211" s="30" t="n">
        <v>0</v>
      </c>
      <c r="CD211" s="30" t="n">
        <v>0</v>
      </c>
      <c r="CE211" s="30" t="n">
        <v>0</v>
      </c>
      <c r="CF211" s="30" t="n">
        <v>0</v>
      </c>
      <c r="CG211" s="30" t="n">
        <v>0</v>
      </c>
      <c r="CH211" s="30" t="n">
        <v>0</v>
      </c>
      <c r="CI211" s="30" t="n">
        <v>0</v>
      </c>
      <c r="CJ211" s="30" t="n">
        <v>0</v>
      </c>
      <c r="CK211" s="30" t="n">
        <v>0</v>
      </c>
      <c r="CL211" s="30" t="n">
        <v>0</v>
      </c>
      <c r="CM211" s="30" t="n">
        <v>0</v>
      </c>
      <c r="CN211" s="30" t="n">
        <v>0</v>
      </c>
      <c r="CO211" s="30" t="n">
        <v>0</v>
      </c>
      <c r="CP211" s="30" t="n">
        <v>0</v>
      </c>
      <c r="CQ211" s="30" t="n">
        <v>0</v>
      </c>
      <c r="CR211" s="30" t="n">
        <v>0</v>
      </c>
      <c r="CS211" s="30" t="n">
        <v>0</v>
      </c>
      <c r="CT211" s="30" t="n">
        <v>0</v>
      </c>
      <c r="CU211" s="30" t="n">
        <v>0</v>
      </c>
      <c r="CV211" s="30" t="n">
        <v>0</v>
      </c>
      <c r="CW211" s="30" t="n">
        <v>0</v>
      </c>
      <c r="CX211" s="30" t="n">
        <v>0</v>
      </c>
      <c r="CY211" s="30" t="n">
        <v>0</v>
      </c>
      <c r="CZ211" s="30" t="n">
        <v>0</v>
      </c>
      <c r="DA211" s="30" t="n">
        <v>0</v>
      </c>
      <c r="DB211" s="30" t="n">
        <v>0</v>
      </c>
      <c r="DC211" s="30" t="n">
        <v>0</v>
      </c>
      <c r="DD211" s="30" t="n">
        <v>0</v>
      </c>
      <c r="DE211" s="30" t="n">
        <v>0</v>
      </c>
      <c r="DF211" s="30" t="n">
        <v>0</v>
      </c>
      <c r="DG211" s="30" t="n">
        <v>0</v>
      </c>
      <c r="DH211" s="30" t="n">
        <v>0</v>
      </c>
      <c r="DI211" s="30" t="n">
        <v>0</v>
      </c>
      <c r="DJ211" s="30" t="n">
        <v>0</v>
      </c>
      <c r="DK211" s="30" t="n">
        <v>0</v>
      </c>
      <c r="DL211" s="30" t="n">
        <v>0</v>
      </c>
      <c r="DM211" s="30" t="n">
        <v>0</v>
      </c>
      <c r="DN211" s="30" t="n">
        <v>0</v>
      </c>
      <c r="DO211" s="30" t="n">
        <v>0</v>
      </c>
      <c r="DP211" s="30" t="n">
        <v>0</v>
      </c>
      <c r="DQ211" s="30" t="n">
        <v>0</v>
      </c>
      <c r="DR211" s="30" t="n">
        <v>0</v>
      </c>
      <c r="DS211" s="30" t="n">
        <v>0</v>
      </c>
      <c r="DT211" s="30" t="n">
        <v>0</v>
      </c>
      <c r="DU211" s="30" t="n">
        <v>0</v>
      </c>
      <c r="DV211" s="30" t="n">
        <v>0</v>
      </c>
      <c r="DW211" s="30" t="n">
        <v>0</v>
      </c>
      <c r="DX211" s="30" t="n">
        <v>0</v>
      </c>
      <c r="DY211" s="30" t="n">
        <v>0</v>
      </c>
      <c r="DZ211" s="30" t="n">
        <v>0</v>
      </c>
      <c r="EA211" s="30" t="n">
        <v>0</v>
      </c>
      <c r="EB211" s="30" t="n">
        <v>0</v>
      </c>
      <c r="EC211" s="30" t="n">
        <v>0</v>
      </c>
      <c r="ED211" s="30" t="n">
        <v>0</v>
      </c>
      <c r="EE211" s="30" t="n">
        <v>0</v>
      </c>
      <c r="EF211" s="30" t="n">
        <v>0</v>
      </c>
      <c r="EG211" s="30" t="n">
        <v>0</v>
      </c>
      <c r="EH211" s="30" t="n">
        <v>0</v>
      </c>
      <c r="EI211" s="30" t="n">
        <v>0</v>
      </c>
      <c r="EJ211" s="30" t="n">
        <v>0</v>
      </c>
      <c r="EK211" s="30" t="n">
        <v>0</v>
      </c>
      <c r="EL211" s="30" t="n">
        <v>0</v>
      </c>
      <c r="EM211" s="30" t="n">
        <v>0</v>
      </c>
      <c r="EN211" s="30" t="n">
        <v>0</v>
      </c>
      <c r="EO211" s="30" t="n">
        <v>0</v>
      </c>
      <c r="EP211" s="30" t="n">
        <v>0</v>
      </c>
      <c r="EQ211" s="30" t="n">
        <v>0</v>
      </c>
      <c r="ER211" s="30" t="n">
        <v>0</v>
      </c>
      <c r="ES211" s="30" t="n">
        <v>0</v>
      </c>
      <c r="ET211" s="30" t="n">
        <v>0</v>
      </c>
      <c r="EU211" s="30" t="n">
        <v>0</v>
      </c>
      <c r="EV211" s="30" t="n">
        <v>0</v>
      </c>
      <c r="EW211" s="30" t="n">
        <v>0</v>
      </c>
      <c r="EX211" s="30" t="n">
        <v>0</v>
      </c>
      <c r="EY211" s="30" t="n">
        <v>0</v>
      </c>
      <c r="EZ211" s="30" t="n">
        <v>0</v>
      </c>
      <c r="FA211" s="30" t="n">
        <v>0</v>
      </c>
      <c r="FB211" s="30" t="n">
        <v>0</v>
      </c>
      <c r="FC211" s="30" t="n">
        <v>0</v>
      </c>
      <c r="FD211" s="30" t="n">
        <v>0</v>
      </c>
      <c r="FE211" s="30" t="n">
        <v>0</v>
      </c>
      <c r="FF211" s="30" t="n">
        <v>0</v>
      </c>
      <c r="FG211" s="30" t="n">
        <v>0</v>
      </c>
      <c r="FH211" s="30" t="n">
        <v>0</v>
      </c>
      <c r="FI211" s="30" t="n">
        <v>0</v>
      </c>
      <c r="FJ211" s="30" t="n">
        <v>0</v>
      </c>
      <c r="FK211" s="30" t="n">
        <v>0</v>
      </c>
      <c r="FL211" s="30" t="n">
        <v>0</v>
      </c>
      <c r="FM211" s="30" t="n">
        <v>0</v>
      </c>
      <c r="FN211" s="30" t="n">
        <v>0</v>
      </c>
      <c r="FO211" s="30" t="n">
        <v>0</v>
      </c>
      <c r="FP211" s="30" t="n">
        <v>0</v>
      </c>
      <c r="FQ211" s="30" t="n">
        <v>0</v>
      </c>
      <c r="FR211" s="30" t="n">
        <v>0</v>
      </c>
      <c r="FS211" s="30" t="n">
        <v>0</v>
      </c>
      <c r="FT211" s="30" t="n">
        <v>0</v>
      </c>
      <c r="FU211" s="30" t="n">
        <v>0</v>
      </c>
      <c r="FV211" s="30" t="n">
        <v>0</v>
      </c>
      <c r="FW211" s="30" t="n">
        <v>0</v>
      </c>
      <c r="FX211" s="30" t="n">
        <v>0</v>
      </c>
      <c r="FY211" s="30" t="n">
        <v>0</v>
      </c>
    </row>
    <row r="212" customFormat="false" ht="16.4" hidden="false" customHeight="false" outlineLevel="0" collapsed="false">
      <c r="A212" s="164" t="s">
        <v>382</v>
      </c>
      <c r="B212" s="144"/>
      <c r="C212" s="144"/>
      <c r="D212" s="144"/>
      <c r="E212" s="144"/>
      <c r="F212" s="144"/>
      <c r="G212" s="144"/>
      <c r="H212" s="144"/>
      <c r="I212" s="144"/>
      <c r="J212" s="144"/>
      <c r="K212" s="144"/>
      <c r="L212" s="144"/>
      <c r="M212" s="144"/>
      <c r="N212" s="144"/>
      <c r="O212" s="144"/>
      <c r="P212" s="144"/>
      <c r="Q212" s="144"/>
      <c r="R212" s="144"/>
      <c r="S212" s="144"/>
      <c r="T212" s="144"/>
      <c r="U212" s="144"/>
      <c r="V212" s="144"/>
      <c r="W212" s="144"/>
      <c r="X212" s="144"/>
      <c r="Y212" s="144"/>
      <c r="Z212" s="144"/>
      <c r="AA212" s="144"/>
      <c r="AB212" s="144"/>
      <c r="AC212" s="144"/>
      <c r="AD212" s="144"/>
      <c r="AE212" s="144"/>
      <c r="AF212" s="144"/>
      <c r="AG212" s="144"/>
      <c r="AH212" s="144"/>
      <c r="AI212" s="144"/>
      <c r="AJ212" s="144"/>
      <c r="AK212" s="144"/>
      <c r="AL212" s="144"/>
      <c r="AM212" s="144"/>
      <c r="AN212" s="144"/>
      <c r="AO212" s="144"/>
      <c r="AP212" s="144"/>
      <c r="AQ212" s="144"/>
      <c r="AR212" s="144"/>
      <c r="AS212" s="144"/>
      <c r="AT212" s="144"/>
      <c r="AU212" s="144"/>
      <c r="AV212" s="144"/>
      <c r="AW212" s="144"/>
      <c r="AX212" s="144"/>
      <c r="AY212" s="144"/>
      <c r="AZ212" s="144"/>
      <c r="BA212" s="144"/>
      <c r="BB212" s="144"/>
      <c r="BC212" s="144"/>
      <c r="BD212" s="144"/>
      <c r="BE212" s="144"/>
      <c r="BF212" s="144"/>
      <c r="BG212" s="144"/>
      <c r="BH212" s="144"/>
      <c r="BI212" s="144"/>
      <c r="BJ212" s="144"/>
      <c r="BK212" s="144"/>
      <c r="BL212" s="144"/>
      <c r="BM212" s="144"/>
      <c r="BN212" s="144"/>
      <c r="BO212" s="144"/>
      <c r="BP212" s="144"/>
      <c r="BQ212" s="144"/>
      <c r="BR212" s="144"/>
      <c r="BS212" s="144"/>
      <c r="BT212" s="144"/>
      <c r="BU212" s="144"/>
      <c r="BV212" s="144"/>
      <c r="BW212" s="144"/>
      <c r="BX212" s="144"/>
      <c r="BY212" s="144"/>
      <c r="BZ212" s="144"/>
      <c r="CA212" s="144"/>
      <c r="CB212" s="144"/>
      <c r="CC212" s="144"/>
      <c r="CD212" s="144"/>
      <c r="CE212" s="144"/>
      <c r="CF212" s="144"/>
      <c r="CG212" s="144"/>
      <c r="CH212" s="144"/>
      <c r="CI212" s="144"/>
      <c r="CJ212" s="144"/>
      <c r="CK212" s="144"/>
      <c r="CL212" s="144"/>
      <c r="CM212" s="144"/>
      <c r="CN212" s="144"/>
      <c r="CO212" s="144"/>
      <c r="CP212" s="144"/>
      <c r="CQ212" s="144"/>
      <c r="CR212" s="144"/>
      <c r="CS212" s="144"/>
      <c r="CT212" s="144"/>
      <c r="CU212" s="144"/>
      <c r="CV212" s="144"/>
      <c r="CW212" s="144"/>
      <c r="CX212" s="144"/>
      <c r="CY212" s="144"/>
      <c r="CZ212" s="144"/>
      <c r="DA212" s="144"/>
      <c r="DB212" s="144"/>
      <c r="DC212" s="144"/>
      <c r="DD212" s="144"/>
      <c r="DE212" s="144"/>
      <c r="DF212" s="144"/>
      <c r="DG212" s="144"/>
      <c r="DH212" s="144"/>
      <c r="DI212" s="144"/>
      <c r="DJ212" s="144"/>
      <c r="DK212" s="144"/>
      <c r="DL212" s="144"/>
      <c r="DM212" s="144"/>
      <c r="DN212" s="144"/>
      <c r="DO212" s="144"/>
      <c r="DP212" s="144"/>
      <c r="DQ212" s="144"/>
      <c r="DR212" s="144"/>
      <c r="DS212" s="144"/>
      <c r="DT212" s="144"/>
      <c r="DU212" s="144"/>
      <c r="DV212" s="144"/>
      <c r="DW212" s="144"/>
      <c r="DX212" s="144"/>
      <c r="DY212" s="144"/>
      <c r="DZ212" s="144"/>
      <c r="EA212" s="144"/>
      <c r="EB212" s="144"/>
      <c r="EC212" s="144"/>
      <c r="ED212" s="144"/>
      <c r="EE212" s="144"/>
      <c r="EF212" s="144"/>
      <c r="EG212" s="144"/>
      <c r="EH212" s="144"/>
      <c r="EI212" s="144"/>
      <c r="EJ212" s="144"/>
      <c r="EK212" s="144"/>
      <c r="EL212" s="144"/>
      <c r="EM212" s="144"/>
      <c r="EN212" s="144"/>
      <c r="EO212" s="144"/>
      <c r="EP212" s="144"/>
      <c r="EQ212" s="144"/>
      <c r="ER212" s="144"/>
      <c r="ES212" s="144"/>
      <c r="ET212" s="144"/>
      <c r="EU212" s="144"/>
      <c r="EV212" s="144"/>
      <c r="EW212" s="144"/>
      <c r="EX212" s="144"/>
      <c r="EY212" s="144"/>
      <c r="EZ212" s="144"/>
      <c r="FA212" s="144"/>
      <c r="FB212" s="144"/>
      <c r="FC212" s="144"/>
      <c r="FD212" s="144"/>
      <c r="FE212" s="144"/>
      <c r="FF212" s="144"/>
      <c r="FG212" s="144"/>
      <c r="FH212" s="144"/>
      <c r="FI212" s="144"/>
      <c r="FJ212" s="144"/>
      <c r="FK212" s="144"/>
      <c r="FL212" s="144"/>
      <c r="FM212" s="144"/>
      <c r="FN212" s="144"/>
      <c r="FO212" s="144"/>
      <c r="FP212" s="144"/>
      <c r="FQ212" s="144"/>
      <c r="FR212" s="144"/>
      <c r="FS212" s="144"/>
      <c r="FT212" s="144"/>
      <c r="FU212" s="144"/>
      <c r="FV212" s="144"/>
      <c r="FW212" s="144"/>
      <c r="FX212" s="144"/>
      <c r="FY212" s="144"/>
    </row>
    <row r="213" customFormat="false" ht="16.4" hidden="false" customHeight="false" outlineLevel="0" collapsed="false">
      <c r="A213" s="168" t="s">
        <v>380</v>
      </c>
      <c r="B213" s="30" t="n">
        <v>0</v>
      </c>
      <c r="C213" s="30" t="n">
        <v>0</v>
      </c>
      <c r="D213" s="30" t="n">
        <v>0</v>
      </c>
      <c r="E213" s="30" t="n">
        <v>0</v>
      </c>
      <c r="F213" s="30" t="n">
        <v>0</v>
      </c>
      <c r="G213" s="30" t="n">
        <v>0</v>
      </c>
      <c r="H213" s="30" t="n">
        <v>0</v>
      </c>
      <c r="I213" s="30" t="n">
        <v>0</v>
      </c>
      <c r="J213" s="30" t="n">
        <v>0</v>
      </c>
      <c r="K213" s="30" t="n">
        <v>0</v>
      </c>
      <c r="L213" s="30" t="n">
        <v>0</v>
      </c>
      <c r="M213" s="30" t="n">
        <v>0</v>
      </c>
      <c r="N213" s="30" t="n">
        <v>0</v>
      </c>
      <c r="O213" s="30" t="n">
        <v>0</v>
      </c>
      <c r="P213" s="30" t="n">
        <v>0</v>
      </c>
      <c r="Q213" s="30" t="n">
        <v>0</v>
      </c>
      <c r="R213" s="30" t="n">
        <v>0</v>
      </c>
      <c r="S213" s="30" t="n">
        <v>0</v>
      </c>
      <c r="T213" s="30" t="n">
        <v>0</v>
      </c>
      <c r="U213" s="30" t="n">
        <v>0</v>
      </c>
      <c r="V213" s="30" t="n">
        <v>0</v>
      </c>
      <c r="W213" s="30" t="n">
        <v>0</v>
      </c>
      <c r="X213" s="30" t="n">
        <v>0</v>
      </c>
      <c r="Y213" s="30" t="n">
        <v>0</v>
      </c>
      <c r="Z213" s="30" t="n">
        <v>0</v>
      </c>
      <c r="AA213" s="30" t="n">
        <v>0</v>
      </c>
      <c r="AB213" s="30" t="n">
        <v>0</v>
      </c>
      <c r="AC213" s="30" t="n">
        <v>0</v>
      </c>
      <c r="AD213" s="30" t="n">
        <v>0</v>
      </c>
      <c r="AE213" s="30" t="n">
        <v>0</v>
      </c>
      <c r="AF213" s="30" t="n">
        <v>0</v>
      </c>
      <c r="AG213" s="30" t="n">
        <v>0</v>
      </c>
      <c r="AH213" s="30" t="n">
        <v>0</v>
      </c>
      <c r="AI213" s="30" t="n">
        <v>0</v>
      </c>
      <c r="AJ213" s="30" t="n">
        <v>0</v>
      </c>
      <c r="AK213" s="30" t="n">
        <v>0</v>
      </c>
      <c r="AL213" s="30" t="n">
        <v>0</v>
      </c>
      <c r="AM213" s="30" t="n">
        <v>0</v>
      </c>
      <c r="AN213" s="30" t="n">
        <v>0</v>
      </c>
      <c r="AO213" s="30" t="n">
        <v>0</v>
      </c>
      <c r="AP213" s="30" t="n">
        <v>0</v>
      </c>
      <c r="AQ213" s="30" t="n">
        <v>0</v>
      </c>
      <c r="AR213" s="30" t="n">
        <v>0</v>
      </c>
      <c r="AS213" s="30" t="n">
        <v>0</v>
      </c>
      <c r="AT213" s="30" t="n">
        <v>0</v>
      </c>
      <c r="AU213" s="30" t="n">
        <v>0</v>
      </c>
      <c r="AV213" s="30" t="n">
        <v>0</v>
      </c>
      <c r="AW213" s="30" t="n">
        <v>0</v>
      </c>
      <c r="AX213" s="30" t="n">
        <v>0</v>
      </c>
      <c r="AY213" s="30" t="n">
        <v>0</v>
      </c>
      <c r="AZ213" s="30" t="n">
        <v>0</v>
      </c>
      <c r="BA213" s="30" t="n">
        <v>0</v>
      </c>
      <c r="BB213" s="30" t="n">
        <v>0</v>
      </c>
      <c r="BC213" s="30" t="n">
        <v>0</v>
      </c>
      <c r="BD213" s="30" t="n">
        <v>0</v>
      </c>
      <c r="BE213" s="30" t="n">
        <v>0</v>
      </c>
      <c r="BF213" s="30" t="n">
        <v>0</v>
      </c>
      <c r="BG213" s="30" t="n">
        <v>0</v>
      </c>
      <c r="BH213" s="30" t="n">
        <v>0</v>
      </c>
      <c r="BI213" s="30" t="n">
        <v>0</v>
      </c>
      <c r="BJ213" s="30" t="n">
        <v>0</v>
      </c>
      <c r="BK213" s="30" t="n">
        <v>0</v>
      </c>
      <c r="BL213" s="30" t="n">
        <v>0</v>
      </c>
      <c r="BM213" s="30" t="n">
        <v>0</v>
      </c>
      <c r="BN213" s="30" t="n">
        <v>0</v>
      </c>
      <c r="BO213" s="30" t="n">
        <v>0</v>
      </c>
      <c r="BP213" s="30" t="n">
        <v>0</v>
      </c>
      <c r="BQ213" s="30" t="n">
        <v>0</v>
      </c>
      <c r="BR213" s="30" t="n">
        <v>0</v>
      </c>
      <c r="BS213" s="30" t="n">
        <v>0</v>
      </c>
      <c r="BT213" s="30" t="n">
        <v>0</v>
      </c>
      <c r="BU213" s="30" t="n">
        <v>0</v>
      </c>
      <c r="BV213" s="30" t="n">
        <v>0</v>
      </c>
      <c r="BW213" s="30" t="n">
        <v>0</v>
      </c>
      <c r="BX213" s="30" t="n">
        <v>0</v>
      </c>
      <c r="BY213" s="30" t="n">
        <v>0</v>
      </c>
      <c r="BZ213" s="30" t="n">
        <v>0</v>
      </c>
      <c r="CA213" s="30" t="n">
        <v>0</v>
      </c>
      <c r="CB213" s="30" t="n">
        <v>0</v>
      </c>
      <c r="CC213" s="30" t="n">
        <v>0</v>
      </c>
      <c r="CD213" s="30" t="n">
        <v>0</v>
      </c>
      <c r="CE213" s="30" t="n">
        <v>0</v>
      </c>
      <c r="CF213" s="30" t="n">
        <v>0</v>
      </c>
      <c r="CG213" s="30" t="n">
        <v>0</v>
      </c>
      <c r="CH213" s="30" t="n">
        <v>0</v>
      </c>
      <c r="CI213" s="30" t="n">
        <v>0</v>
      </c>
      <c r="CJ213" s="30" t="n">
        <v>0</v>
      </c>
      <c r="CK213" s="30" t="n">
        <v>0</v>
      </c>
      <c r="CL213" s="30" t="n">
        <v>0</v>
      </c>
      <c r="CM213" s="30" t="n">
        <v>0</v>
      </c>
      <c r="CN213" s="30" t="n">
        <v>0</v>
      </c>
      <c r="CO213" s="30" t="n">
        <v>0</v>
      </c>
      <c r="CP213" s="30" t="n">
        <v>0</v>
      </c>
      <c r="CQ213" s="30" t="n">
        <v>0</v>
      </c>
      <c r="CR213" s="30" t="n">
        <v>0</v>
      </c>
      <c r="CS213" s="30" t="n">
        <v>0</v>
      </c>
      <c r="CT213" s="30" t="n">
        <v>0</v>
      </c>
      <c r="CU213" s="30" t="n">
        <v>0</v>
      </c>
      <c r="CV213" s="30" t="n">
        <v>0</v>
      </c>
      <c r="CW213" s="30" t="n">
        <v>0</v>
      </c>
      <c r="CX213" s="30" t="n">
        <v>0</v>
      </c>
      <c r="CY213" s="30" t="n">
        <v>0</v>
      </c>
      <c r="CZ213" s="30" t="n">
        <v>0</v>
      </c>
      <c r="DA213" s="30" t="n">
        <v>0</v>
      </c>
      <c r="DB213" s="30" t="n">
        <v>0</v>
      </c>
      <c r="DC213" s="30" t="n">
        <v>0</v>
      </c>
      <c r="DD213" s="30" t="n">
        <v>0</v>
      </c>
      <c r="DE213" s="30" t="n">
        <v>0</v>
      </c>
      <c r="DF213" s="30" t="n">
        <v>0</v>
      </c>
      <c r="DG213" s="30" t="n">
        <v>0</v>
      </c>
      <c r="DH213" s="30" t="n">
        <v>0</v>
      </c>
      <c r="DI213" s="30" t="n">
        <v>0</v>
      </c>
      <c r="DJ213" s="30" t="n">
        <v>0</v>
      </c>
      <c r="DK213" s="30" t="n">
        <v>0</v>
      </c>
      <c r="DL213" s="30" t="n">
        <v>0</v>
      </c>
      <c r="DM213" s="30" t="n">
        <v>0</v>
      </c>
      <c r="DN213" s="30" t="n">
        <v>0</v>
      </c>
      <c r="DO213" s="30" t="n">
        <v>0</v>
      </c>
      <c r="DP213" s="30" t="n">
        <v>0</v>
      </c>
      <c r="DQ213" s="30" t="n">
        <v>0</v>
      </c>
      <c r="DR213" s="30" t="n">
        <v>0</v>
      </c>
      <c r="DS213" s="30" t="n">
        <v>0</v>
      </c>
      <c r="DT213" s="30" t="n">
        <v>0</v>
      </c>
      <c r="DU213" s="30" t="n">
        <v>0</v>
      </c>
      <c r="DV213" s="30" t="n">
        <v>0</v>
      </c>
      <c r="DW213" s="30" t="n">
        <v>0</v>
      </c>
      <c r="DX213" s="30" t="n">
        <v>0</v>
      </c>
      <c r="DY213" s="30" t="n">
        <v>0</v>
      </c>
      <c r="DZ213" s="30" t="n">
        <v>0</v>
      </c>
      <c r="EA213" s="30" t="n">
        <v>0</v>
      </c>
      <c r="EB213" s="30" t="n">
        <v>0</v>
      </c>
      <c r="EC213" s="30" t="n">
        <v>0</v>
      </c>
      <c r="ED213" s="30" t="n">
        <v>0</v>
      </c>
      <c r="EE213" s="30" t="n">
        <v>0</v>
      </c>
      <c r="EF213" s="30" t="n">
        <v>0</v>
      </c>
      <c r="EG213" s="30" t="n">
        <v>0</v>
      </c>
      <c r="EH213" s="30" t="n">
        <v>0</v>
      </c>
      <c r="EI213" s="30" t="n">
        <v>0</v>
      </c>
      <c r="EJ213" s="30" t="n">
        <v>0</v>
      </c>
      <c r="EK213" s="30" t="n">
        <v>0</v>
      </c>
      <c r="EL213" s="30" t="n">
        <v>0</v>
      </c>
      <c r="EM213" s="30" t="n">
        <v>0</v>
      </c>
      <c r="EN213" s="30" t="n">
        <v>0</v>
      </c>
      <c r="EO213" s="30" t="n">
        <v>0</v>
      </c>
      <c r="EP213" s="30" t="n">
        <v>0</v>
      </c>
      <c r="EQ213" s="30" t="n">
        <v>0</v>
      </c>
      <c r="ER213" s="30" t="n">
        <v>0</v>
      </c>
      <c r="ES213" s="30" t="n">
        <v>0</v>
      </c>
      <c r="ET213" s="30" t="n">
        <v>0</v>
      </c>
      <c r="EU213" s="30" t="n">
        <v>0</v>
      </c>
      <c r="EV213" s="30" t="n">
        <v>0</v>
      </c>
      <c r="EW213" s="30" t="n">
        <v>0</v>
      </c>
      <c r="EX213" s="30" t="n">
        <v>0</v>
      </c>
      <c r="EY213" s="30" t="n">
        <v>0</v>
      </c>
      <c r="EZ213" s="30" t="n">
        <v>0</v>
      </c>
      <c r="FA213" s="30" t="n">
        <v>0</v>
      </c>
      <c r="FB213" s="30" t="n">
        <v>0</v>
      </c>
      <c r="FC213" s="30" t="n">
        <v>0</v>
      </c>
      <c r="FD213" s="30" t="n">
        <v>0</v>
      </c>
      <c r="FE213" s="30" t="n">
        <v>0</v>
      </c>
      <c r="FF213" s="30" t="n">
        <v>0</v>
      </c>
      <c r="FG213" s="30" t="n">
        <v>0</v>
      </c>
      <c r="FH213" s="30" t="n">
        <v>0</v>
      </c>
      <c r="FI213" s="30" t="n">
        <v>0</v>
      </c>
      <c r="FJ213" s="30" t="n">
        <v>0</v>
      </c>
      <c r="FK213" s="30" t="n">
        <v>0</v>
      </c>
      <c r="FL213" s="30" t="n">
        <v>0</v>
      </c>
      <c r="FM213" s="30" t="n">
        <v>0</v>
      </c>
      <c r="FN213" s="30" t="n">
        <v>0</v>
      </c>
      <c r="FO213" s="30" t="n">
        <v>0</v>
      </c>
      <c r="FP213" s="30" t="n">
        <v>0</v>
      </c>
      <c r="FQ213" s="30" t="n">
        <v>0</v>
      </c>
      <c r="FR213" s="30" t="n">
        <v>0</v>
      </c>
      <c r="FS213" s="30" t="n">
        <v>0</v>
      </c>
      <c r="FT213" s="30" t="n">
        <v>0</v>
      </c>
      <c r="FU213" s="30" t="n">
        <v>0</v>
      </c>
      <c r="FV213" s="30" t="n">
        <v>0</v>
      </c>
      <c r="FW213" s="30" t="n">
        <v>0</v>
      </c>
      <c r="FX213" s="30" t="n">
        <v>0</v>
      </c>
      <c r="FY213" s="30" t="n">
        <v>0</v>
      </c>
    </row>
    <row r="214" customFormat="false" ht="16.4" hidden="false" customHeight="false" outlineLevel="0" collapsed="false">
      <c r="A214" s="168" t="s">
        <v>381</v>
      </c>
      <c r="B214" s="30" t="n">
        <v>0</v>
      </c>
      <c r="C214" s="30" t="n">
        <v>0</v>
      </c>
      <c r="D214" s="30" t="n">
        <v>0</v>
      </c>
      <c r="E214" s="30" t="n">
        <v>0</v>
      </c>
      <c r="F214" s="30" t="n">
        <v>0</v>
      </c>
      <c r="G214" s="30" t="n">
        <v>0</v>
      </c>
      <c r="H214" s="30" t="n">
        <v>0</v>
      </c>
      <c r="I214" s="30" t="n">
        <v>0</v>
      </c>
      <c r="J214" s="30" t="n">
        <v>0</v>
      </c>
      <c r="K214" s="30" t="n">
        <v>0</v>
      </c>
      <c r="L214" s="30" t="n">
        <v>0</v>
      </c>
      <c r="M214" s="30" t="n">
        <v>0</v>
      </c>
      <c r="N214" s="30" t="n">
        <v>0</v>
      </c>
      <c r="O214" s="30" t="n">
        <v>0</v>
      </c>
      <c r="P214" s="30" t="n">
        <v>0</v>
      </c>
      <c r="Q214" s="30" t="n">
        <v>0</v>
      </c>
      <c r="R214" s="30" t="n">
        <v>0</v>
      </c>
      <c r="S214" s="30" t="n">
        <v>0</v>
      </c>
      <c r="T214" s="30" t="n">
        <v>0</v>
      </c>
      <c r="U214" s="30" t="n">
        <v>0</v>
      </c>
      <c r="V214" s="30" t="n">
        <v>0</v>
      </c>
      <c r="W214" s="30" t="n">
        <v>0</v>
      </c>
      <c r="X214" s="30" t="n">
        <v>0</v>
      </c>
      <c r="Y214" s="30" t="n">
        <v>0</v>
      </c>
      <c r="Z214" s="30" t="n">
        <v>0</v>
      </c>
      <c r="AA214" s="30" t="n">
        <v>0</v>
      </c>
      <c r="AB214" s="30" t="n">
        <v>0</v>
      </c>
      <c r="AC214" s="30" t="n">
        <v>0</v>
      </c>
      <c r="AD214" s="30" t="n">
        <v>0</v>
      </c>
      <c r="AE214" s="30" t="n">
        <v>0</v>
      </c>
      <c r="AF214" s="30" t="n">
        <v>0</v>
      </c>
      <c r="AG214" s="30" t="n">
        <v>0</v>
      </c>
      <c r="AH214" s="30" t="n">
        <v>0</v>
      </c>
      <c r="AI214" s="30" t="n">
        <v>0</v>
      </c>
      <c r="AJ214" s="30" t="n">
        <v>0</v>
      </c>
      <c r="AK214" s="30" t="n">
        <v>0</v>
      </c>
      <c r="AL214" s="30" t="n">
        <v>0</v>
      </c>
      <c r="AM214" s="30" t="n">
        <v>0</v>
      </c>
      <c r="AN214" s="30" t="n">
        <v>0</v>
      </c>
      <c r="AO214" s="30" t="n">
        <v>0</v>
      </c>
      <c r="AP214" s="30" t="n">
        <v>0</v>
      </c>
      <c r="AQ214" s="30" t="n">
        <v>0</v>
      </c>
      <c r="AR214" s="30" t="n">
        <v>0</v>
      </c>
      <c r="AS214" s="30" t="n">
        <v>0</v>
      </c>
      <c r="AT214" s="30" t="n">
        <v>0</v>
      </c>
      <c r="AU214" s="30" t="n">
        <v>0</v>
      </c>
      <c r="AV214" s="30" t="n">
        <v>0</v>
      </c>
      <c r="AW214" s="30" t="n">
        <v>0</v>
      </c>
      <c r="AX214" s="30" t="n">
        <v>0</v>
      </c>
      <c r="AY214" s="30" t="n">
        <v>0</v>
      </c>
      <c r="AZ214" s="30" t="n">
        <v>0</v>
      </c>
      <c r="BA214" s="30" t="n">
        <v>0</v>
      </c>
      <c r="BB214" s="30" t="n">
        <v>0</v>
      </c>
      <c r="BC214" s="30" t="n">
        <v>0</v>
      </c>
      <c r="BD214" s="30" t="n">
        <v>0</v>
      </c>
      <c r="BE214" s="30" t="n">
        <v>0</v>
      </c>
      <c r="BF214" s="30" t="n">
        <v>0</v>
      </c>
      <c r="BG214" s="30" t="n">
        <v>0</v>
      </c>
      <c r="BH214" s="30" t="n">
        <v>0</v>
      </c>
      <c r="BI214" s="30" t="n">
        <v>0</v>
      </c>
      <c r="BJ214" s="30" t="n">
        <v>0</v>
      </c>
      <c r="BK214" s="30" t="n">
        <v>0</v>
      </c>
      <c r="BL214" s="30" t="n">
        <v>0</v>
      </c>
      <c r="BM214" s="30" t="n">
        <v>0</v>
      </c>
      <c r="BN214" s="30" t="n">
        <v>0</v>
      </c>
      <c r="BO214" s="30" t="n">
        <v>0</v>
      </c>
      <c r="BP214" s="30" t="n">
        <v>0</v>
      </c>
      <c r="BQ214" s="30" t="n">
        <v>0</v>
      </c>
      <c r="BR214" s="30" t="n">
        <v>0</v>
      </c>
      <c r="BS214" s="30" t="n">
        <v>0</v>
      </c>
      <c r="BT214" s="30" t="n">
        <v>0</v>
      </c>
      <c r="BU214" s="30" t="n">
        <v>0</v>
      </c>
      <c r="BV214" s="30" t="n">
        <v>0</v>
      </c>
      <c r="BW214" s="30" t="n">
        <v>0</v>
      </c>
      <c r="BX214" s="30" t="n">
        <v>0</v>
      </c>
      <c r="BY214" s="30" t="n">
        <v>0</v>
      </c>
      <c r="BZ214" s="30" t="n">
        <v>0</v>
      </c>
      <c r="CA214" s="30" t="n">
        <v>0</v>
      </c>
      <c r="CB214" s="30" t="n">
        <v>0</v>
      </c>
      <c r="CC214" s="30" t="n">
        <v>0</v>
      </c>
      <c r="CD214" s="30" t="n">
        <v>0</v>
      </c>
      <c r="CE214" s="30" t="n">
        <v>0</v>
      </c>
      <c r="CF214" s="30" t="n">
        <v>0</v>
      </c>
      <c r="CG214" s="30" t="n">
        <v>0</v>
      </c>
      <c r="CH214" s="30" t="n">
        <v>0</v>
      </c>
      <c r="CI214" s="30" t="n">
        <v>0</v>
      </c>
      <c r="CJ214" s="30" t="n">
        <v>0</v>
      </c>
      <c r="CK214" s="30" t="n">
        <v>0</v>
      </c>
      <c r="CL214" s="30" t="n">
        <v>0</v>
      </c>
      <c r="CM214" s="30" t="n">
        <v>0</v>
      </c>
      <c r="CN214" s="30" t="n">
        <v>0</v>
      </c>
      <c r="CO214" s="30" t="n">
        <v>0</v>
      </c>
      <c r="CP214" s="30" t="n">
        <v>0</v>
      </c>
      <c r="CQ214" s="30" t="n">
        <v>0</v>
      </c>
      <c r="CR214" s="30" t="n">
        <v>0</v>
      </c>
      <c r="CS214" s="30" t="n">
        <v>0</v>
      </c>
      <c r="CT214" s="30" t="n">
        <v>0</v>
      </c>
      <c r="CU214" s="30" t="n">
        <v>0</v>
      </c>
      <c r="CV214" s="30" t="n">
        <v>0</v>
      </c>
      <c r="CW214" s="30" t="n">
        <v>0</v>
      </c>
      <c r="CX214" s="30" t="n">
        <v>0</v>
      </c>
      <c r="CY214" s="30" t="n">
        <v>0</v>
      </c>
      <c r="CZ214" s="30" t="n">
        <v>0</v>
      </c>
      <c r="DA214" s="30" t="n">
        <v>0</v>
      </c>
      <c r="DB214" s="30" t="n">
        <v>0</v>
      </c>
      <c r="DC214" s="30" t="n">
        <v>0</v>
      </c>
      <c r="DD214" s="30" t="n">
        <v>0</v>
      </c>
      <c r="DE214" s="30" t="n">
        <v>0</v>
      </c>
      <c r="DF214" s="30" t="n">
        <v>0</v>
      </c>
      <c r="DG214" s="30" t="n">
        <v>0</v>
      </c>
      <c r="DH214" s="30" t="n">
        <v>0</v>
      </c>
      <c r="DI214" s="30" t="n">
        <v>0</v>
      </c>
      <c r="DJ214" s="30" t="n">
        <v>0</v>
      </c>
      <c r="DK214" s="30" t="n">
        <v>0</v>
      </c>
      <c r="DL214" s="30" t="n">
        <v>0</v>
      </c>
      <c r="DM214" s="30" t="n">
        <v>0</v>
      </c>
      <c r="DN214" s="30" t="n">
        <v>0</v>
      </c>
      <c r="DO214" s="30" t="n">
        <v>0</v>
      </c>
      <c r="DP214" s="30" t="n">
        <v>0</v>
      </c>
      <c r="DQ214" s="30" t="n">
        <v>0</v>
      </c>
      <c r="DR214" s="30" t="n">
        <v>0</v>
      </c>
      <c r="DS214" s="30" t="n">
        <v>0</v>
      </c>
      <c r="DT214" s="30" t="n">
        <v>0</v>
      </c>
      <c r="DU214" s="30" t="n">
        <v>0</v>
      </c>
      <c r="DV214" s="30" t="n">
        <v>0</v>
      </c>
      <c r="DW214" s="30" t="n">
        <v>0</v>
      </c>
      <c r="DX214" s="30" t="n">
        <v>0</v>
      </c>
      <c r="DY214" s="30" t="n">
        <v>0</v>
      </c>
      <c r="DZ214" s="30" t="n">
        <v>0</v>
      </c>
      <c r="EA214" s="30" t="n">
        <v>0</v>
      </c>
      <c r="EB214" s="30" t="n">
        <v>0</v>
      </c>
      <c r="EC214" s="30" t="n">
        <v>0</v>
      </c>
      <c r="ED214" s="30" t="n">
        <v>0</v>
      </c>
      <c r="EE214" s="30" t="n">
        <v>0</v>
      </c>
      <c r="EF214" s="30" t="n">
        <v>0</v>
      </c>
      <c r="EG214" s="30" t="n">
        <v>0</v>
      </c>
      <c r="EH214" s="30" t="n">
        <v>0</v>
      </c>
      <c r="EI214" s="30" t="n">
        <v>0</v>
      </c>
      <c r="EJ214" s="30" t="n">
        <v>0</v>
      </c>
      <c r="EK214" s="30" t="n">
        <v>0</v>
      </c>
      <c r="EL214" s="30" t="n">
        <v>0</v>
      </c>
      <c r="EM214" s="30" t="n">
        <v>0</v>
      </c>
      <c r="EN214" s="30" t="n">
        <v>0</v>
      </c>
      <c r="EO214" s="30" t="n">
        <v>0</v>
      </c>
      <c r="EP214" s="30" t="n">
        <v>0</v>
      </c>
      <c r="EQ214" s="30" t="n">
        <v>0</v>
      </c>
      <c r="ER214" s="30" t="n">
        <v>0</v>
      </c>
      <c r="ES214" s="30" t="n">
        <v>0</v>
      </c>
      <c r="ET214" s="30" t="n">
        <v>0</v>
      </c>
      <c r="EU214" s="30" t="n">
        <v>0</v>
      </c>
      <c r="EV214" s="30" t="n">
        <v>0</v>
      </c>
      <c r="EW214" s="30" t="n">
        <v>0</v>
      </c>
      <c r="EX214" s="30" t="n">
        <v>0</v>
      </c>
      <c r="EY214" s="30" t="n">
        <v>0</v>
      </c>
      <c r="EZ214" s="30" t="n">
        <v>0</v>
      </c>
      <c r="FA214" s="30" t="n">
        <v>0</v>
      </c>
      <c r="FB214" s="30" t="n">
        <v>0</v>
      </c>
      <c r="FC214" s="30" t="n">
        <v>0</v>
      </c>
      <c r="FD214" s="30" t="n">
        <v>0</v>
      </c>
      <c r="FE214" s="30" t="n">
        <v>0</v>
      </c>
      <c r="FF214" s="30" t="n">
        <v>0</v>
      </c>
      <c r="FG214" s="30" t="n">
        <v>0</v>
      </c>
      <c r="FH214" s="30" t="n">
        <v>0</v>
      </c>
      <c r="FI214" s="30" t="n">
        <v>0</v>
      </c>
      <c r="FJ214" s="30" t="n">
        <v>0</v>
      </c>
      <c r="FK214" s="30" t="n">
        <v>0</v>
      </c>
      <c r="FL214" s="30" t="n">
        <v>0</v>
      </c>
      <c r="FM214" s="30" t="n">
        <v>0</v>
      </c>
      <c r="FN214" s="30" t="n">
        <v>0</v>
      </c>
      <c r="FO214" s="30" t="n">
        <v>0</v>
      </c>
      <c r="FP214" s="30" t="n">
        <v>0</v>
      </c>
      <c r="FQ214" s="30" t="n">
        <v>0</v>
      </c>
      <c r="FR214" s="30" t="n">
        <v>0</v>
      </c>
      <c r="FS214" s="30" t="n">
        <v>0</v>
      </c>
      <c r="FT214" s="30" t="n">
        <v>0</v>
      </c>
      <c r="FU214" s="30" t="n">
        <v>0</v>
      </c>
      <c r="FV214" s="30" t="n">
        <v>0</v>
      </c>
      <c r="FW214" s="30" t="n">
        <v>0</v>
      </c>
      <c r="FX214" s="30" t="n">
        <v>0</v>
      </c>
      <c r="FY214" s="30" t="n">
        <v>0</v>
      </c>
    </row>
    <row r="215" customFormat="false" ht="16.4" hidden="false" customHeight="false" outlineLevel="0" collapsed="false">
      <c r="A215" s="164" t="s">
        <v>383</v>
      </c>
      <c r="B215" s="144"/>
      <c r="C215" s="144"/>
      <c r="D215" s="144"/>
      <c r="E215" s="144"/>
      <c r="F215" s="144"/>
      <c r="G215" s="144"/>
      <c r="H215" s="144"/>
      <c r="I215" s="144"/>
      <c r="J215" s="144"/>
      <c r="K215" s="144"/>
      <c r="L215" s="144"/>
      <c r="M215" s="144"/>
      <c r="N215" s="144"/>
      <c r="O215" s="144"/>
      <c r="P215" s="144"/>
      <c r="Q215" s="144"/>
      <c r="R215" s="144"/>
      <c r="S215" s="144"/>
      <c r="T215" s="144"/>
      <c r="U215" s="144"/>
      <c r="V215" s="144"/>
      <c r="W215" s="144"/>
      <c r="X215" s="144"/>
      <c r="Y215" s="144"/>
      <c r="Z215" s="144"/>
      <c r="AA215" s="144"/>
      <c r="AB215" s="144"/>
      <c r="AC215" s="144"/>
      <c r="AD215" s="144"/>
      <c r="AE215" s="144"/>
      <c r="AF215" s="144"/>
      <c r="AG215" s="144"/>
      <c r="AH215" s="144"/>
      <c r="AI215" s="144"/>
      <c r="AJ215" s="144"/>
      <c r="AK215" s="144"/>
      <c r="AL215" s="144"/>
      <c r="AM215" s="144"/>
      <c r="AN215" s="144"/>
      <c r="AO215" s="144"/>
      <c r="AP215" s="144"/>
      <c r="AQ215" s="144"/>
      <c r="AR215" s="144"/>
      <c r="AS215" s="144"/>
      <c r="AT215" s="144"/>
      <c r="AU215" s="144"/>
      <c r="AV215" s="144"/>
      <c r="AW215" s="144"/>
      <c r="AX215" s="144"/>
      <c r="AY215" s="144"/>
      <c r="AZ215" s="144"/>
      <c r="BA215" s="144"/>
      <c r="BB215" s="144"/>
      <c r="BC215" s="144"/>
      <c r="BD215" s="144"/>
      <c r="BE215" s="144"/>
      <c r="BF215" s="144"/>
      <c r="BG215" s="144"/>
      <c r="BH215" s="144"/>
      <c r="BI215" s="144"/>
      <c r="BJ215" s="144"/>
      <c r="BK215" s="144"/>
      <c r="BL215" s="144"/>
      <c r="BM215" s="144"/>
      <c r="BN215" s="144"/>
      <c r="BO215" s="144"/>
      <c r="BP215" s="144"/>
      <c r="BQ215" s="144"/>
      <c r="BR215" s="144"/>
      <c r="BS215" s="144"/>
      <c r="BT215" s="144"/>
      <c r="BU215" s="144"/>
      <c r="BV215" s="144"/>
      <c r="BW215" s="144"/>
      <c r="BX215" s="144"/>
      <c r="BY215" s="144"/>
      <c r="BZ215" s="144"/>
      <c r="CA215" s="144"/>
      <c r="CB215" s="144"/>
      <c r="CC215" s="144"/>
      <c r="CD215" s="144"/>
      <c r="CE215" s="144"/>
      <c r="CF215" s="144"/>
      <c r="CG215" s="144"/>
      <c r="CH215" s="144"/>
      <c r="CI215" s="144"/>
      <c r="CJ215" s="144"/>
      <c r="CK215" s="144"/>
      <c r="CL215" s="144"/>
      <c r="CM215" s="144"/>
      <c r="CN215" s="144"/>
      <c r="CO215" s="144"/>
      <c r="CP215" s="144"/>
      <c r="CQ215" s="144"/>
      <c r="CR215" s="144"/>
      <c r="CS215" s="144"/>
      <c r="CT215" s="144"/>
      <c r="CU215" s="144"/>
      <c r="CV215" s="144"/>
      <c r="CW215" s="144"/>
      <c r="CX215" s="144"/>
      <c r="CY215" s="144"/>
      <c r="CZ215" s="144"/>
      <c r="DA215" s="144"/>
      <c r="DB215" s="144"/>
      <c r="DC215" s="144"/>
      <c r="DD215" s="144"/>
      <c r="DE215" s="144"/>
      <c r="DF215" s="144"/>
      <c r="DG215" s="144"/>
      <c r="DH215" s="144"/>
      <c r="DI215" s="144"/>
      <c r="DJ215" s="144"/>
      <c r="DK215" s="144"/>
      <c r="DL215" s="144"/>
      <c r="DM215" s="144"/>
      <c r="DN215" s="144"/>
      <c r="DO215" s="144"/>
      <c r="DP215" s="144"/>
      <c r="DQ215" s="144"/>
      <c r="DR215" s="144"/>
      <c r="DS215" s="144"/>
      <c r="DT215" s="144"/>
      <c r="DU215" s="144"/>
      <c r="DV215" s="144"/>
      <c r="DW215" s="144"/>
      <c r="DX215" s="144"/>
      <c r="DY215" s="144"/>
      <c r="DZ215" s="144"/>
      <c r="EA215" s="144"/>
      <c r="EB215" s="144"/>
      <c r="EC215" s="144"/>
      <c r="ED215" s="144"/>
      <c r="EE215" s="144"/>
      <c r="EF215" s="144"/>
      <c r="EG215" s="144"/>
      <c r="EH215" s="144"/>
      <c r="EI215" s="144"/>
      <c r="EJ215" s="144"/>
      <c r="EK215" s="144"/>
      <c r="EL215" s="144"/>
      <c r="EM215" s="144"/>
      <c r="EN215" s="144"/>
      <c r="EO215" s="144"/>
      <c r="EP215" s="144"/>
      <c r="EQ215" s="144"/>
      <c r="ER215" s="144"/>
      <c r="ES215" s="144"/>
      <c r="ET215" s="144"/>
      <c r="EU215" s="144"/>
      <c r="EV215" s="144"/>
      <c r="EW215" s="144"/>
      <c r="EX215" s="144"/>
      <c r="EY215" s="144"/>
      <c r="EZ215" s="144"/>
      <c r="FA215" s="144"/>
      <c r="FB215" s="144"/>
      <c r="FC215" s="144"/>
      <c r="FD215" s="144"/>
      <c r="FE215" s="144"/>
      <c r="FF215" s="144"/>
      <c r="FG215" s="144"/>
      <c r="FH215" s="144"/>
      <c r="FI215" s="144"/>
      <c r="FJ215" s="144"/>
      <c r="FK215" s="144"/>
      <c r="FL215" s="144"/>
      <c r="FM215" s="144"/>
      <c r="FN215" s="144"/>
      <c r="FO215" s="144"/>
      <c r="FP215" s="144"/>
      <c r="FQ215" s="144"/>
      <c r="FR215" s="144"/>
      <c r="FS215" s="144"/>
      <c r="FT215" s="144"/>
      <c r="FU215" s="144"/>
      <c r="FV215" s="144"/>
      <c r="FW215" s="144"/>
      <c r="FX215" s="144"/>
      <c r="FY215" s="144"/>
    </row>
    <row r="216" customFormat="false" ht="16.4" hidden="false" customHeight="false" outlineLevel="0" collapsed="false">
      <c r="A216" s="169" t="s">
        <v>374</v>
      </c>
      <c r="B216" s="170" t="n">
        <v>0</v>
      </c>
      <c r="C216" s="171" t="n">
        <v>0</v>
      </c>
      <c r="D216" s="171" t="n">
        <v>0</v>
      </c>
      <c r="E216" s="171" t="n">
        <v>0</v>
      </c>
      <c r="F216" s="171" t="n">
        <v>0</v>
      </c>
      <c r="G216" s="170" t="n">
        <v>0</v>
      </c>
      <c r="H216" s="171" t="n">
        <v>0</v>
      </c>
      <c r="I216" s="171" t="n">
        <v>0</v>
      </c>
      <c r="J216" s="171" t="n">
        <v>0</v>
      </c>
      <c r="K216" s="171" t="n">
        <v>0</v>
      </c>
      <c r="L216" s="170" t="n">
        <v>0</v>
      </c>
      <c r="M216" s="171" t="n">
        <v>0</v>
      </c>
      <c r="N216" s="171" t="n">
        <v>0</v>
      </c>
      <c r="O216" s="171" t="n">
        <v>0</v>
      </c>
      <c r="P216" s="171" t="n">
        <v>0</v>
      </c>
      <c r="Q216" s="170" t="n">
        <v>0</v>
      </c>
      <c r="R216" s="171" t="n">
        <v>0</v>
      </c>
      <c r="S216" s="171" t="n">
        <v>0</v>
      </c>
      <c r="T216" s="171" t="n">
        <v>0</v>
      </c>
      <c r="U216" s="171" t="n">
        <v>0</v>
      </c>
      <c r="V216" s="170" t="n">
        <v>0</v>
      </c>
      <c r="W216" s="171" t="n">
        <v>0</v>
      </c>
      <c r="X216" s="171" t="n">
        <v>0</v>
      </c>
      <c r="Y216" s="171" t="n">
        <v>0</v>
      </c>
      <c r="Z216" s="171" t="n">
        <v>0</v>
      </c>
      <c r="AA216" s="170" t="n">
        <v>0</v>
      </c>
      <c r="AB216" s="171" t="n">
        <v>0</v>
      </c>
      <c r="AC216" s="171" t="n">
        <v>0</v>
      </c>
      <c r="AD216" s="171" t="n">
        <v>0</v>
      </c>
      <c r="AE216" s="171" t="n">
        <v>0</v>
      </c>
      <c r="AF216" s="170" t="n">
        <v>0</v>
      </c>
      <c r="AG216" s="171" t="n">
        <v>0</v>
      </c>
      <c r="AH216" s="171" t="n">
        <v>0</v>
      </c>
      <c r="AI216" s="171" t="n">
        <v>0</v>
      </c>
      <c r="AJ216" s="171" t="n">
        <v>0</v>
      </c>
      <c r="AK216" s="170" t="n">
        <v>0</v>
      </c>
      <c r="AL216" s="171" t="n">
        <v>0</v>
      </c>
      <c r="AM216" s="171" t="n">
        <v>0</v>
      </c>
      <c r="AN216" s="171" t="n">
        <v>0</v>
      </c>
      <c r="AO216" s="171" t="n">
        <v>0</v>
      </c>
      <c r="AP216" s="170" t="n">
        <v>0</v>
      </c>
      <c r="AQ216" s="171" t="n">
        <v>0</v>
      </c>
      <c r="AR216" s="171" t="n">
        <v>0</v>
      </c>
      <c r="AS216" s="171" t="n">
        <v>0</v>
      </c>
      <c r="AT216" s="171" t="n">
        <v>0</v>
      </c>
      <c r="AU216" s="170" t="n">
        <v>0</v>
      </c>
      <c r="AV216" s="171" t="n">
        <v>0</v>
      </c>
      <c r="AW216" s="171" t="n">
        <v>0</v>
      </c>
      <c r="AX216" s="171" t="n">
        <v>0</v>
      </c>
      <c r="AY216" s="171" t="n">
        <v>0</v>
      </c>
      <c r="AZ216" s="170" t="n">
        <v>0</v>
      </c>
      <c r="BA216" s="171" t="n">
        <v>0</v>
      </c>
      <c r="BB216" s="171" t="n">
        <v>0</v>
      </c>
      <c r="BC216" s="171" t="n">
        <v>0</v>
      </c>
      <c r="BD216" s="171" t="n">
        <v>0</v>
      </c>
      <c r="BE216" s="170" t="n">
        <v>0</v>
      </c>
      <c r="BF216" s="171" t="n">
        <v>0</v>
      </c>
      <c r="BG216" s="171" t="n">
        <v>0</v>
      </c>
      <c r="BH216" s="171" t="n">
        <v>0</v>
      </c>
      <c r="BI216" s="171" t="n">
        <v>0</v>
      </c>
      <c r="BJ216" s="170" t="n">
        <v>0</v>
      </c>
      <c r="BK216" s="171" t="n">
        <v>0</v>
      </c>
      <c r="BL216" s="171" t="n">
        <v>0</v>
      </c>
      <c r="BM216" s="171" t="n">
        <v>0</v>
      </c>
      <c r="BN216" s="171" t="n">
        <v>0</v>
      </c>
      <c r="BO216" s="170" t="n">
        <v>0</v>
      </c>
      <c r="BP216" s="171" t="n">
        <v>0</v>
      </c>
      <c r="BQ216" s="171" t="n">
        <v>0</v>
      </c>
      <c r="BR216" s="171" t="n">
        <v>0</v>
      </c>
      <c r="BS216" s="171" t="n">
        <v>0</v>
      </c>
      <c r="BT216" s="170" t="n">
        <v>0</v>
      </c>
      <c r="BU216" s="171" t="n">
        <v>0</v>
      </c>
      <c r="BV216" s="171" t="n">
        <v>0</v>
      </c>
      <c r="BW216" s="171" t="n">
        <v>0</v>
      </c>
      <c r="BX216" s="171" t="n">
        <v>0</v>
      </c>
      <c r="BY216" s="170" t="n">
        <v>0</v>
      </c>
      <c r="BZ216" s="171" t="n">
        <v>0</v>
      </c>
      <c r="CA216" s="171" t="n">
        <v>0</v>
      </c>
      <c r="CB216" s="171" t="n">
        <v>0</v>
      </c>
      <c r="CC216" s="171" t="n">
        <v>0</v>
      </c>
      <c r="CD216" s="170" t="n">
        <v>0</v>
      </c>
      <c r="CE216" s="171" t="n">
        <v>0</v>
      </c>
      <c r="CF216" s="171" t="n">
        <v>0</v>
      </c>
      <c r="CG216" s="171" t="n">
        <v>0</v>
      </c>
      <c r="CH216" s="171" t="n">
        <v>0</v>
      </c>
      <c r="CI216" s="170" t="n">
        <v>0</v>
      </c>
      <c r="CJ216" s="171" t="n">
        <v>0</v>
      </c>
      <c r="CK216" s="171" t="n">
        <v>0</v>
      </c>
      <c r="CL216" s="171" t="n">
        <v>0</v>
      </c>
      <c r="CM216" s="171" t="n">
        <v>0</v>
      </c>
      <c r="CN216" s="170" t="n">
        <v>0</v>
      </c>
      <c r="CO216" s="171" t="n">
        <v>0</v>
      </c>
      <c r="CP216" s="171" t="n">
        <v>0</v>
      </c>
      <c r="CQ216" s="171" t="n">
        <v>0</v>
      </c>
      <c r="CR216" s="171" t="n">
        <v>0</v>
      </c>
      <c r="CS216" s="170" t="n">
        <v>0</v>
      </c>
      <c r="CT216" s="171" t="n">
        <v>0</v>
      </c>
      <c r="CU216" s="171" t="n">
        <v>0</v>
      </c>
      <c r="CV216" s="171" t="n">
        <v>0</v>
      </c>
      <c r="CW216" s="171" t="n">
        <v>0</v>
      </c>
      <c r="CX216" s="170" t="n">
        <v>0</v>
      </c>
      <c r="CY216" s="171" t="n">
        <v>0</v>
      </c>
      <c r="CZ216" s="171" t="n">
        <v>0</v>
      </c>
      <c r="DA216" s="171" t="n">
        <v>0</v>
      </c>
      <c r="DB216" s="171" t="n">
        <v>0</v>
      </c>
      <c r="DC216" s="170" t="n">
        <v>0</v>
      </c>
      <c r="DD216" s="171" t="n">
        <v>0</v>
      </c>
      <c r="DE216" s="171" t="n">
        <v>0</v>
      </c>
      <c r="DF216" s="171" t="n">
        <v>0</v>
      </c>
      <c r="DG216" s="171" t="n">
        <v>0</v>
      </c>
      <c r="DH216" s="170" t="n">
        <v>0</v>
      </c>
      <c r="DI216" s="171" t="n">
        <v>0</v>
      </c>
      <c r="DJ216" s="171" t="n">
        <v>0</v>
      </c>
      <c r="DK216" s="171" t="n">
        <v>0</v>
      </c>
      <c r="DL216" s="171" t="n">
        <v>0</v>
      </c>
      <c r="DM216" s="170" t="n">
        <v>0</v>
      </c>
      <c r="DN216" s="171" t="n">
        <v>0</v>
      </c>
      <c r="DO216" s="171" t="n">
        <v>0</v>
      </c>
      <c r="DP216" s="171" t="n">
        <v>0</v>
      </c>
      <c r="DQ216" s="171" t="n">
        <v>0</v>
      </c>
      <c r="DR216" s="170" t="n">
        <v>0</v>
      </c>
      <c r="DS216" s="171" t="n">
        <v>0</v>
      </c>
      <c r="DT216" s="171" t="n">
        <v>0</v>
      </c>
      <c r="DU216" s="171" t="n">
        <v>0</v>
      </c>
      <c r="DV216" s="171" t="n">
        <v>0</v>
      </c>
      <c r="DW216" s="170" t="n">
        <v>0</v>
      </c>
      <c r="DX216" s="171" t="n">
        <v>0</v>
      </c>
      <c r="DY216" s="171" t="n">
        <v>0</v>
      </c>
      <c r="DZ216" s="171" t="n">
        <v>0</v>
      </c>
      <c r="EA216" s="171" t="n">
        <v>0</v>
      </c>
      <c r="EB216" s="170" t="n">
        <v>0</v>
      </c>
      <c r="EC216" s="171" t="n">
        <v>0</v>
      </c>
      <c r="ED216" s="171" t="n">
        <v>0</v>
      </c>
      <c r="EE216" s="171" t="n">
        <v>0</v>
      </c>
      <c r="EF216" s="171" t="n">
        <v>0</v>
      </c>
      <c r="EG216" s="170" t="n">
        <v>0</v>
      </c>
      <c r="EH216" s="171" t="n">
        <v>0</v>
      </c>
      <c r="EI216" s="171" t="n">
        <v>0</v>
      </c>
      <c r="EJ216" s="171" t="n">
        <v>0</v>
      </c>
      <c r="EK216" s="171" t="n">
        <v>0</v>
      </c>
      <c r="EL216" s="170" t="n">
        <v>0</v>
      </c>
      <c r="EM216" s="171" t="n">
        <v>0</v>
      </c>
      <c r="EN216" s="171" t="n">
        <v>0</v>
      </c>
      <c r="EO216" s="171" t="n">
        <v>0</v>
      </c>
      <c r="EP216" s="171" t="n">
        <v>0</v>
      </c>
      <c r="EQ216" s="170" t="n">
        <v>0</v>
      </c>
      <c r="ER216" s="171" t="n">
        <v>0</v>
      </c>
      <c r="ES216" s="171" t="n">
        <v>0</v>
      </c>
      <c r="ET216" s="171" t="n">
        <v>0</v>
      </c>
      <c r="EU216" s="171" t="n">
        <v>0</v>
      </c>
      <c r="EV216" s="170" t="n">
        <v>0</v>
      </c>
      <c r="EW216" s="171" t="n">
        <v>0</v>
      </c>
      <c r="EX216" s="171" t="n">
        <v>0</v>
      </c>
      <c r="EY216" s="171" t="n">
        <v>0</v>
      </c>
      <c r="EZ216" s="171" t="n">
        <v>0</v>
      </c>
      <c r="FA216" s="170" t="n">
        <v>0</v>
      </c>
      <c r="FB216" s="171" t="n">
        <v>0</v>
      </c>
      <c r="FC216" s="171" t="n">
        <v>0</v>
      </c>
      <c r="FD216" s="171" t="n">
        <v>0</v>
      </c>
      <c r="FE216" s="171" t="n">
        <v>0</v>
      </c>
      <c r="FF216" s="170" t="n">
        <v>0</v>
      </c>
      <c r="FG216" s="171" t="n">
        <v>0</v>
      </c>
      <c r="FH216" s="171" t="n">
        <v>0</v>
      </c>
      <c r="FI216" s="171" t="n">
        <v>0</v>
      </c>
      <c r="FJ216" s="171" t="n">
        <v>0</v>
      </c>
      <c r="FK216" s="170" t="n">
        <v>0</v>
      </c>
      <c r="FL216" s="171" t="n">
        <v>0</v>
      </c>
      <c r="FM216" s="171" t="n">
        <v>0</v>
      </c>
      <c r="FN216" s="171" t="n">
        <v>0</v>
      </c>
      <c r="FO216" s="171" t="n">
        <v>0</v>
      </c>
      <c r="FP216" s="170" t="n">
        <v>0</v>
      </c>
      <c r="FQ216" s="171" t="n">
        <v>0</v>
      </c>
      <c r="FR216" s="171" t="n">
        <v>0</v>
      </c>
      <c r="FS216" s="171" t="n">
        <v>0</v>
      </c>
      <c r="FT216" s="171" t="n">
        <v>0</v>
      </c>
      <c r="FU216" s="170" t="n">
        <v>0</v>
      </c>
      <c r="FV216" s="171" t="n">
        <v>0</v>
      </c>
      <c r="FW216" s="171" t="n">
        <v>0</v>
      </c>
      <c r="FX216" s="171" t="n">
        <v>0</v>
      </c>
      <c r="FY216" s="171" t="n">
        <v>0</v>
      </c>
    </row>
    <row r="217" customFormat="false" ht="16.4" hidden="false" customHeight="false" outlineLevel="0" collapsed="false">
      <c r="A217" s="169" t="s">
        <v>375</v>
      </c>
      <c r="B217" s="171" t="n">
        <v>0</v>
      </c>
      <c r="C217" s="170" t="n">
        <v>0</v>
      </c>
      <c r="D217" s="171" t="n">
        <v>0</v>
      </c>
      <c r="E217" s="171" t="n">
        <v>0</v>
      </c>
      <c r="F217" s="171" t="n">
        <v>0</v>
      </c>
      <c r="G217" s="171" t="n">
        <v>0</v>
      </c>
      <c r="H217" s="170" t="n">
        <v>0</v>
      </c>
      <c r="I217" s="171" t="n">
        <v>0</v>
      </c>
      <c r="J217" s="171" t="n">
        <v>0</v>
      </c>
      <c r="K217" s="171" t="n">
        <v>0</v>
      </c>
      <c r="L217" s="171" t="n">
        <v>0</v>
      </c>
      <c r="M217" s="170" t="n">
        <v>0</v>
      </c>
      <c r="N217" s="171" t="n">
        <v>0</v>
      </c>
      <c r="O217" s="171" t="n">
        <v>0</v>
      </c>
      <c r="P217" s="171" t="n">
        <v>0</v>
      </c>
      <c r="Q217" s="171" t="n">
        <v>0</v>
      </c>
      <c r="R217" s="170" t="n">
        <v>0</v>
      </c>
      <c r="S217" s="171" t="n">
        <v>0</v>
      </c>
      <c r="T217" s="171" t="n">
        <v>0</v>
      </c>
      <c r="U217" s="171" t="n">
        <v>0</v>
      </c>
      <c r="V217" s="171" t="n">
        <v>0</v>
      </c>
      <c r="W217" s="170" t="n">
        <v>0</v>
      </c>
      <c r="X217" s="171" t="n">
        <v>0</v>
      </c>
      <c r="Y217" s="171" t="n">
        <v>0</v>
      </c>
      <c r="Z217" s="171" t="n">
        <v>0</v>
      </c>
      <c r="AA217" s="171" t="n">
        <v>0</v>
      </c>
      <c r="AB217" s="170" t="n">
        <v>0</v>
      </c>
      <c r="AC217" s="171" t="n">
        <v>0</v>
      </c>
      <c r="AD217" s="171" t="n">
        <v>0</v>
      </c>
      <c r="AE217" s="171" t="n">
        <v>0</v>
      </c>
      <c r="AF217" s="171" t="n">
        <v>0</v>
      </c>
      <c r="AG217" s="170" t="n">
        <v>0</v>
      </c>
      <c r="AH217" s="171" t="n">
        <v>0</v>
      </c>
      <c r="AI217" s="171" t="n">
        <v>0</v>
      </c>
      <c r="AJ217" s="171" t="n">
        <v>0</v>
      </c>
      <c r="AK217" s="171" t="n">
        <v>0</v>
      </c>
      <c r="AL217" s="170" t="n">
        <v>0</v>
      </c>
      <c r="AM217" s="171" t="n">
        <v>0</v>
      </c>
      <c r="AN217" s="171" t="n">
        <v>0</v>
      </c>
      <c r="AO217" s="171" t="n">
        <v>0</v>
      </c>
      <c r="AP217" s="171" t="n">
        <v>0</v>
      </c>
      <c r="AQ217" s="170" t="n">
        <v>0</v>
      </c>
      <c r="AR217" s="171" t="n">
        <v>0</v>
      </c>
      <c r="AS217" s="171" t="n">
        <v>0</v>
      </c>
      <c r="AT217" s="171" t="n">
        <v>0</v>
      </c>
      <c r="AU217" s="171" t="n">
        <v>0</v>
      </c>
      <c r="AV217" s="170" t="n">
        <v>0</v>
      </c>
      <c r="AW217" s="171" t="n">
        <v>0</v>
      </c>
      <c r="AX217" s="171" t="n">
        <v>0</v>
      </c>
      <c r="AY217" s="171" t="n">
        <v>0</v>
      </c>
      <c r="AZ217" s="171" t="n">
        <v>0</v>
      </c>
      <c r="BA217" s="170" t="n">
        <v>0</v>
      </c>
      <c r="BB217" s="171" t="n">
        <v>0</v>
      </c>
      <c r="BC217" s="171" t="n">
        <v>0</v>
      </c>
      <c r="BD217" s="171" t="n">
        <v>0</v>
      </c>
      <c r="BE217" s="171" t="n">
        <v>0</v>
      </c>
      <c r="BF217" s="170" t="n">
        <v>0</v>
      </c>
      <c r="BG217" s="171" t="n">
        <v>0</v>
      </c>
      <c r="BH217" s="171" t="n">
        <v>0</v>
      </c>
      <c r="BI217" s="171" t="n">
        <v>0</v>
      </c>
      <c r="BJ217" s="171" t="n">
        <v>0</v>
      </c>
      <c r="BK217" s="170" t="n">
        <v>0</v>
      </c>
      <c r="BL217" s="171" t="n">
        <v>0</v>
      </c>
      <c r="BM217" s="171" t="n">
        <v>0</v>
      </c>
      <c r="BN217" s="171" t="n">
        <v>0</v>
      </c>
      <c r="BO217" s="171" t="n">
        <v>0</v>
      </c>
      <c r="BP217" s="170" t="n">
        <v>0</v>
      </c>
      <c r="BQ217" s="171" t="n">
        <v>0</v>
      </c>
      <c r="BR217" s="171" t="n">
        <v>0</v>
      </c>
      <c r="BS217" s="171" t="n">
        <v>0</v>
      </c>
      <c r="BT217" s="171" t="n">
        <v>0</v>
      </c>
      <c r="BU217" s="170" t="n">
        <v>0</v>
      </c>
      <c r="BV217" s="171" t="n">
        <v>0</v>
      </c>
      <c r="BW217" s="171" t="n">
        <v>0</v>
      </c>
      <c r="BX217" s="171" t="n">
        <v>0</v>
      </c>
      <c r="BY217" s="171" t="n">
        <v>0</v>
      </c>
      <c r="BZ217" s="170" t="n">
        <v>0</v>
      </c>
      <c r="CA217" s="171" t="n">
        <v>0</v>
      </c>
      <c r="CB217" s="171" t="n">
        <v>0</v>
      </c>
      <c r="CC217" s="171" t="n">
        <v>0</v>
      </c>
      <c r="CD217" s="171" t="n">
        <v>0</v>
      </c>
      <c r="CE217" s="170" t="n">
        <v>0</v>
      </c>
      <c r="CF217" s="171" t="n">
        <v>0</v>
      </c>
      <c r="CG217" s="171" t="n">
        <v>0</v>
      </c>
      <c r="CH217" s="171" t="n">
        <v>0</v>
      </c>
      <c r="CI217" s="171" t="n">
        <v>0</v>
      </c>
      <c r="CJ217" s="170" t="n">
        <v>0</v>
      </c>
      <c r="CK217" s="171" t="n">
        <v>0</v>
      </c>
      <c r="CL217" s="171" t="n">
        <v>0</v>
      </c>
      <c r="CM217" s="171" t="n">
        <v>0</v>
      </c>
      <c r="CN217" s="171" t="n">
        <v>0</v>
      </c>
      <c r="CO217" s="170" t="n">
        <v>0</v>
      </c>
      <c r="CP217" s="171" t="n">
        <v>0</v>
      </c>
      <c r="CQ217" s="171" t="n">
        <v>0</v>
      </c>
      <c r="CR217" s="171" t="n">
        <v>0</v>
      </c>
      <c r="CS217" s="171" t="n">
        <v>0</v>
      </c>
      <c r="CT217" s="170" t="n">
        <v>0</v>
      </c>
      <c r="CU217" s="171" t="n">
        <v>0</v>
      </c>
      <c r="CV217" s="171" t="n">
        <v>0</v>
      </c>
      <c r="CW217" s="171" t="n">
        <v>0</v>
      </c>
      <c r="CX217" s="171" t="n">
        <v>0</v>
      </c>
      <c r="CY217" s="170" t="n">
        <v>0</v>
      </c>
      <c r="CZ217" s="171" t="n">
        <v>0</v>
      </c>
      <c r="DA217" s="171" t="n">
        <v>0</v>
      </c>
      <c r="DB217" s="171" t="n">
        <v>0</v>
      </c>
      <c r="DC217" s="171" t="n">
        <v>0</v>
      </c>
      <c r="DD217" s="170" t="n">
        <v>0</v>
      </c>
      <c r="DE217" s="171" t="n">
        <v>0</v>
      </c>
      <c r="DF217" s="171" t="n">
        <v>0</v>
      </c>
      <c r="DG217" s="171" t="n">
        <v>0</v>
      </c>
      <c r="DH217" s="171" t="n">
        <v>0</v>
      </c>
      <c r="DI217" s="170" t="n">
        <v>0</v>
      </c>
      <c r="DJ217" s="171" t="n">
        <v>0</v>
      </c>
      <c r="DK217" s="171" t="n">
        <v>0</v>
      </c>
      <c r="DL217" s="171" t="n">
        <v>0</v>
      </c>
      <c r="DM217" s="171" t="n">
        <v>0</v>
      </c>
      <c r="DN217" s="170" t="n">
        <v>0</v>
      </c>
      <c r="DO217" s="171" t="n">
        <v>0</v>
      </c>
      <c r="DP217" s="171" t="n">
        <v>0</v>
      </c>
      <c r="DQ217" s="171" t="n">
        <v>0</v>
      </c>
      <c r="DR217" s="171" t="n">
        <v>0</v>
      </c>
      <c r="DS217" s="170" t="n">
        <v>0</v>
      </c>
      <c r="DT217" s="171" t="n">
        <v>0</v>
      </c>
      <c r="DU217" s="171" t="n">
        <v>0</v>
      </c>
      <c r="DV217" s="171" t="n">
        <v>0</v>
      </c>
      <c r="DW217" s="171" t="n">
        <v>0</v>
      </c>
      <c r="DX217" s="170" t="n">
        <v>0</v>
      </c>
      <c r="DY217" s="171" t="n">
        <v>0</v>
      </c>
      <c r="DZ217" s="171" t="n">
        <v>0</v>
      </c>
      <c r="EA217" s="171" t="n">
        <v>0</v>
      </c>
      <c r="EB217" s="171" t="n">
        <v>0</v>
      </c>
      <c r="EC217" s="170" t="n">
        <v>0</v>
      </c>
      <c r="ED217" s="171" t="n">
        <v>0</v>
      </c>
      <c r="EE217" s="171" t="n">
        <v>0</v>
      </c>
      <c r="EF217" s="171" t="n">
        <v>0</v>
      </c>
      <c r="EG217" s="171" t="n">
        <v>0</v>
      </c>
      <c r="EH217" s="170" t="n">
        <v>0</v>
      </c>
      <c r="EI217" s="171" t="n">
        <v>0</v>
      </c>
      <c r="EJ217" s="171" t="n">
        <v>0</v>
      </c>
      <c r="EK217" s="171" t="n">
        <v>0</v>
      </c>
      <c r="EL217" s="171" t="n">
        <v>0</v>
      </c>
      <c r="EM217" s="170" t="n">
        <v>0</v>
      </c>
      <c r="EN217" s="171" t="n">
        <v>0</v>
      </c>
      <c r="EO217" s="171" t="n">
        <v>0</v>
      </c>
      <c r="EP217" s="171" t="n">
        <v>0</v>
      </c>
      <c r="EQ217" s="171" t="n">
        <v>0</v>
      </c>
      <c r="ER217" s="170" t="n">
        <v>0</v>
      </c>
      <c r="ES217" s="171" t="n">
        <v>0</v>
      </c>
      <c r="ET217" s="171" t="n">
        <v>0</v>
      </c>
      <c r="EU217" s="171" t="n">
        <v>0</v>
      </c>
      <c r="EV217" s="171" t="n">
        <v>0</v>
      </c>
      <c r="EW217" s="170" t="n">
        <v>0</v>
      </c>
      <c r="EX217" s="171" t="n">
        <v>0</v>
      </c>
      <c r="EY217" s="171" t="n">
        <v>0</v>
      </c>
      <c r="EZ217" s="171" t="n">
        <v>0</v>
      </c>
      <c r="FA217" s="171" t="n">
        <v>0</v>
      </c>
      <c r="FB217" s="170" t="n">
        <v>0</v>
      </c>
      <c r="FC217" s="171" t="n">
        <v>0</v>
      </c>
      <c r="FD217" s="171" t="n">
        <v>0</v>
      </c>
      <c r="FE217" s="171" t="n">
        <v>0</v>
      </c>
      <c r="FF217" s="171" t="n">
        <v>0</v>
      </c>
      <c r="FG217" s="170" t="n">
        <v>0</v>
      </c>
      <c r="FH217" s="171" t="n">
        <v>0</v>
      </c>
      <c r="FI217" s="171" t="n">
        <v>0</v>
      </c>
      <c r="FJ217" s="171" t="n">
        <v>0</v>
      </c>
      <c r="FK217" s="171" t="n">
        <v>0</v>
      </c>
      <c r="FL217" s="170" t="n">
        <v>0</v>
      </c>
      <c r="FM217" s="171" t="n">
        <v>0</v>
      </c>
      <c r="FN217" s="171" t="n">
        <v>0</v>
      </c>
      <c r="FO217" s="171" t="n">
        <v>0</v>
      </c>
      <c r="FP217" s="171" t="n">
        <v>0</v>
      </c>
      <c r="FQ217" s="170" t="n">
        <v>0</v>
      </c>
      <c r="FR217" s="171" t="n">
        <v>0</v>
      </c>
      <c r="FS217" s="171" t="n">
        <v>0</v>
      </c>
      <c r="FT217" s="171" t="n">
        <v>0</v>
      </c>
      <c r="FU217" s="171" t="n">
        <v>0</v>
      </c>
      <c r="FV217" s="170" t="n">
        <v>0</v>
      </c>
      <c r="FW217" s="171" t="n">
        <v>0</v>
      </c>
      <c r="FX217" s="171" t="n">
        <v>0</v>
      </c>
      <c r="FY217" s="171" t="n">
        <v>0</v>
      </c>
    </row>
    <row r="218" customFormat="false" ht="16.4" hidden="false" customHeight="false" outlineLevel="0" collapsed="false">
      <c r="A218" s="169" t="s">
        <v>376</v>
      </c>
      <c r="B218" s="171" t="n">
        <v>0</v>
      </c>
      <c r="C218" s="171" t="n">
        <v>0</v>
      </c>
      <c r="D218" s="170" t="n">
        <v>0</v>
      </c>
      <c r="E218" s="171" t="n">
        <v>0</v>
      </c>
      <c r="F218" s="171" t="n">
        <v>0</v>
      </c>
      <c r="G218" s="171" t="n">
        <v>0</v>
      </c>
      <c r="H218" s="171" t="n">
        <v>0</v>
      </c>
      <c r="I218" s="170" t="n">
        <v>0</v>
      </c>
      <c r="J218" s="171" t="n">
        <v>0</v>
      </c>
      <c r="K218" s="171" t="n">
        <v>0</v>
      </c>
      <c r="L218" s="171" t="n">
        <v>0</v>
      </c>
      <c r="M218" s="171" t="n">
        <v>0</v>
      </c>
      <c r="N218" s="170" t="n">
        <v>0</v>
      </c>
      <c r="O218" s="171" t="n">
        <v>0</v>
      </c>
      <c r="P218" s="171" t="n">
        <v>0</v>
      </c>
      <c r="Q218" s="171" t="n">
        <v>0</v>
      </c>
      <c r="R218" s="171" t="n">
        <v>0</v>
      </c>
      <c r="S218" s="170" t="n">
        <v>0</v>
      </c>
      <c r="T218" s="171" t="n">
        <v>0</v>
      </c>
      <c r="U218" s="171" t="n">
        <v>0</v>
      </c>
      <c r="V218" s="171" t="n">
        <v>0</v>
      </c>
      <c r="W218" s="171" t="n">
        <v>0</v>
      </c>
      <c r="X218" s="170" t="n">
        <v>0</v>
      </c>
      <c r="Y218" s="171" t="n">
        <v>0</v>
      </c>
      <c r="Z218" s="171" t="n">
        <v>0</v>
      </c>
      <c r="AA218" s="171" t="n">
        <v>0</v>
      </c>
      <c r="AB218" s="171" t="n">
        <v>0</v>
      </c>
      <c r="AC218" s="170" t="n">
        <v>0</v>
      </c>
      <c r="AD218" s="171" t="n">
        <v>0</v>
      </c>
      <c r="AE218" s="171" t="n">
        <v>0</v>
      </c>
      <c r="AF218" s="171" t="n">
        <v>0</v>
      </c>
      <c r="AG218" s="171" t="n">
        <v>0</v>
      </c>
      <c r="AH218" s="170" t="n">
        <v>0</v>
      </c>
      <c r="AI218" s="171" t="n">
        <v>0</v>
      </c>
      <c r="AJ218" s="171" t="n">
        <v>0</v>
      </c>
      <c r="AK218" s="171" t="n">
        <v>0</v>
      </c>
      <c r="AL218" s="171" t="n">
        <v>0</v>
      </c>
      <c r="AM218" s="170" t="n">
        <v>0</v>
      </c>
      <c r="AN218" s="171" t="n">
        <v>0</v>
      </c>
      <c r="AO218" s="171" t="n">
        <v>0</v>
      </c>
      <c r="AP218" s="171" t="n">
        <v>0</v>
      </c>
      <c r="AQ218" s="171" t="n">
        <v>0</v>
      </c>
      <c r="AR218" s="170" t="n">
        <v>0</v>
      </c>
      <c r="AS218" s="171" t="n">
        <v>0</v>
      </c>
      <c r="AT218" s="171" t="n">
        <v>0</v>
      </c>
      <c r="AU218" s="171" t="n">
        <v>0</v>
      </c>
      <c r="AV218" s="171" t="n">
        <v>0</v>
      </c>
      <c r="AW218" s="170" t="n">
        <v>0</v>
      </c>
      <c r="AX218" s="171" t="n">
        <v>0</v>
      </c>
      <c r="AY218" s="171" t="n">
        <v>0</v>
      </c>
      <c r="AZ218" s="171" t="n">
        <v>0</v>
      </c>
      <c r="BA218" s="171" t="n">
        <v>0</v>
      </c>
      <c r="BB218" s="170" t="n">
        <v>0</v>
      </c>
      <c r="BC218" s="171" t="n">
        <v>0</v>
      </c>
      <c r="BD218" s="171" t="n">
        <v>0</v>
      </c>
      <c r="BE218" s="171" t="n">
        <v>0</v>
      </c>
      <c r="BF218" s="171" t="n">
        <v>0</v>
      </c>
      <c r="BG218" s="170" t="n">
        <v>0</v>
      </c>
      <c r="BH218" s="171" t="n">
        <v>0</v>
      </c>
      <c r="BI218" s="171" t="n">
        <v>0</v>
      </c>
      <c r="BJ218" s="171" t="n">
        <v>0</v>
      </c>
      <c r="BK218" s="171" t="n">
        <v>0</v>
      </c>
      <c r="BL218" s="170" t="n">
        <v>0</v>
      </c>
      <c r="BM218" s="171" t="n">
        <v>0</v>
      </c>
      <c r="BN218" s="171" t="n">
        <v>0</v>
      </c>
      <c r="BO218" s="171" t="n">
        <v>0</v>
      </c>
      <c r="BP218" s="171" t="n">
        <v>0</v>
      </c>
      <c r="BQ218" s="170" t="n">
        <v>0</v>
      </c>
      <c r="BR218" s="171" t="n">
        <v>0</v>
      </c>
      <c r="BS218" s="171" t="n">
        <v>0</v>
      </c>
      <c r="BT218" s="171" t="n">
        <v>0</v>
      </c>
      <c r="BU218" s="171" t="n">
        <v>0</v>
      </c>
      <c r="BV218" s="170" t="n">
        <v>0</v>
      </c>
      <c r="BW218" s="171" t="n">
        <v>0</v>
      </c>
      <c r="BX218" s="171" t="n">
        <v>0</v>
      </c>
      <c r="BY218" s="171" t="n">
        <v>0</v>
      </c>
      <c r="BZ218" s="171" t="n">
        <v>0</v>
      </c>
      <c r="CA218" s="170" t="n">
        <v>0</v>
      </c>
      <c r="CB218" s="171" t="n">
        <v>0</v>
      </c>
      <c r="CC218" s="171" t="n">
        <v>0</v>
      </c>
      <c r="CD218" s="171" t="n">
        <v>0</v>
      </c>
      <c r="CE218" s="171" t="n">
        <v>0</v>
      </c>
      <c r="CF218" s="170" t="n">
        <v>0</v>
      </c>
      <c r="CG218" s="171" t="n">
        <v>0</v>
      </c>
      <c r="CH218" s="171" t="n">
        <v>0</v>
      </c>
      <c r="CI218" s="171" t="n">
        <v>0</v>
      </c>
      <c r="CJ218" s="171" t="n">
        <v>0</v>
      </c>
      <c r="CK218" s="170" t="n">
        <v>0</v>
      </c>
      <c r="CL218" s="171" t="n">
        <v>0</v>
      </c>
      <c r="CM218" s="171" t="n">
        <v>0</v>
      </c>
      <c r="CN218" s="171" t="n">
        <v>0</v>
      </c>
      <c r="CO218" s="171" t="n">
        <v>0</v>
      </c>
      <c r="CP218" s="170" t="n">
        <v>0</v>
      </c>
      <c r="CQ218" s="171" t="n">
        <v>0</v>
      </c>
      <c r="CR218" s="171" t="n">
        <v>0</v>
      </c>
      <c r="CS218" s="171" t="n">
        <v>0</v>
      </c>
      <c r="CT218" s="171" t="n">
        <v>0</v>
      </c>
      <c r="CU218" s="170" t="n">
        <v>0</v>
      </c>
      <c r="CV218" s="171" t="n">
        <v>0</v>
      </c>
      <c r="CW218" s="171" t="n">
        <v>0</v>
      </c>
      <c r="CX218" s="171" t="n">
        <v>0</v>
      </c>
      <c r="CY218" s="171" t="n">
        <v>0</v>
      </c>
      <c r="CZ218" s="170" t="n">
        <v>0</v>
      </c>
      <c r="DA218" s="171" t="n">
        <v>0</v>
      </c>
      <c r="DB218" s="171" t="n">
        <v>0</v>
      </c>
      <c r="DC218" s="171" t="n">
        <v>0</v>
      </c>
      <c r="DD218" s="171" t="n">
        <v>0</v>
      </c>
      <c r="DE218" s="170" t="n">
        <v>0</v>
      </c>
      <c r="DF218" s="171" t="n">
        <v>0</v>
      </c>
      <c r="DG218" s="171" t="n">
        <v>0</v>
      </c>
      <c r="DH218" s="171" t="n">
        <v>0</v>
      </c>
      <c r="DI218" s="171" t="n">
        <v>0</v>
      </c>
      <c r="DJ218" s="170" t="n">
        <v>0</v>
      </c>
      <c r="DK218" s="171" t="n">
        <v>0</v>
      </c>
      <c r="DL218" s="171" t="n">
        <v>0</v>
      </c>
      <c r="DM218" s="171" t="n">
        <v>0</v>
      </c>
      <c r="DN218" s="171" t="n">
        <v>0</v>
      </c>
      <c r="DO218" s="170" t="n">
        <v>0</v>
      </c>
      <c r="DP218" s="171" t="n">
        <v>0</v>
      </c>
      <c r="DQ218" s="171" t="n">
        <v>0</v>
      </c>
      <c r="DR218" s="171" t="n">
        <v>0</v>
      </c>
      <c r="DS218" s="171" t="n">
        <v>0</v>
      </c>
      <c r="DT218" s="170" t="n">
        <v>0</v>
      </c>
      <c r="DU218" s="171" t="n">
        <v>0</v>
      </c>
      <c r="DV218" s="171" t="n">
        <v>0</v>
      </c>
      <c r="DW218" s="171" t="n">
        <v>0</v>
      </c>
      <c r="DX218" s="171" t="n">
        <v>0</v>
      </c>
      <c r="DY218" s="170" t="n">
        <v>0</v>
      </c>
      <c r="DZ218" s="171" t="n">
        <v>0</v>
      </c>
      <c r="EA218" s="171" t="n">
        <v>0</v>
      </c>
      <c r="EB218" s="171" t="n">
        <v>0</v>
      </c>
      <c r="EC218" s="171" t="n">
        <v>0</v>
      </c>
      <c r="ED218" s="170" t="n">
        <v>0</v>
      </c>
      <c r="EE218" s="171" t="n">
        <v>0</v>
      </c>
      <c r="EF218" s="171" t="n">
        <v>0</v>
      </c>
      <c r="EG218" s="171" t="n">
        <v>0</v>
      </c>
      <c r="EH218" s="171" t="n">
        <v>0</v>
      </c>
      <c r="EI218" s="170" t="n">
        <v>0</v>
      </c>
      <c r="EJ218" s="171" t="n">
        <v>0</v>
      </c>
      <c r="EK218" s="171" t="n">
        <v>0</v>
      </c>
      <c r="EL218" s="171" t="n">
        <v>0</v>
      </c>
      <c r="EM218" s="171" t="n">
        <v>0</v>
      </c>
      <c r="EN218" s="170" t="n">
        <v>0</v>
      </c>
      <c r="EO218" s="171" t="n">
        <v>0</v>
      </c>
      <c r="EP218" s="171" t="n">
        <v>0</v>
      </c>
      <c r="EQ218" s="171" t="n">
        <v>0</v>
      </c>
      <c r="ER218" s="171" t="n">
        <v>0</v>
      </c>
      <c r="ES218" s="170" t="n">
        <v>0</v>
      </c>
      <c r="ET218" s="171" t="n">
        <v>0</v>
      </c>
      <c r="EU218" s="171" t="n">
        <v>0</v>
      </c>
      <c r="EV218" s="171" t="n">
        <v>0</v>
      </c>
      <c r="EW218" s="171" t="n">
        <v>0</v>
      </c>
      <c r="EX218" s="170" t="n">
        <v>0</v>
      </c>
      <c r="EY218" s="171" t="n">
        <v>0</v>
      </c>
      <c r="EZ218" s="171" t="n">
        <v>0</v>
      </c>
      <c r="FA218" s="171" t="n">
        <v>0</v>
      </c>
      <c r="FB218" s="171" t="n">
        <v>0</v>
      </c>
      <c r="FC218" s="170" t="n">
        <v>0</v>
      </c>
      <c r="FD218" s="171" t="n">
        <v>0</v>
      </c>
      <c r="FE218" s="171" t="n">
        <v>0</v>
      </c>
      <c r="FF218" s="171" t="n">
        <v>0</v>
      </c>
      <c r="FG218" s="171" t="n">
        <v>0</v>
      </c>
      <c r="FH218" s="170" t="n">
        <v>0</v>
      </c>
      <c r="FI218" s="171" t="n">
        <v>0</v>
      </c>
      <c r="FJ218" s="171" t="n">
        <v>0</v>
      </c>
      <c r="FK218" s="171" t="n">
        <v>0</v>
      </c>
      <c r="FL218" s="171" t="n">
        <v>0</v>
      </c>
      <c r="FM218" s="170" t="n">
        <v>0</v>
      </c>
      <c r="FN218" s="171" t="n">
        <v>0</v>
      </c>
      <c r="FO218" s="171" t="n">
        <v>0</v>
      </c>
      <c r="FP218" s="171" t="n">
        <v>0</v>
      </c>
      <c r="FQ218" s="171" t="n">
        <v>0</v>
      </c>
      <c r="FR218" s="170" t="n">
        <v>0</v>
      </c>
      <c r="FS218" s="171" t="n">
        <v>0</v>
      </c>
      <c r="FT218" s="171" t="n">
        <v>0</v>
      </c>
      <c r="FU218" s="171" t="n">
        <v>0</v>
      </c>
      <c r="FV218" s="171" t="n">
        <v>0</v>
      </c>
      <c r="FW218" s="170" t="n">
        <v>0</v>
      </c>
      <c r="FX218" s="171" t="n">
        <v>0</v>
      </c>
      <c r="FY218" s="171" t="n">
        <v>0</v>
      </c>
    </row>
    <row r="219" customFormat="false" ht="16.4" hidden="false" customHeight="false" outlineLevel="0" collapsed="false">
      <c r="A219" s="169" t="s">
        <v>377</v>
      </c>
      <c r="B219" s="171" t="n">
        <v>0</v>
      </c>
      <c r="C219" s="171" t="n">
        <v>0</v>
      </c>
      <c r="D219" s="171" t="n">
        <v>0</v>
      </c>
      <c r="E219" s="170" t="n">
        <v>0</v>
      </c>
      <c r="F219" s="171" t="n">
        <v>0</v>
      </c>
      <c r="G219" s="171" t="n">
        <v>0</v>
      </c>
      <c r="H219" s="171" t="n">
        <v>0</v>
      </c>
      <c r="I219" s="171" t="n">
        <v>0</v>
      </c>
      <c r="J219" s="170" t="n">
        <v>0</v>
      </c>
      <c r="K219" s="171" t="n">
        <v>0</v>
      </c>
      <c r="L219" s="171" t="n">
        <v>0</v>
      </c>
      <c r="M219" s="171" t="n">
        <v>0</v>
      </c>
      <c r="N219" s="171" t="n">
        <v>0</v>
      </c>
      <c r="O219" s="170" t="n">
        <v>0</v>
      </c>
      <c r="P219" s="171" t="n">
        <v>0</v>
      </c>
      <c r="Q219" s="171" t="n">
        <v>0</v>
      </c>
      <c r="R219" s="171" t="n">
        <v>0</v>
      </c>
      <c r="S219" s="171" t="n">
        <v>0</v>
      </c>
      <c r="T219" s="170" t="n">
        <v>0</v>
      </c>
      <c r="U219" s="171" t="n">
        <v>0</v>
      </c>
      <c r="V219" s="171" t="n">
        <v>0</v>
      </c>
      <c r="W219" s="171" t="n">
        <v>0</v>
      </c>
      <c r="X219" s="171" t="n">
        <v>0</v>
      </c>
      <c r="Y219" s="170" t="n">
        <v>0</v>
      </c>
      <c r="Z219" s="171" t="n">
        <v>0</v>
      </c>
      <c r="AA219" s="171" t="n">
        <v>0</v>
      </c>
      <c r="AB219" s="171" t="n">
        <v>0</v>
      </c>
      <c r="AC219" s="171" t="n">
        <v>0</v>
      </c>
      <c r="AD219" s="170" t="n">
        <v>0</v>
      </c>
      <c r="AE219" s="171" t="n">
        <v>0</v>
      </c>
      <c r="AF219" s="171" t="n">
        <v>0</v>
      </c>
      <c r="AG219" s="171" t="n">
        <v>0</v>
      </c>
      <c r="AH219" s="171" t="n">
        <v>0</v>
      </c>
      <c r="AI219" s="170" t="n">
        <v>0</v>
      </c>
      <c r="AJ219" s="171" t="n">
        <v>0</v>
      </c>
      <c r="AK219" s="171" t="n">
        <v>0</v>
      </c>
      <c r="AL219" s="171" t="n">
        <v>0</v>
      </c>
      <c r="AM219" s="171" t="n">
        <v>0</v>
      </c>
      <c r="AN219" s="170" t="n">
        <v>0</v>
      </c>
      <c r="AO219" s="171" t="n">
        <v>0</v>
      </c>
      <c r="AP219" s="171" t="n">
        <v>0</v>
      </c>
      <c r="AQ219" s="171" t="n">
        <v>0</v>
      </c>
      <c r="AR219" s="171" t="n">
        <v>0</v>
      </c>
      <c r="AS219" s="170" t="n">
        <v>0</v>
      </c>
      <c r="AT219" s="171" t="n">
        <v>0</v>
      </c>
      <c r="AU219" s="171" t="n">
        <v>0</v>
      </c>
      <c r="AV219" s="171" t="n">
        <v>0</v>
      </c>
      <c r="AW219" s="171" t="n">
        <v>0</v>
      </c>
      <c r="AX219" s="170" t="n">
        <v>0</v>
      </c>
      <c r="AY219" s="171" t="n">
        <v>0</v>
      </c>
      <c r="AZ219" s="171" t="n">
        <v>0</v>
      </c>
      <c r="BA219" s="171" t="n">
        <v>0</v>
      </c>
      <c r="BB219" s="171" t="n">
        <v>0</v>
      </c>
      <c r="BC219" s="170" t="n">
        <v>0</v>
      </c>
      <c r="BD219" s="171" t="n">
        <v>0</v>
      </c>
      <c r="BE219" s="171" t="n">
        <v>0</v>
      </c>
      <c r="BF219" s="171" t="n">
        <v>0</v>
      </c>
      <c r="BG219" s="171" t="n">
        <v>0</v>
      </c>
      <c r="BH219" s="170" t="n">
        <v>0</v>
      </c>
      <c r="BI219" s="171" t="n">
        <v>0</v>
      </c>
      <c r="BJ219" s="171" t="n">
        <v>0</v>
      </c>
      <c r="BK219" s="171" t="n">
        <v>0</v>
      </c>
      <c r="BL219" s="171" t="n">
        <v>0</v>
      </c>
      <c r="BM219" s="170" t="n">
        <v>0</v>
      </c>
      <c r="BN219" s="171" t="n">
        <v>0</v>
      </c>
      <c r="BO219" s="171" t="n">
        <v>0</v>
      </c>
      <c r="BP219" s="171" t="n">
        <v>0</v>
      </c>
      <c r="BQ219" s="171" t="n">
        <v>0</v>
      </c>
      <c r="BR219" s="170" t="n">
        <v>0</v>
      </c>
      <c r="BS219" s="171" t="n">
        <v>0</v>
      </c>
      <c r="BT219" s="171" t="n">
        <v>0</v>
      </c>
      <c r="BU219" s="171" t="n">
        <v>0</v>
      </c>
      <c r="BV219" s="171" t="n">
        <v>0</v>
      </c>
      <c r="BW219" s="170" t="n">
        <v>0</v>
      </c>
      <c r="BX219" s="171" t="n">
        <v>0</v>
      </c>
      <c r="BY219" s="171" t="n">
        <v>0</v>
      </c>
      <c r="BZ219" s="171" t="n">
        <v>0</v>
      </c>
      <c r="CA219" s="171" t="n">
        <v>0</v>
      </c>
      <c r="CB219" s="170" t="n">
        <v>0</v>
      </c>
      <c r="CC219" s="171" t="n">
        <v>0</v>
      </c>
      <c r="CD219" s="171" t="n">
        <v>0</v>
      </c>
      <c r="CE219" s="171" t="n">
        <v>0</v>
      </c>
      <c r="CF219" s="171" t="n">
        <v>0</v>
      </c>
      <c r="CG219" s="170" t="n">
        <v>0</v>
      </c>
      <c r="CH219" s="171" t="n">
        <v>0</v>
      </c>
      <c r="CI219" s="171" t="n">
        <v>0</v>
      </c>
      <c r="CJ219" s="171" t="n">
        <v>0</v>
      </c>
      <c r="CK219" s="171" t="n">
        <v>0</v>
      </c>
      <c r="CL219" s="170" t="n">
        <v>0</v>
      </c>
      <c r="CM219" s="171" t="n">
        <v>0</v>
      </c>
      <c r="CN219" s="171" t="n">
        <v>0</v>
      </c>
      <c r="CO219" s="171" t="n">
        <v>0</v>
      </c>
      <c r="CP219" s="171" t="n">
        <v>0</v>
      </c>
      <c r="CQ219" s="170" t="n">
        <v>0</v>
      </c>
      <c r="CR219" s="171" t="n">
        <v>0</v>
      </c>
      <c r="CS219" s="171" t="n">
        <v>0</v>
      </c>
      <c r="CT219" s="171" t="n">
        <v>0</v>
      </c>
      <c r="CU219" s="171" t="n">
        <v>0</v>
      </c>
      <c r="CV219" s="170" t="n">
        <v>0</v>
      </c>
      <c r="CW219" s="171" t="n">
        <v>0</v>
      </c>
      <c r="CX219" s="171" t="n">
        <v>0</v>
      </c>
      <c r="CY219" s="171" t="n">
        <v>0</v>
      </c>
      <c r="CZ219" s="171" t="n">
        <v>0</v>
      </c>
      <c r="DA219" s="170" t="n">
        <v>0</v>
      </c>
      <c r="DB219" s="171" t="n">
        <v>0</v>
      </c>
      <c r="DC219" s="171" t="n">
        <v>0</v>
      </c>
      <c r="DD219" s="171" t="n">
        <v>0</v>
      </c>
      <c r="DE219" s="171" t="n">
        <v>0</v>
      </c>
      <c r="DF219" s="170" t="n">
        <v>0</v>
      </c>
      <c r="DG219" s="171" t="n">
        <v>0</v>
      </c>
      <c r="DH219" s="171" t="n">
        <v>0</v>
      </c>
      <c r="DI219" s="171" t="n">
        <v>0</v>
      </c>
      <c r="DJ219" s="171" t="n">
        <v>0</v>
      </c>
      <c r="DK219" s="170" t="n">
        <v>0</v>
      </c>
      <c r="DL219" s="171" t="n">
        <v>0</v>
      </c>
      <c r="DM219" s="171" t="n">
        <v>0</v>
      </c>
      <c r="DN219" s="171" t="n">
        <v>0</v>
      </c>
      <c r="DO219" s="171" t="n">
        <v>0</v>
      </c>
      <c r="DP219" s="170" t="n">
        <v>0</v>
      </c>
      <c r="DQ219" s="171" t="n">
        <v>0</v>
      </c>
      <c r="DR219" s="171" t="n">
        <v>0</v>
      </c>
      <c r="DS219" s="171" t="n">
        <v>0</v>
      </c>
      <c r="DT219" s="171" t="n">
        <v>0</v>
      </c>
      <c r="DU219" s="170" t="n">
        <v>0</v>
      </c>
      <c r="DV219" s="171" t="n">
        <v>0</v>
      </c>
      <c r="DW219" s="171" t="n">
        <v>0</v>
      </c>
      <c r="DX219" s="171" t="n">
        <v>0</v>
      </c>
      <c r="DY219" s="171" t="n">
        <v>0</v>
      </c>
      <c r="DZ219" s="170" t="n">
        <v>0</v>
      </c>
      <c r="EA219" s="171" t="n">
        <v>0</v>
      </c>
      <c r="EB219" s="171" t="n">
        <v>0</v>
      </c>
      <c r="EC219" s="171" t="n">
        <v>0</v>
      </c>
      <c r="ED219" s="171" t="n">
        <v>0</v>
      </c>
      <c r="EE219" s="170" t="n">
        <v>0</v>
      </c>
      <c r="EF219" s="171" t="n">
        <v>0</v>
      </c>
      <c r="EG219" s="171" t="n">
        <v>0</v>
      </c>
      <c r="EH219" s="171" t="n">
        <v>0</v>
      </c>
      <c r="EI219" s="171" t="n">
        <v>0</v>
      </c>
      <c r="EJ219" s="170" t="n">
        <v>0</v>
      </c>
      <c r="EK219" s="171" t="n">
        <v>0</v>
      </c>
      <c r="EL219" s="171" t="n">
        <v>0</v>
      </c>
      <c r="EM219" s="171" t="n">
        <v>0</v>
      </c>
      <c r="EN219" s="171" t="n">
        <v>0</v>
      </c>
      <c r="EO219" s="170" t="n">
        <v>0</v>
      </c>
      <c r="EP219" s="171" t="n">
        <v>0</v>
      </c>
      <c r="EQ219" s="171" t="n">
        <v>0</v>
      </c>
      <c r="ER219" s="171" t="n">
        <v>0</v>
      </c>
      <c r="ES219" s="171" t="n">
        <v>0</v>
      </c>
      <c r="ET219" s="170" t="n">
        <v>0</v>
      </c>
      <c r="EU219" s="171" t="n">
        <v>0</v>
      </c>
      <c r="EV219" s="171" t="n">
        <v>0</v>
      </c>
      <c r="EW219" s="171" t="n">
        <v>0</v>
      </c>
      <c r="EX219" s="171" t="n">
        <v>0</v>
      </c>
      <c r="EY219" s="170" t="n">
        <v>0</v>
      </c>
      <c r="EZ219" s="171" t="n">
        <v>0</v>
      </c>
      <c r="FA219" s="171" t="n">
        <v>0</v>
      </c>
      <c r="FB219" s="171" t="n">
        <v>0</v>
      </c>
      <c r="FC219" s="171" t="n">
        <v>0</v>
      </c>
      <c r="FD219" s="170" t="n">
        <v>0</v>
      </c>
      <c r="FE219" s="171" t="n">
        <v>0</v>
      </c>
      <c r="FF219" s="171" t="n">
        <v>0</v>
      </c>
      <c r="FG219" s="171" t="n">
        <v>0</v>
      </c>
      <c r="FH219" s="171" t="n">
        <v>0</v>
      </c>
      <c r="FI219" s="170" t="n">
        <v>0</v>
      </c>
      <c r="FJ219" s="171" t="n">
        <v>0</v>
      </c>
      <c r="FK219" s="171" t="n">
        <v>0</v>
      </c>
      <c r="FL219" s="171" t="n">
        <v>0</v>
      </c>
      <c r="FM219" s="171" t="n">
        <v>0</v>
      </c>
      <c r="FN219" s="170" t="n">
        <v>0</v>
      </c>
      <c r="FO219" s="171" t="n">
        <v>0</v>
      </c>
      <c r="FP219" s="171" t="n">
        <v>0</v>
      </c>
      <c r="FQ219" s="171" t="n">
        <v>0</v>
      </c>
      <c r="FR219" s="171" t="n">
        <v>0</v>
      </c>
      <c r="FS219" s="170" t="n">
        <v>0</v>
      </c>
      <c r="FT219" s="171" t="n">
        <v>0</v>
      </c>
      <c r="FU219" s="171" t="n">
        <v>0</v>
      </c>
      <c r="FV219" s="171" t="n">
        <v>0</v>
      </c>
      <c r="FW219" s="171" t="n">
        <v>0</v>
      </c>
      <c r="FX219" s="170" t="n">
        <v>0</v>
      </c>
      <c r="FY219" s="171" t="n">
        <v>0</v>
      </c>
    </row>
    <row r="220" customFormat="false" ht="16.4" hidden="false" customHeight="false" outlineLevel="0" collapsed="false">
      <c r="A220" s="169" t="s">
        <v>378</v>
      </c>
      <c r="B220" s="171" t="n">
        <v>0</v>
      </c>
      <c r="C220" s="171" t="n">
        <v>0</v>
      </c>
      <c r="D220" s="171" t="n">
        <v>0</v>
      </c>
      <c r="E220" s="171" t="n">
        <v>0</v>
      </c>
      <c r="F220" s="170" t="n">
        <v>0</v>
      </c>
      <c r="G220" s="171" t="n">
        <v>0</v>
      </c>
      <c r="H220" s="171" t="n">
        <v>0</v>
      </c>
      <c r="I220" s="171" t="n">
        <v>0</v>
      </c>
      <c r="J220" s="171" t="n">
        <v>0</v>
      </c>
      <c r="K220" s="170" t="n">
        <v>0</v>
      </c>
      <c r="L220" s="171" t="n">
        <v>0</v>
      </c>
      <c r="M220" s="171" t="n">
        <v>0</v>
      </c>
      <c r="N220" s="171" t="n">
        <v>0</v>
      </c>
      <c r="O220" s="171" t="n">
        <v>0</v>
      </c>
      <c r="P220" s="170" t="n">
        <v>0</v>
      </c>
      <c r="Q220" s="171" t="n">
        <v>0</v>
      </c>
      <c r="R220" s="171" t="n">
        <v>0</v>
      </c>
      <c r="S220" s="171" t="n">
        <v>0</v>
      </c>
      <c r="T220" s="171" t="n">
        <v>0</v>
      </c>
      <c r="U220" s="170" t="n">
        <v>0</v>
      </c>
      <c r="V220" s="171" t="n">
        <v>0</v>
      </c>
      <c r="W220" s="171" t="n">
        <v>0</v>
      </c>
      <c r="X220" s="171" t="n">
        <v>0</v>
      </c>
      <c r="Y220" s="171" t="n">
        <v>0</v>
      </c>
      <c r="Z220" s="170" t="n">
        <v>0</v>
      </c>
      <c r="AA220" s="171" t="n">
        <v>0</v>
      </c>
      <c r="AB220" s="171" t="n">
        <v>0</v>
      </c>
      <c r="AC220" s="171" t="n">
        <v>0</v>
      </c>
      <c r="AD220" s="171" t="n">
        <v>0</v>
      </c>
      <c r="AE220" s="170" t="n">
        <v>0</v>
      </c>
      <c r="AF220" s="171" t="n">
        <v>0</v>
      </c>
      <c r="AG220" s="171" t="n">
        <v>0</v>
      </c>
      <c r="AH220" s="171" t="n">
        <v>0</v>
      </c>
      <c r="AI220" s="171" t="n">
        <v>0</v>
      </c>
      <c r="AJ220" s="170" t="n">
        <v>0</v>
      </c>
      <c r="AK220" s="171" t="n">
        <v>0</v>
      </c>
      <c r="AL220" s="171" t="n">
        <v>0</v>
      </c>
      <c r="AM220" s="171" t="n">
        <v>0</v>
      </c>
      <c r="AN220" s="171" t="n">
        <v>0</v>
      </c>
      <c r="AO220" s="170" t="n">
        <v>0</v>
      </c>
      <c r="AP220" s="171" t="n">
        <v>0</v>
      </c>
      <c r="AQ220" s="171" t="n">
        <v>0</v>
      </c>
      <c r="AR220" s="171" t="n">
        <v>0</v>
      </c>
      <c r="AS220" s="171" t="n">
        <v>0</v>
      </c>
      <c r="AT220" s="170" t="n">
        <v>0</v>
      </c>
      <c r="AU220" s="171" t="n">
        <v>0</v>
      </c>
      <c r="AV220" s="171" t="n">
        <v>0</v>
      </c>
      <c r="AW220" s="171" t="n">
        <v>0</v>
      </c>
      <c r="AX220" s="171" t="n">
        <v>0</v>
      </c>
      <c r="AY220" s="170" t="n">
        <v>0</v>
      </c>
      <c r="AZ220" s="171" t="n">
        <v>0</v>
      </c>
      <c r="BA220" s="171" t="n">
        <v>0</v>
      </c>
      <c r="BB220" s="171" t="n">
        <v>0</v>
      </c>
      <c r="BC220" s="171" t="n">
        <v>0</v>
      </c>
      <c r="BD220" s="170" t="n">
        <v>0</v>
      </c>
      <c r="BE220" s="171" t="n">
        <v>0</v>
      </c>
      <c r="BF220" s="171" t="n">
        <v>0</v>
      </c>
      <c r="BG220" s="171" t="n">
        <v>0</v>
      </c>
      <c r="BH220" s="171" t="n">
        <v>0</v>
      </c>
      <c r="BI220" s="170" t="n">
        <v>0</v>
      </c>
      <c r="BJ220" s="171" t="n">
        <v>0</v>
      </c>
      <c r="BK220" s="171" t="n">
        <v>0</v>
      </c>
      <c r="BL220" s="171" t="n">
        <v>0</v>
      </c>
      <c r="BM220" s="171" t="n">
        <v>0</v>
      </c>
      <c r="BN220" s="170" t="n">
        <v>0</v>
      </c>
      <c r="BO220" s="171" t="n">
        <v>0</v>
      </c>
      <c r="BP220" s="171" t="n">
        <v>0</v>
      </c>
      <c r="BQ220" s="171" t="n">
        <v>0</v>
      </c>
      <c r="BR220" s="171" t="n">
        <v>0</v>
      </c>
      <c r="BS220" s="170" t="n">
        <v>0</v>
      </c>
      <c r="BT220" s="171" t="n">
        <v>0</v>
      </c>
      <c r="BU220" s="171" t="n">
        <v>0</v>
      </c>
      <c r="BV220" s="171" t="n">
        <v>0</v>
      </c>
      <c r="BW220" s="171" t="n">
        <v>0</v>
      </c>
      <c r="BX220" s="170" t="n">
        <v>0</v>
      </c>
      <c r="BY220" s="171" t="n">
        <v>0</v>
      </c>
      <c r="BZ220" s="171" t="n">
        <v>0</v>
      </c>
      <c r="CA220" s="171" t="n">
        <v>0</v>
      </c>
      <c r="CB220" s="171" t="n">
        <v>0</v>
      </c>
      <c r="CC220" s="170" t="n">
        <v>0</v>
      </c>
      <c r="CD220" s="171" t="n">
        <v>0</v>
      </c>
      <c r="CE220" s="171" t="n">
        <v>0</v>
      </c>
      <c r="CF220" s="171" t="n">
        <v>0</v>
      </c>
      <c r="CG220" s="171" t="n">
        <v>0</v>
      </c>
      <c r="CH220" s="170" t="n">
        <v>0</v>
      </c>
      <c r="CI220" s="171" t="n">
        <v>0</v>
      </c>
      <c r="CJ220" s="171" t="n">
        <v>0</v>
      </c>
      <c r="CK220" s="171" t="n">
        <v>0</v>
      </c>
      <c r="CL220" s="171" t="n">
        <v>0</v>
      </c>
      <c r="CM220" s="170" t="n">
        <v>0</v>
      </c>
      <c r="CN220" s="171" t="n">
        <v>0</v>
      </c>
      <c r="CO220" s="171" t="n">
        <v>0</v>
      </c>
      <c r="CP220" s="171" t="n">
        <v>0</v>
      </c>
      <c r="CQ220" s="171" t="n">
        <v>0</v>
      </c>
      <c r="CR220" s="170" t="n">
        <v>0</v>
      </c>
      <c r="CS220" s="171" t="n">
        <v>0</v>
      </c>
      <c r="CT220" s="171" t="n">
        <v>0</v>
      </c>
      <c r="CU220" s="171" t="n">
        <v>0</v>
      </c>
      <c r="CV220" s="171" t="n">
        <v>0</v>
      </c>
      <c r="CW220" s="170" t="n">
        <v>0</v>
      </c>
      <c r="CX220" s="171" t="n">
        <v>0</v>
      </c>
      <c r="CY220" s="171" t="n">
        <v>0</v>
      </c>
      <c r="CZ220" s="171" t="n">
        <v>0</v>
      </c>
      <c r="DA220" s="171" t="n">
        <v>0</v>
      </c>
      <c r="DB220" s="170" t="n">
        <v>0</v>
      </c>
      <c r="DC220" s="171" t="n">
        <v>0</v>
      </c>
      <c r="DD220" s="171" t="n">
        <v>0</v>
      </c>
      <c r="DE220" s="171" t="n">
        <v>0</v>
      </c>
      <c r="DF220" s="171" t="n">
        <v>0</v>
      </c>
      <c r="DG220" s="170" t="n">
        <v>0</v>
      </c>
      <c r="DH220" s="171" t="n">
        <v>0</v>
      </c>
      <c r="DI220" s="171" t="n">
        <v>0</v>
      </c>
      <c r="DJ220" s="171" t="n">
        <v>0</v>
      </c>
      <c r="DK220" s="171" t="n">
        <v>0</v>
      </c>
      <c r="DL220" s="170" t="n">
        <v>0</v>
      </c>
      <c r="DM220" s="171" t="n">
        <v>0</v>
      </c>
      <c r="DN220" s="171" t="n">
        <v>0</v>
      </c>
      <c r="DO220" s="171" t="n">
        <v>0</v>
      </c>
      <c r="DP220" s="171" t="n">
        <v>0</v>
      </c>
      <c r="DQ220" s="170" t="n">
        <v>0</v>
      </c>
      <c r="DR220" s="171" t="n">
        <v>0</v>
      </c>
      <c r="DS220" s="171" t="n">
        <v>0</v>
      </c>
      <c r="DT220" s="171" t="n">
        <v>0</v>
      </c>
      <c r="DU220" s="171" t="n">
        <v>0</v>
      </c>
      <c r="DV220" s="170" t="n">
        <v>0</v>
      </c>
      <c r="DW220" s="171" t="n">
        <v>0</v>
      </c>
      <c r="DX220" s="171" t="n">
        <v>0</v>
      </c>
      <c r="DY220" s="171" t="n">
        <v>0</v>
      </c>
      <c r="DZ220" s="171" t="n">
        <v>0</v>
      </c>
      <c r="EA220" s="170" t="n">
        <v>0</v>
      </c>
      <c r="EB220" s="171" t="n">
        <v>0</v>
      </c>
      <c r="EC220" s="171" t="n">
        <v>0</v>
      </c>
      <c r="ED220" s="171" t="n">
        <v>0</v>
      </c>
      <c r="EE220" s="171" t="n">
        <v>0</v>
      </c>
      <c r="EF220" s="170" t="n">
        <v>0</v>
      </c>
      <c r="EG220" s="171" t="n">
        <v>0</v>
      </c>
      <c r="EH220" s="171" t="n">
        <v>0</v>
      </c>
      <c r="EI220" s="171" t="n">
        <v>0</v>
      </c>
      <c r="EJ220" s="171" t="n">
        <v>0</v>
      </c>
      <c r="EK220" s="170" t="n">
        <v>0</v>
      </c>
      <c r="EL220" s="171" t="n">
        <v>0</v>
      </c>
      <c r="EM220" s="171" t="n">
        <v>0</v>
      </c>
      <c r="EN220" s="171" t="n">
        <v>0</v>
      </c>
      <c r="EO220" s="171" t="n">
        <v>0</v>
      </c>
      <c r="EP220" s="170" t="n">
        <v>0</v>
      </c>
      <c r="EQ220" s="171" t="n">
        <v>0</v>
      </c>
      <c r="ER220" s="171" t="n">
        <v>0</v>
      </c>
      <c r="ES220" s="171" t="n">
        <v>0</v>
      </c>
      <c r="ET220" s="171" t="n">
        <v>0</v>
      </c>
      <c r="EU220" s="170" t="n">
        <v>0</v>
      </c>
      <c r="EV220" s="171" t="n">
        <v>0</v>
      </c>
      <c r="EW220" s="171" t="n">
        <v>0</v>
      </c>
      <c r="EX220" s="171" t="n">
        <v>0</v>
      </c>
      <c r="EY220" s="171" t="n">
        <v>0</v>
      </c>
      <c r="EZ220" s="170" t="n">
        <v>0</v>
      </c>
      <c r="FA220" s="171" t="n">
        <v>0</v>
      </c>
      <c r="FB220" s="171" t="n">
        <v>0</v>
      </c>
      <c r="FC220" s="171" t="n">
        <v>0</v>
      </c>
      <c r="FD220" s="171" t="n">
        <v>0</v>
      </c>
      <c r="FE220" s="170" t="n">
        <v>0</v>
      </c>
      <c r="FF220" s="171" t="n">
        <v>0</v>
      </c>
      <c r="FG220" s="171" t="n">
        <v>0</v>
      </c>
      <c r="FH220" s="171" t="n">
        <v>0</v>
      </c>
      <c r="FI220" s="171" t="n">
        <v>0</v>
      </c>
      <c r="FJ220" s="170" t="n">
        <v>0</v>
      </c>
      <c r="FK220" s="171" t="n">
        <v>0</v>
      </c>
      <c r="FL220" s="171" t="n">
        <v>0</v>
      </c>
      <c r="FM220" s="171" t="n">
        <v>0</v>
      </c>
      <c r="FN220" s="171" t="n">
        <v>0</v>
      </c>
      <c r="FO220" s="170" t="n">
        <v>0</v>
      </c>
      <c r="FP220" s="171" t="n">
        <v>0</v>
      </c>
      <c r="FQ220" s="171" t="n">
        <v>0</v>
      </c>
      <c r="FR220" s="171" t="n">
        <v>0</v>
      </c>
      <c r="FS220" s="171" t="n">
        <v>0</v>
      </c>
      <c r="FT220" s="170" t="n">
        <v>0</v>
      </c>
      <c r="FU220" s="171" t="n">
        <v>0</v>
      </c>
      <c r="FV220" s="171" t="n">
        <v>0</v>
      </c>
      <c r="FW220" s="171" t="n">
        <v>0</v>
      </c>
      <c r="FX220" s="171" t="n">
        <v>0</v>
      </c>
      <c r="FY220" s="170" t="n">
        <v>0</v>
      </c>
    </row>
    <row r="221" customFormat="false" ht="15" hidden="false" customHeight="false" outlineLevel="0" collapsed="false">
      <c r="A221" s="78"/>
    </row>
    <row r="222" customFormat="false" ht="15" hidden="false" customHeight="false" outlineLevel="0" collapsed="false">
      <c r="A222" s="78"/>
    </row>
    <row r="223" customFormat="false" ht="16.4" hidden="false" customHeight="false" outlineLevel="0" collapsed="false">
      <c r="A223" s="163" t="s">
        <v>384</v>
      </c>
    </row>
    <row r="224" customFormat="false" ht="14.25" hidden="false" customHeight="true" outlineLevel="0" collapsed="false">
      <c r="A224" s="164" t="s">
        <v>336</v>
      </c>
      <c r="B224" s="165" t="s">
        <v>385</v>
      </c>
      <c r="C224" s="165"/>
      <c r="D224" s="165"/>
      <c r="E224" s="165"/>
      <c r="F224" s="165"/>
      <c r="G224" s="165" t="s">
        <v>373</v>
      </c>
      <c r="H224" s="165"/>
      <c r="I224" s="165"/>
      <c r="J224" s="165"/>
      <c r="K224" s="165"/>
    </row>
    <row r="225" customFormat="false" ht="15" hidden="false" customHeight="false" outlineLevel="0" collapsed="false">
      <c r="A225" s="78"/>
      <c r="B225" s="31" t="s">
        <v>374</v>
      </c>
      <c r="C225" s="31" t="s">
        <v>375</v>
      </c>
      <c r="D225" s="31" t="s">
        <v>376</v>
      </c>
      <c r="E225" s="31" t="s">
        <v>377</v>
      </c>
      <c r="F225" s="31" t="s">
        <v>378</v>
      </c>
      <c r="G225" s="31" t="s">
        <v>374</v>
      </c>
      <c r="H225" s="31" t="s">
        <v>375</v>
      </c>
      <c r="I225" s="31" t="s">
        <v>376</v>
      </c>
      <c r="J225" s="31" t="s">
        <v>377</v>
      </c>
      <c r="K225" s="31" t="s">
        <v>378</v>
      </c>
    </row>
    <row r="226" customFormat="false" ht="16.4" hidden="false" customHeight="false" outlineLevel="0" collapsed="false">
      <c r="A226" s="164" t="s">
        <v>379</v>
      </c>
      <c r="B226" s="144"/>
      <c r="C226" s="144"/>
      <c r="D226" s="144"/>
      <c r="E226" s="144"/>
      <c r="F226" s="144"/>
      <c r="G226" s="144"/>
      <c r="H226" s="144"/>
      <c r="I226" s="144"/>
      <c r="J226" s="144"/>
      <c r="K226" s="144"/>
    </row>
    <row r="227" customFormat="false" ht="16.4" hidden="false" customHeight="false" outlineLevel="0" collapsed="false">
      <c r="A227" s="168" t="s">
        <v>380</v>
      </c>
      <c r="B227" s="30" t="n">
        <v>0</v>
      </c>
      <c r="C227" s="30" t="n">
        <v>0</v>
      </c>
      <c r="D227" s="30" t="n">
        <v>0</v>
      </c>
      <c r="E227" s="30" t="n">
        <v>0</v>
      </c>
      <c r="F227" s="30" t="n">
        <v>0</v>
      </c>
      <c r="G227" s="30" t="n">
        <v>0</v>
      </c>
      <c r="H227" s="30" t="n">
        <v>0</v>
      </c>
      <c r="I227" s="30" t="n">
        <v>0</v>
      </c>
      <c r="J227" s="30" t="n">
        <v>0</v>
      </c>
      <c r="K227" s="30" t="n">
        <v>0</v>
      </c>
    </row>
    <row r="228" customFormat="false" ht="16.4" hidden="false" customHeight="false" outlineLevel="0" collapsed="false">
      <c r="A228" s="168" t="s">
        <v>381</v>
      </c>
      <c r="B228" s="30" t="n">
        <v>0</v>
      </c>
      <c r="C228" s="30" t="n">
        <v>0</v>
      </c>
      <c r="D228" s="30" t="n">
        <v>0</v>
      </c>
      <c r="E228" s="30" t="n">
        <v>0</v>
      </c>
      <c r="F228" s="30" t="n">
        <v>0</v>
      </c>
      <c r="G228" s="30" t="n">
        <v>0</v>
      </c>
      <c r="H228" s="30" t="n">
        <v>0</v>
      </c>
      <c r="I228" s="30" t="n">
        <v>0</v>
      </c>
      <c r="J228" s="30" t="n">
        <v>0</v>
      </c>
      <c r="K228" s="30" t="n">
        <v>0</v>
      </c>
    </row>
    <row r="229" customFormat="false" ht="16.4" hidden="false" customHeight="false" outlineLevel="0" collapsed="false">
      <c r="A229" s="164" t="s">
        <v>382</v>
      </c>
      <c r="B229" s="172"/>
      <c r="C229" s="172"/>
      <c r="D229" s="172"/>
      <c r="E229" s="172"/>
      <c r="F229" s="172"/>
      <c r="G229" s="172"/>
      <c r="H229" s="172"/>
      <c r="I229" s="172"/>
      <c r="J229" s="172"/>
      <c r="K229" s="172"/>
    </row>
    <row r="230" customFormat="false" ht="16.4" hidden="false" customHeight="false" outlineLevel="0" collapsed="false">
      <c r="A230" s="168" t="s">
        <v>380</v>
      </c>
      <c r="B230" s="30" t="n">
        <v>0</v>
      </c>
      <c r="C230" s="30" t="n">
        <v>0</v>
      </c>
      <c r="D230" s="30" t="n">
        <v>0</v>
      </c>
      <c r="E230" s="30" t="n">
        <v>0</v>
      </c>
      <c r="F230" s="30" t="n">
        <v>0</v>
      </c>
      <c r="G230" s="30" t="n">
        <v>0</v>
      </c>
      <c r="H230" s="30" t="n">
        <v>0</v>
      </c>
      <c r="I230" s="30" t="n">
        <v>0</v>
      </c>
      <c r="J230" s="30" t="n">
        <v>0</v>
      </c>
      <c r="K230" s="30" t="n">
        <v>0</v>
      </c>
    </row>
    <row r="231" customFormat="false" ht="16.4" hidden="false" customHeight="false" outlineLevel="0" collapsed="false">
      <c r="A231" s="168" t="s">
        <v>381</v>
      </c>
      <c r="B231" s="30" t="n">
        <v>0</v>
      </c>
      <c r="C231" s="30" t="n">
        <v>0</v>
      </c>
      <c r="D231" s="30" t="n">
        <v>0</v>
      </c>
      <c r="E231" s="30" t="n">
        <v>0</v>
      </c>
      <c r="F231" s="30" t="n">
        <v>0</v>
      </c>
      <c r="G231" s="30" t="n">
        <v>0</v>
      </c>
      <c r="H231" s="30" t="n">
        <v>0</v>
      </c>
      <c r="I231" s="30" t="n">
        <v>0</v>
      </c>
      <c r="J231" s="30" t="n">
        <v>0</v>
      </c>
      <c r="K231" s="30" t="n">
        <v>0</v>
      </c>
    </row>
    <row r="232" customFormat="false" ht="16.4" hidden="false" customHeight="false" outlineLevel="0" collapsed="false">
      <c r="A232" s="164" t="s">
        <v>383</v>
      </c>
      <c r="B232" s="172"/>
      <c r="C232" s="172"/>
      <c r="D232" s="172"/>
      <c r="E232" s="172"/>
      <c r="F232" s="172"/>
      <c r="G232" s="172"/>
      <c r="H232" s="172"/>
      <c r="I232" s="172"/>
      <c r="J232" s="172"/>
      <c r="K232" s="172"/>
    </row>
    <row r="233" customFormat="false" ht="16.4" hidden="false" customHeight="false" outlineLevel="0" collapsed="false">
      <c r="A233" s="169" t="s">
        <v>374</v>
      </c>
      <c r="B233" s="170" t="n">
        <v>0</v>
      </c>
      <c r="C233" s="171" t="n">
        <v>0</v>
      </c>
      <c r="D233" s="171" t="n">
        <v>0</v>
      </c>
      <c r="E233" s="171" t="n">
        <v>0</v>
      </c>
      <c r="F233" s="171" t="n">
        <v>0</v>
      </c>
      <c r="G233" s="170" t="n">
        <v>0</v>
      </c>
      <c r="H233" s="171" t="n">
        <v>0</v>
      </c>
      <c r="I233" s="171" t="n">
        <v>0</v>
      </c>
      <c r="J233" s="171" t="n">
        <v>0</v>
      </c>
      <c r="K233" s="171" t="n">
        <v>0</v>
      </c>
    </row>
    <row r="234" customFormat="false" ht="16.4" hidden="false" customHeight="false" outlineLevel="0" collapsed="false">
      <c r="A234" s="169" t="s">
        <v>375</v>
      </c>
      <c r="B234" s="171" t="n">
        <v>0</v>
      </c>
      <c r="C234" s="170" t="n">
        <v>0</v>
      </c>
      <c r="D234" s="171" t="n">
        <v>0</v>
      </c>
      <c r="E234" s="171" t="n">
        <v>0</v>
      </c>
      <c r="F234" s="171" t="n">
        <v>0</v>
      </c>
      <c r="G234" s="171" t="n">
        <v>0</v>
      </c>
      <c r="H234" s="170" t="n">
        <v>0</v>
      </c>
      <c r="I234" s="171" t="n">
        <v>0</v>
      </c>
      <c r="J234" s="171" t="n">
        <v>0</v>
      </c>
      <c r="K234" s="171" t="n">
        <v>0</v>
      </c>
    </row>
    <row r="235" customFormat="false" ht="16.4" hidden="false" customHeight="false" outlineLevel="0" collapsed="false">
      <c r="A235" s="169" t="s">
        <v>376</v>
      </c>
      <c r="B235" s="171" t="n">
        <v>0</v>
      </c>
      <c r="C235" s="171" t="n">
        <v>0</v>
      </c>
      <c r="D235" s="170" t="n">
        <v>0</v>
      </c>
      <c r="E235" s="171" t="n">
        <v>0</v>
      </c>
      <c r="F235" s="171" t="n">
        <v>0</v>
      </c>
      <c r="G235" s="171" t="n">
        <v>0</v>
      </c>
      <c r="H235" s="171" t="n">
        <v>0</v>
      </c>
      <c r="I235" s="170" t="n">
        <v>0</v>
      </c>
      <c r="J235" s="171" t="n">
        <v>0</v>
      </c>
      <c r="K235" s="171" t="n">
        <v>0</v>
      </c>
    </row>
    <row r="236" customFormat="false" ht="16.4" hidden="false" customHeight="false" outlineLevel="0" collapsed="false">
      <c r="A236" s="169" t="s">
        <v>377</v>
      </c>
      <c r="B236" s="171" t="n">
        <v>0</v>
      </c>
      <c r="C236" s="171" t="n">
        <v>0</v>
      </c>
      <c r="D236" s="171" t="n">
        <v>0</v>
      </c>
      <c r="E236" s="170" t="n">
        <v>0</v>
      </c>
      <c r="F236" s="171" t="n">
        <v>0</v>
      </c>
      <c r="G236" s="171" t="n">
        <v>0</v>
      </c>
      <c r="H236" s="171" t="n">
        <v>0</v>
      </c>
      <c r="I236" s="171" t="n">
        <v>0</v>
      </c>
      <c r="J236" s="170" t="n">
        <v>0</v>
      </c>
      <c r="K236" s="171" t="n">
        <v>0</v>
      </c>
    </row>
    <row r="237" customFormat="false" ht="16.4" hidden="false" customHeight="false" outlineLevel="0" collapsed="false">
      <c r="A237" s="169" t="s">
        <v>378</v>
      </c>
      <c r="B237" s="171" t="n">
        <v>0</v>
      </c>
      <c r="C237" s="171" t="n">
        <v>0</v>
      </c>
      <c r="D237" s="171" t="n">
        <v>0</v>
      </c>
      <c r="E237" s="171" t="n">
        <v>0</v>
      </c>
      <c r="F237" s="170" t="n">
        <v>0</v>
      </c>
      <c r="G237" s="171" t="n">
        <v>0</v>
      </c>
      <c r="H237" s="171" t="n">
        <v>0</v>
      </c>
      <c r="I237" s="171" t="n">
        <v>0</v>
      </c>
      <c r="J237" s="171" t="n">
        <v>0</v>
      </c>
      <c r="K237" s="170" t="n">
        <v>0</v>
      </c>
    </row>
    <row r="238" customFormat="false" ht="15" hidden="false" customHeight="false" outlineLevel="0" collapsed="false">
      <c r="A238" s="78"/>
    </row>
    <row r="239" customFormat="false" ht="15" hidden="false" customHeight="false" outlineLevel="0" collapsed="false">
      <c r="A239" s="78"/>
    </row>
    <row r="240" customFormat="false" ht="31.3" hidden="false" customHeight="false" outlineLevel="0" collapsed="false">
      <c r="A240" s="164" t="s">
        <v>386</v>
      </c>
    </row>
    <row r="241" customFormat="false" ht="14.25" hidden="false" customHeight="true" outlineLevel="0" collapsed="false">
      <c r="A241" s="173" t="s">
        <v>387</v>
      </c>
      <c r="B241" s="52" t="s">
        <v>388</v>
      </c>
      <c r="C241" s="105" t="s">
        <v>175</v>
      </c>
    </row>
    <row r="242" customFormat="false" ht="15" hidden="false" customHeight="false" outlineLevel="0" collapsed="false">
      <c r="A242" s="173"/>
      <c r="B242" s="52" t="s">
        <v>389</v>
      </c>
      <c r="C242" s="105"/>
    </row>
    <row r="243" customFormat="false" ht="16.4" hidden="false" customHeight="false" outlineLevel="0" collapsed="false">
      <c r="A243" s="174" t="s">
        <v>390</v>
      </c>
      <c r="B243" s="31" t="s">
        <v>391</v>
      </c>
      <c r="D243" s="174" t="s">
        <v>392</v>
      </c>
      <c r="E243" s="31" t="s">
        <v>393</v>
      </c>
    </row>
    <row r="244" customFormat="false" ht="15" hidden="false" customHeight="false" outlineLevel="0" collapsed="false">
      <c r="A244" s="175" t="s">
        <v>394</v>
      </c>
    </row>
    <row r="245" customFormat="false" ht="52.5" hidden="false" customHeight="true" outlineLevel="0" collapsed="false">
      <c r="A245" s="176" t="s">
        <v>395</v>
      </c>
      <c r="B245" s="165" t="s">
        <v>337</v>
      </c>
      <c r="C245" s="165"/>
      <c r="D245" s="165"/>
      <c r="E245" s="165"/>
      <c r="F245" s="165"/>
      <c r="G245" s="165" t="s">
        <v>338</v>
      </c>
      <c r="H245" s="165"/>
      <c r="I245" s="165"/>
      <c r="J245" s="165"/>
      <c r="K245" s="165"/>
      <c r="L245" s="165" t="s">
        <v>339</v>
      </c>
      <c r="M245" s="165"/>
      <c r="N245" s="165"/>
      <c r="O245" s="165"/>
      <c r="P245" s="165"/>
      <c r="Q245" s="165" t="s">
        <v>340</v>
      </c>
      <c r="R245" s="165"/>
      <c r="S245" s="165"/>
      <c r="T245" s="165"/>
      <c r="U245" s="165"/>
      <c r="V245" s="165" t="s">
        <v>341</v>
      </c>
      <c r="W245" s="165"/>
      <c r="X245" s="165"/>
      <c r="Y245" s="165"/>
      <c r="Z245" s="165"/>
      <c r="AA245" s="165" t="s">
        <v>342</v>
      </c>
      <c r="AB245" s="165"/>
      <c r="AC245" s="165"/>
      <c r="AD245" s="165"/>
      <c r="AE245" s="165"/>
      <c r="AF245" s="165" t="s">
        <v>343</v>
      </c>
      <c r="AG245" s="165"/>
      <c r="AH245" s="165"/>
      <c r="AI245" s="165"/>
      <c r="AJ245" s="165"/>
      <c r="AK245" s="165" t="s">
        <v>344</v>
      </c>
      <c r="AL245" s="165"/>
      <c r="AM245" s="165"/>
      <c r="AN245" s="165"/>
      <c r="AO245" s="165"/>
      <c r="AP245" s="165" t="s">
        <v>345</v>
      </c>
      <c r="AQ245" s="165"/>
      <c r="AR245" s="165"/>
      <c r="AS245" s="165"/>
      <c r="AT245" s="165"/>
      <c r="AU245" s="165" t="s">
        <v>346</v>
      </c>
      <c r="AV245" s="165"/>
      <c r="AW245" s="165"/>
      <c r="AX245" s="165"/>
      <c r="AY245" s="165"/>
      <c r="AZ245" s="165" t="s">
        <v>347</v>
      </c>
      <c r="BA245" s="165"/>
      <c r="BB245" s="165"/>
      <c r="BC245" s="165"/>
      <c r="BD245" s="165"/>
      <c r="BE245" s="165" t="s">
        <v>348</v>
      </c>
      <c r="BF245" s="165"/>
      <c r="BG245" s="165"/>
      <c r="BH245" s="165"/>
      <c r="BI245" s="165"/>
      <c r="BJ245" s="165" t="s">
        <v>349</v>
      </c>
      <c r="BK245" s="165"/>
      <c r="BL245" s="165"/>
      <c r="BM245" s="165"/>
      <c r="BN245" s="165"/>
      <c r="BO245" s="165" t="s">
        <v>350</v>
      </c>
      <c r="BP245" s="165"/>
      <c r="BQ245" s="165"/>
      <c r="BR245" s="165"/>
      <c r="BS245" s="165"/>
      <c r="BT245" s="165" t="s">
        <v>351</v>
      </c>
      <c r="BU245" s="165"/>
      <c r="BV245" s="165"/>
      <c r="BW245" s="165"/>
      <c r="BX245" s="165"/>
      <c r="BY245" s="165" t="s">
        <v>352</v>
      </c>
      <c r="BZ245" s="165"/>
      <c r="CA245" s="165"/>
      <c r="CB245" s="165"/>
      <c r="CC245" s="165"/>
      <c r="CD245" s="165" t="s">
        <v>353</v>
      </c>
      <c r="CE245" s="165"/>
      <c r="CF245" s="165"/>
      <c r="CG245" s="165"/>
      <c r="CH245" s="165"/>
      <c r="CI245" s="165" t="s">
        <v>354</v>
      </c>
      <c r="CJ245" s="165"/>
      <c r="CK245" s="165"/>
      <c r="CL245" s="165"/>
      <c r="CM245" s="165"/>
      <c r="CN245" s="165" t="s">
        <v>355</v>
      </c>
      <c r="CO245" s="165"/>
      <c r="CP245" s="165"/>
      <c r="CQ245" s="165"/>
      <c r="CR245" s="165"/>
      <c r="CS245" s="165" t="s">
        <v>356</v>
      </c>
      <c r="CT245" s="165"/>
      <c r="CU245" s="165"/>
      <c r="CV245" s="165"/>
      <c r="CW245" s="165"/>
      <c r="CX245" s="165" t="s">
        <v>357</v>
      </c>
      <c r="CY245" s="165"/>
      <c r="CZ245" s="165"/>
      <c r="DA245" s="165"/>
      <c r="DB245" s="165"/>
      <c r="DC245" s="165" t="s">
        <v>358</v>
      </c>
      <c r="DD245" s="165"/>
      <c r="DE245" s="165"/>
      <c r="DF245" s="165"/>
      <c r="DG245" s="165"/>
      <c r="DH245" s="166" t="s">
        <v>359</v>
      </c>
      <c r="DI245" s="166"/>
      <c r="DJ245" s="166"/>
      <c r="DK245" s="167" t="s">
        <v>360</v>
      </c>
      <c r="DL245" s="167" t="n">
        <v>0</v>
      </c>
      <c r="DM245" s="165" t="s">
        <v>361</v>
      </c>
      <c r="DN245" s="165"/>
      <c r="DO245" s="165"/>
      <c r="DP245" s="165"/>
      <c r="DQ245" s="165"/>
      <c r="DR245" s="165" t="s">
        <v>362</v>
      </c>
      <c r="DS245" s="165"/>
      <c r="DT245" s="165"/>
      <c r="DU245" s="165"/>
      <c r="DV245" s="165"/>
      <c r="DW245" s="165" t="s">
        <v>363</v>
      </c>
      <c r="DX245" s="165"/>
      <c r="DY245" s="165"/>
      <c r="DZ245" s="165"/>
      <c r="EA245" s="165"/>
      <c r="EB245" s="165" t="s">
        <v>364</v>
      </c>
      <c r="EC245" s="165"/>
      <c r="ED245" s="165"/>
      <c r="EE245" s="165"/>
      <c r="EF245" s="165"/>
      <c r="EG245" s="165" t="s">
        <v>365</v>
      </c>
      <c r="EH245" s="165"/>
      <c r="EI245" s="165"/>
      <c r="EJ245" s="165"/>
      <c r="EK245" s="165"/>
      <c r="EL245" s="165" t="s">
        <v>366</v>
      </c>
      <c r="EM245" s="165"/>
      <c r="EN245" s="165"/>
      <c r="EO245" s="165"/>
      <c r="EP245" s="165"/>
      <c r="EQ245" s="165" t="s">
        <v>367</v>
      </c>
      <c r="ER245" s="165"/>
      <c r="ES245" s="165"/>
      <c r="ET245" s="165"/>
      <c r="EU245" s="165"/>
      <c r="EV245" s="165" t="s">
        <v>368</v>
      </c>
      <c r="EW245" s="165"/>
      <c r="EX245" s="165"/>
      <c r="EY245" s="165"/>
      <c r="EZ245" s="165"/>
      <c r="FA245" s="165" t="s">
        <v>369</v>
      </c>
      <c r="FB245" s="165"/>
      <c r="FC245" s="165"/>
      <c r="FD245" s="165"/>
      <c r="FE245" s="165"/>
      <c r="FF245" s="165" t="s">
        <v>370</v>
      </c>
      <c r="FG245" s="165"/>
      <c r="FH245" s="165"/>
      <c r="FI245" s="165"/>
      <c r="FJ245" s="165"/>
      <c r="FK245" s="165" t="s">
        <v>371</v>
      </c>
      <c r="FL245" s="165"/>
      <c r="FM245" s="165"/>
      <c r="FN245" s="165"/>
      <c r="FO245" s="165"/>
      <c r="FP245" s="165" t="s">
        <v>372</v>
      </c>
      <c r="FQ245" s="165"/>
      <c r="FR245" s="165"/>
      <c r="FS245" s="165"/>
      <c r="FT245" s="165"/>
      <c r="FU245" s="165" t="s">
        <v>373</v>
      </c>
      <c r="FV245" s="165"/>
      <c r="FW245" s="165"/>
      <c r="FX245" s="165"/>
      <c r="FY245" s="165"/>
    </row>
    <row r="246" customFormat="false" ht="15" hidden="false" customHeight="false" outlineLevel="0" collapsed="false">
      <c r="A246" s="78"/>
      <c r="B246" s="31" t="s">
        <v>374</v>
      </c>
      <c r="C246" s="31" t="s">
        <v>375</v>
      </c>
      <c r="D246" s="31" t="s">
        <v>376</v>
      </c>
      <c r="E246" s="31" t="s">
        <v>377</v>
      </c>
      <c r="F246" s="31" t="s">
        <v>378</v>
      </c>
      <c r="G246" s="31" t="s">
        <v>374</v>
      </c>
      <c r="H246" s="31" t="s">
        <v>375</v>
      </c>
      <c r="I246" s="31" t="s">
        <v>376</v>
      </c>
      <c r="J246" s="31" t="s">
        <v>377</v>
      </c>
      <c r="K246" s="31" t="s">
        <v>378</v>
      </c>
      <c r="L246" s="31" t="s">
        <v>374</v>
      </c>
      <c r="M246" s="31" t="s">
        <v>375</v>
      </c>
      <c r="N246" s="31" t="s">
        <v>376</v>
      </c>
      <c r="O246" s="31" t="s">
        <v>377</v>
      </c>
      <c r="P246" s="31" t="s">
        <v>378</v>
      </c>
      <c r="Q246" s="31" t="s">
        <v>374</v>
      </c>
      <c r="R246" s="31" t="s">
        <v>375</v>
      </c>
      <c r="S246" s="31" t="s">
        <v>376</v>
      </c>
      <c r="T246" s="31" t="s">
        <v>377</v>
      </c>
      <c r="U246" s="31" t="s">
        <v>378</v>
      </c>
      <c r="V246" s="31" t="s">
        <v>374</v>
      </c>
      <c r="W246" s="31" t="s">
        <v>375</v>
      </c>
      <c r="X246" s="31" t="s">
        <v>376</v>
      </c>
      <c r="Y246" s="31" t="s">
        <v>377</v>
      </c>
      <c r="Z246" s="31" t="s">
        <v>378</v>
      </c>
      <c r="AA246" s="31" t="s">
        <v>374</v>
      </c>
      <c r="AB246" s="31" t="s">
        <v>375</v>
      </c>
      <c r="AC246" s="31" t="s">
        <v>376</v>
      </c>
      <c r="AD246" s="31" t="s">
        <v>377</v>
      </c>
      <c r="AE246" s="31" t="s">
        <v>378</v>
      </c>
      <c r="AF246" s="31" t="s">
        <v>374</v>
      </c>
      <c r="AG246" s="31" t="s">
        <v>375</v>
      </c>
      <c r="AH246" s="31" t="s">
        <v>376</v>
      </c>
      <c r="AI246" s="31" t="s">
        <v>377</v>
      </c>
      <c r="AJ246" s="31" t="s">
        <v>378</v>
      </c>
      <c r="AK246" s="31" t="s">
        <v>374</v>
      </c>
      <c r="AL246" s="31" t="s">
        <v>375</v>
      </c>
      <c r="AM246" s="31" t="s">
        <v>376</v>
      </c>
      <c r="AN246" s="31" t="s">
        <v>377</v>
      </c>
      <c r="AO246" s="31" t="s">
        <v>378</v>
      </c>
      <c r="AP246" s="31" t="s">
        <v>374</v>
      </c>
      <c r="AQ246" s="31" t="s">
        <v>375</v>
      </c>
      <c r="AR246" s="31" t="s">
        <v>376</v>
      </c>
      <c r="AS246" s="31" t="s">
        <v>377</v>
      </c>
      <c r="AT246" s="31" t="s">
        <v>378</v>
      </c>
      <c r="AU246" s="31" t="s">
        <v>374</v>
      </c>
      <c r="AV246" s="31" t="s">
        <v>375</v>
      </c>
      <c r="AW246" s="31" t="s">
        <v>376</v>
      </c>
      <c r="AX246" s="31" t="s">
        <v>377</v>
      </c>
      <c r="AY246" s="31" t="s">
        <v>378</v>
      </c>
      <c r="AZ246" s="31" t="s">
        <v>374</v>
      </c>
      <c r="BA246" s="31" t="s">
        <v>375</v>
      </c>
      <c r="BB246" s="31" t="s">
        <v>376</v>
      </c>
      <c r="BC246" s="31" t="s">
        <v>377</v>
      </c>
      <c r="BD246" s="31" t="s">
        <v>378</v>
      </c>
      <c r="BE246" s="31" t="s">
        <v>374</v>
      </c>
      <c r="BF246" s="31" t="s">
        <v>375</v>
      </c>
      <c r="BG246" s="31" t="s">
        <v>376</v>
      </c>
      <c r="BH246" s="31" t="s">
        <v>377</v>
      </c>
      <c r="BI246" s="31" t="s">
        <v>378</v>
      </c>
      <c r="BJ246" s="31" t="s">
        <v>374</v>
      </c>
      <c r="BK246" s="31" t="s">
        <v>375</v>
      </c>
      <c r="BL246" s="31" t="s">
        <v>376</v>
      </c>
      <c r="BM246" s="31" t="s">
        <v>377</v>
      </c>
      <c r="BN246" s="31" t="s">
        <v>378</v>
      </c>
      <c r="BO246" s="31" t="s">
        <v>374</v>
      </c>
      <c r="BP246" s="31" t="s">
        <v>375</v>
      </c>
      <c r="BQ246" s="31" t="s">
        <v>376</v>
      </c>
      <c r="BR246" s="31" t="s">
        <v>377</v>
      </c>
      <c r="BS246" s="31" t="s">
        <v>378</v>
      </c>
      <c r="BT246" s="31" t="s">
        <v>374</v>
      </c>
      <c r="BU246" s="31" t="s">
        <v>375</v>
      </c>
      <c r="BV246" s="31" t="s">
        <v>376</v>
      </c>
      <c r="BW246" s="31" t="s">
        <v>377</v>
      </c>
      <c r="BX246" s="31" t="s">
        <v>378</v>
      </c>
      <c r="BY246" s="31" t="s">
        <v>374</v>
      </c>
      <c r="BZ246" s="31" t="s">
        <v>375</v>
      </c>
      <c r="CA246" s="31" t="s">
        <v>376</v>
      </c>
      <c r="CB246" s="31" t="s">
        <v>377</v>
      </c>
      <c r="CC246" s="31" t="s">
        <v>378</v>
      </c>
      <c r="CD246" s="31" t="s">
        <v>374</v>
      </c>
      <c r="CE246" s="31" t="s">
        <v>375</v>
      </c>
      <c r="CF246" s="31" t="s">
        <v>376</v>
      </c>
      <c r="CG246" s="31" t="s">
        <v>377</v>
      </c>
      <c r="CH246" s="31" t="s">
        <v>378</v>
      </c>
      <c r="CI246" s="31" t="s">
        <v>374</v>
      </c>
      <c r="CJ246" s="31" t="s">
        <v>375</v>
      </c>
      <c r="CK246" s="31" t="s">
        <v>376</v>
      </c>
      <c r="CL246" s="31" t="s">
        <v>377</v>
      </c>
      <c r="CM246" s="31" t="s">
        <v>378</v>
      </c>
      <c r="CN246" s="31" t="s">
        <v>374</v>
      </c>
      <c r="CO246" s="31" t="s">
        <v>375</v>
      </c>
      <c r="CP246" s="31" t="s">
        <v>376</v>
      </c>
      <c r="CQ246" s="31" t="s">
        <v>377</v>
      </c>
      <c r="CR246" s="31" t="s">
        <v>378</v>
      </c>
      <c r="CS246" s="31" t="s">
        <v>374</v>
      </c>
      <c r="CT246" s="31" t="s">
        <v>375</v>
      </c>
      <c r="CU246" s="31" t="s">
        <v>376</v>
      </c>
      <c r="CV246" s="31" t="s">
        <v>377</v>
      </c>
      <c r="CW246" s="31" t="s">
        <v>378</v>
      </c>
      <c r="CX246" s="31" t="s">
        <v>374</v>
      </c>
      <c r="CY246" s="31" t="s">
        <v>375</v>
      </c>
      <c r="CZ246" s="31" t="s">
        <v>376</v>
      </c>
      <c r="DA246" s="31" t="s">
        <v>377</v>
      </c>
      <c r="DB246" s="31" t="s">
        <v>378</v>
      </c>
      <c r="DC246" s="31" t="s">
        <v>374</v>
      </c>
      <c r="DD246" s="31" t="s">
        <v>375</v>
      </c>
      <c r="DE246" s="31" t="s">
        <v>376</v>
      </c>
      <c r="DF246" s="31" t="s">
        <v>377</v>
      </c>
      <c r="DG246" s="31" t="s">
        <v>378</v>
      </c>
      <c r="DH246" s="140" t="s">
        <v>374</v>
      </c>
      <c r="DI246" s="140" t="s">
        <v>375</v>
      </c>
      <c r="DJ246" s="140" t="s">
        <v>376</v>
      </c>
      <c r="DK246" s="140" t="s">
        <v>377</v>
      </c>
      <c r="DL246" s="31" t="s">
        <v>378</v>
      </c>
      <c r="DM246" s="31" t="s">
        <v>374</v>
      </c>
      <c r="DN246" s="31" t="s">
        <v>375</v>
      </c>
      <c r="DO246" s="31" t="s">
        <v>376</v>
      </c>
      <c r="DP246" s="31" t="s">
        <v>377</v>
      </c>
      <c r="DQ246" s="31" t="s">
        <v>378</v>
      </c>
      <c r="DR246" s="31" t="s">
        <v>374</v>
      </c>
      <c r="DS246" s="31" t="s">
        <v>375</v>
      </c>
      <c r="DT246" s="31" t="s">
        <v>376</v>
      </c>
      <c r="DU246" s="31" t="s">
        <v>377</v>
      </c>
      <c r="DV246" s="31" t="s">
        <v>378</v>
      </c>
      <c r="DW246" s="31" t="s">
        <v>374</v>
      </c>
      <c r="DX246" s="31" t="s">
        <v>375</v>
      </c>
      <c r="DY246" s="31" t="s">
        <v>376</v>
      </c>
      <c r="DZ246" s="31" t="s">
        <v>377</v>
      </c>
      <c r="EA246" s="31" t="s">
        <v>378</v>
      </c>
      <c r="EB246" s="31" t="s">
        <v>374</v>
      </c>
      <c r="EC246" s="31" t="s">
        <v>375</v>
      </c>
      <c r="ED246" s="31" t="s">
        <v>376</v>
      </c>
      <c r="EE246" s="31" t="s">
        <v>377</v>
      </c>
      <c r="EF246" s="31" t="s">
        <v>378</v>
      </c>
      <c r="EG246" s="31" t="s">
        <v>374</v>
      </c>
      <c r="EH246" s="31" t="s">
        <v>375</v>
      </c>
      <c r="EI246" s="31" t="s">
        <v>376</v>
      </c>
      <c r="EJ246" s="31" t="s">
        <v>377</v>
      </c>
      <c r="EK246" s="31" t="s">
        <v>378</v>
      </c>
      <c r="EL246" s="31" t="s">
        <v>374</v>
      </c>
      <c r="EM246" s="31" t="s">
        <v>375</v>
      </c>
      <c r="EN246" s="31" t="s">
        <v>376</v>
      </c>
      <c r="EO246" s="31" t="s">
        <v>377</v>
      </c>
      <c r="EP246" s="31" t="s">
        <v>378</v>
      </c>
      <c r="EQ246" s="31" t="s">
        <v>374</v>
      </c>
      <c r="ER246" s="31" t="s">
        <v>375</v>
      </c>
      <c r="ES246" s="31" t="s">
        <v>376</v>
      </c>
      <c r="ET246" s="31" t="s">
        <v>377</v>
      </c>
      <c r="EU246" s="31" t="s">
        <v>378</v>
      </c>
      <c r="EV246" s="31" t="s">
        <v>374</v>
      </c>
      <c r="EW246" s="31" t="s">
        <v>375</v>
      </c>
      <c r="EX246" s="31" t="s">
        <v>376</v>
      </c>
      <c r="EY246" s="31" t="s">
        <v>377</v>
      </c>
      <c r="EZ246" s="31" t="s">
        <v>378</v>
      </c>
      <c r="FA246" s="31" t="s">
        <v>374</v>
      </c>
      <c r="FB246" s="31" t="s">
        <v>375</v>
      </c>
      <c r="FC246" s="31" t="s">
        <v>376</v>
      </c>
      <c r="FD246" s="31" t="s">
        <v>377</v>
      </c>
      <c r="FE246" s="31" t="s">
        <v>378</v>
      </c>
      <c r="FF246" s="31" t="s">
        <v>374</v>
      </c>
      <c r="FG246" s="31" t="s">
        <v>375</v>
      </c>
      <c r="FH246" s="31" t="s">
        <v>376</v>
      </c>
      <c r="FI246" s="31" t="s">
        <v>377</v>
      </c>
      <c r="FJ246" s="31" t="s">
        <v>378</v>
      </c>
      <c r="FK246" s="31" t="s">
        <v>374</v>
      </c>
      <c r="FL246" s="31" t="s">
        <v>375</v>
      </c>
      <c r="FM246" s="31" t="s">
        <v>376</v>
      </c>
      <c r="FN246" s="31" t="s">
        <v>377</v>
      </c>
      <c r="FO246" s="31" t="s">
        <v>378</v>
      </c>
      <c r="FP246" s="31" t="s">
        <v>374</v>
      </c>
      <c r="FQ246" s="31" t="s">
        <v>375</v>
      </c>
      <c r="FR246" s="31" t="s">
        <v>376</v>
      </c>
      <c r="FS246" s="31" t="s">
        <v>377</v>
      </c>
      <c r="FT246" s="31" t="s">
        <v>378</v>
      </c>
      <c r="FU246" s="31" t="s">
        <v>374</v>
      </c>
      <c r="FV246" s="31" t="s">
        <v>375</v>
      </c>
      <c r="FW246" s="31" t="s">
        <v>376</v>
      </c>
      <c r="FX246" s="31" t="s">
        <v>377</v>
      </c>
      <c r="FY246" s="31" t="s">
        <v>378</v>
      </c>
    </row>
    <row r="247" customFormat="false" ht="16.4" hidden="false" customHeight="false" outlineLevel="0" collapsed="false">
      <c r="A247" s="174" t="s">
        <v>396</v>
      </c>
      <c r="B247" s="30" t="n">
        <v>0.6750516890263</v>
      </c>
      <c r="C247" s="30" t="n">
        <v>0.0510942878679188</v>
      </c>
      <c r="D247" s="30" t="n">
        <v>2.62911863403387</v>
      </c>
      <c r="E247" s="30" t="n">
        <v>0.260234081175191</v>
      </c>
      <c r="F247" s="30" t="n">
        <v>0.254453630249139</v>
      </c>
      <c r="G247" s="30" t="n">
        <v>1.3283417503967</v>
      </c>
      <c r="H247" s="30" t="n">
        <v>0.216619824252217</v>
      </c>
      <c r="I247" s="30" t="n">
        <v>1.19570220906588</v>
      </c>
      <c r="J247" s="30" t="n">
        <v>4.66277570791695</v>
      </c>
      <c r="K247" s="30" t="n">
        <v>1.18704845165241</v>
      </c>
      <c r="L247" s="30" t="n">
        <v>0.411626216911533</v>
      </c>
      <c r="M247" s="30" t="n">
        <v>0.120106306553901</v>
      </c>
      <c r="N247" s="30" t="n">
        <v>0.436954905287924</v>
      </c>
      <c r="O247" s="30" t="n">
        <v>0.333934656077224</v>
      </c>
      <c r="P247" s="30" t="n">
        <v>0.970447618444432</v>
      </c>
      <c r="Q247" s="30" t="n">
        <v>0.702407897351298</v>
      </c>
      <c r="R247" s="30" t="n">
        <v>0.187575496682129</v>
      </c>
      <c r="S247" s="30" t="n">
        <v>0.390441886525578</v>
      </c>
      <c r="T247" s="30" t="n">
        <v>0.233200309534118</v>
      </c>
      <c r="U247" s="30" t="n">
        <v>0.497242912892324</v>
      </c>
      <c r="V247" s="30" t="n">
        <v>0.257570487271157</v>
      </c>
      <c r="W247" s="30" t="n">
        <v>0.0722096977320404</v>
      </c>
      <c r="X247" s="30" t="n">
        <v>0.323739665899489</v>
      </c>
      <c r="Y247" s="30" t="n">
        <v>0.0823960205306156</v>
      </c>
      <c r="Z247" s="30" t="n">
        <v>0.202486877090432</v>
      </c>
      <c r="AA247" s="30" t="n">
        <v>0.677783793231337</v>
      </c>
      <c r="AB247" s="30" t="n">
        <v>0.178755051947868</v>
      </c>
      <c r="AC247" s="30" t="n">
        <v>0.573425420586137</v>
      </c>
      <c r="AD247" s="30" t="n">
        <v>0.246573794513261</v>
      </c>
      <c r="AE247" s="30" t="n">
        <v>1.4033225078919</v>
      </c>
      <c r="AF247" s="30" t="n">
        <v>1.06762092739865</v>
      </c>
      <c r="AG247" s="30" t="n">
        <v>0.270184207174555</v>
      </c>
      <c r="AH247" s="30" t="n">
        <v>0.412706024909926</v>
      </c>
      <c r="AI247" s="30" t="n">
        <v>0.460511324381507</v>
      </c>
      <c r="AJ247" s="30" t="n">
        <v>1.67114614923083</v>
      </c>
      <c r="AK247" s="30" t="n">
        <v>0.706912387002718</v>
      </c>
      <c r="AL247" s="30" t="n">
        <v>0.721964121049831</v>
      </c>
      <c r="AM247" s="30" t="n">
        <v>7.19251400186161</v>
      </c>
      <c r="AN247" s="30" t="n">
        <v>2.0365279736233</v>
      </c>
      <c r="AO247" s="30" t="n">
        <v>0.581302866704845</v>
      </c>
      <c r="AP247" s="30" t="n">
        <v>1.51459974828503</v>
      </c>
      <c r="AQ247" s="30" t="n">
        <v>0.669743068585975</v>
      </c>
      <c r="AR247" s="30" t="n">
        <v>1.14787789861261</v>
      </c>
      <c r="AS247" s="30" t="n">
        <v>1.43936435037349</v>
      </c>
      <c r="AT247" s="30" t="n">
        <v>1.0175599074126</v>
      </c>
      <c r="AU247" s="30" t="n">
        <v>1.73611014300962</v>
      </c>
      <c r="AV247" s="30" t="n">
        <v>0.243921797736897</v>
      </c>
      <c r="AW247" s="30" t="n">
        <v>1.59707255186028</v>
      </c>
      <c r="AX247" s="30" t="n">
        <v>0.988506771535562</v>
      </c>
      <c r="AY247" s="30" t="n">
        <v>2.33995545498264</v>
      </c>
      <c r="AZ247" s="30" t="n">
        <v>1.95197536822884</v>
      </c>
      <c r="BA247" s="30" t="n">
        <v>0.128754834699087</v>
      </c>
      <c r="BB247" s="30" t="n">
        <v>1.78498551045562</v>
      </c>
      <c r="BC247" s="30" t="n">
        <v>1.64611432649006</v>
      </c>
      <c r="BD247" s="30" t="n">
        <v>8.31214949821282</v>
      </c>
      <c r="BE247" s="30" t="n">
        <v>2.19480244602311</v>
      </c>
      <c r="BF247" s="30" t="n">
        <v>0.223249463396342</v>
      </c>
      <c r="BG247" s="30" t="n">
        <v>0.389259710531579</v>
      </c>
      <c r="BH247" s="30" t="n">
        <v>1.12000650774837</v>
      </c>
      <c r="BI247" s="30" t="n">
        <v>2.74096286220382</v>
      </c>
      <c r="BJ247" s="30" t="n">
        <v>0.324095429192924</v>
      </c>
      <c r="BK247" s="30" t="n">
        <v>0.0494909959322901</v>
      </c>
      <c r="BL247" s="30" t="n">
        <v>0.19970663635058</v>
      </c>
      <c r="BM247" s="30" t="n">
        <v>0.122871570331517</v>
      </c>
      <c r="BN247" s="30" t="n">
        <v>0.16728426817746</v>
      </c>
      <c r="BO247" s="30" t="n">
        <v>0.216582423833204</v>
      </c>
      <c r="BP247" s="30" t="n">
        <v>0.019164866737161</v>
      </c>
      <c r="BQ247" s="30" t="n">
        <v>0.161117872047018</v>
      </c>
      <c r="BR247" s="30" t="n">
        <v>0.0696880791985734</v>
      </c>
      <c r="BS247" s="30" t="n">
        <v>0.026689358813394</v>
      </c>
      <c r="BT247" s="30" t="n">
        <v>0.261991508082564</v>
      </c>
      <c r="BU247" s="30" t="n">
        <v>0.049945510007376</v>
      </c>
      <c r="BV247" s="30" t="n">
        <v>0.148610140641578</v>
      </c>
      <c r="BW247" s="30" t="n">
        <v>0.110171715083225</v>
      </c>
      <c r="BX247" s="30" t="n">
        <v>0.0963991095174627</v>
      </c>
      <c r="BY247" s="30" t="n">
        <v>0.817073910627103</v>
      </c>
      <c r="BZ247" s="30" t="n">
        <v>0.195326355095624</v>
      </c>
      <c r="CA247" s="30" t="n">
        <v>1.53687059086135</v>
      </c>
      <c r="CB247" s="30" t="n">
        <v>0.692203406799194</v>
      </c>
      <c r="CC247" s="30" t="n">
        <v>1.04995255922894</v>
      </c>
      <c r="CD247" s="30" t="n">
        <v>2.85747288372126</v>
      </c>
      <c r="CE247" s="30" t="n">
        <v>0.23420824672911</v>
      </c>
      <c r="CF247" s="30" t="n">
        <v>0.479982908595301</v>
      </c>
      <c r="CG247" s="30" t="n">
        <v>2.73119171262086</v>
      </c>
      <c r="CH247" s="30" t="n">
        <v>2.47366288294792</v>
      </c>
      <c r="CI247" s="30" t="n">
        <v>0.104738268920659</v>
      </c>
      <c r="CJ247" s="30" t="n">
        <v>0.00995205666152553</v>
      </c>
      <c r="CK247" s="30" t="n">
        <v>0.667369225996975</v>
      </c>
      <c r="CL247" s="30" t="n">
        <v>0.0637982613667247</v>
      </c>
      <c r="CM247" s="30" t="n">
        <v>0.0933828698886065</v>
      </c>
      <c r="CN247" s="30" t="n">
        <v>0.318072531836175</v>
      </c>
      <c r="CO247" s="30" t="n">
        <v>0.0317373555049949</v>
      </c>
      <c r="CP247" s="30" t="n">
        <v>0.480221006065384</v>
      </c>
      <c r="CQ247" s="30" t="n">
        <v>0.113555332303892</v>
      </c>
      <c r="CR247" s="30" t="n">
        <v>0.0146886167669856</v>
      </c>
      <c r="CS247" s="30" t="n">
        <v>0.199851830456028</v>
      </c>
      <c r="CT247" s="30" t="n">
        <v>0.0397430930281387</v>
      </c>
      <c r="CU247" s="30" t="n">
        <v>0.410682033252801</v>
      </c>
      <c r="CV247" s="30" t="n">
        <v>0.0591093360034018</v>
      </c>
      <c r="CW247" s="30" t="n">
        <v>0.0232669871177717</v>
      </c>
      <c r="CX247" s="30" t="n">
        <v>0.476284967386667</v>
      </c>
      <c r="CY247" s="30" t="n">
        <v>0.0358369539506182</v>
      </c>
      <c r="CZ247" s="30" t="n">
        <v>0.930146671805007</v>
      </c>
      <c r="DA247" s="30" t="n">
        <v>0.177020471261964</v>
      </c>
      <c r="DB247" s="30" t="n">
        <v>0.0194947810052268</v>
      </c>
      <c r="DC247" s="30" t="n">
        <v>0.816234068512467</v>
      </c>
      <c r="DD247" s="30" t="n">
        <v>0.0511994977092531</v>
      </c>
      <c r="DE247" s="30" t="n">
        <v>0.94101911196563</v>
      </c>
      <c r="DF247" s="30" t="n">
        <v>0.405675491520472</v>
      </c>
      <c r="DG247" s="30" t="n">
        <v>0.403935817625079</v>
      </c>
      <c r="DH247" s="30" t="n">
        <v>0.426985238182552</v>
      </c>
      <c r="DI247" s="30" t="n">
        <v>0</v>
      </c>
      <c r="DJ247" s="30" t="n">
        <v>6.03997682472478</v>
      </c>
      <c r="DK247" s="30" t="n">
        <v>1.58529839300859</v>
      </c>
      <c r="DL247" s="30" t="n">
        <v>0.0691376588125263</v>
      </c>
      <c r="DM247" s="30" t="n">
        <v>1.79643577722684E-005</v>
      </c>
      <c r="DN247" s="30" t="n">
        <v>0</v>
      </c>
      <c r="DO247" s="30" t="n">
        <v>23.6284519796705</v>
      </c>
      <c r="DP247" s="30" t="n">
        <v>2.67502700628266E-006</v>
      </c>
      <c r="DQ247" s="30" t="n">
        <v>0.00979235053287537</v>
      </c>
      <c r="DR247" s="30" t="n">
        <v>0</v>
      </c>
      <c r="DS247" s="30" t="n">
        <v>0</v>
      </c>
      <c r="DT247" s="30" t="n">
        <v>25.0856884022442</v>
      </c>
      <c r="DU247" s="30" t="n">
        <v>1.8955822151764E-005</v>
      </c>
      <c r="DV247" s="30" t="n">
        <v>1.49272736667712E-006</v>
      </c>
      <c r="DW247" s="30" t="n">
        <v>0.385387817272461</v>
      </c>
      <c r="DX247" s="30" t="n">
        <v>0.0894167229283429</v>
      </c>
      <c r="DY247" s="30" t="n">
        <v>2.499832934789</v>
      </c>
      <c r="DZ247" s="30" t="n">
        <v>0.104646096355553</v>
      </c>
      <c r="EA247" s="30" t="n">
        <v>0.0358332240499424</v>
      </c>
      <c r="EB247" s="30" t="n">
        <v>0.260025663572746</v>
      </c>
      <c r="EC247" s="30" t="n">
        <v>0.0246470801131046</v>
      </c>
      <c r="ED247" s="30" t="n">
        <v>0.429852686313705</v>
      </c>
      <c r="EE247" s="30" t="n">
        <v>0.195722998339221</v>
      </c>
      <c r="EF247" s="30" t="n">
        <v>0.00632167139261299</v>
      </c>
      <c r="EG247" s="30" t="n">
        <v>0.131409056074476</v>
      </c>
      <c r="EH247" s="30" t="n">
        <v>0.0130423164071394</v>
      </c>
      <c r="EI247" s="30" t="n">
        <v>0.189642374427881</v>
      </c>
      <c r="EJ247" s="30" t="n">
        <v>0.0412757712053878</v>
      </c>
      <c r="EK247" s="30" t="n">
        <v>0.00352348572153754</v>
      </c>
      <c r="EL247" s="30" t="n">
        <v>0.278330462248868</v>
      </c>
      <c r="EM247" s="30" t="n">
        <v>0.0489440774223038</v>
      </c>
      <c r="EN247" s="30" t="n">
        <v>0.0979735380526657</v>
      </c>
      <c r="EO247" s="30" t="n">
        <v>0.0729654632524095</v>
      </c>
      <c r="EP247" s="30" t="n">
        <v>0.0149440203014114</v>
      </c>
      <c r="EQ247" s="30" t="n">
        <v>0.193785812294351</v>
      </c>
      <c r="ER247" s="30" t="n">
        <v>0.0182327483816318</v>
      </c>
      <c r="ES247" s="30" t="n">
        <v>0.512903730388795</v>
      </c>
      <c r="ET247" s="30" t="n">
        <v>0.103563634999209</v>
      </c>
      <c r="EU247" s="30" t="n">
        <v>0.0297555885234137</v>
      </c>
      <c r="EV247" s="30" t="n">
        <v>0.526111382334883</v>
      </c>
      <c r="EW247" s="30" t="n">
        <v>0.0420666807269213</v>
      </c>
      <c r="EX247" s="30" t="n">
        <v>0.839994674858347</v>
      </c>
      <c r="EY247" s="30" t="n">
        <v>0.794258987880708</v>
      </c>
      <c r="EZ247" s="30" t="n">
        <v>0.082128427517319</v>
      </c>
      <c r="FA247" s="30" t="n">
        <v>0.741378349143948</v>
      </c>
      <c r="FB247" s="30" t="n">
        <v>0.0691462477230877</v>
      </c>
      <c r="FC247" s="30" t="n">
        <v>0.850083084793572</v>
      </c>
      <c r="FD247" s="30" t="n">
        <v>0.210821693031492</v>
      </c>
      <c r="FE247" s="30" t="n">
        <v>0.114546005930678</v>
      </c>
      <c r="FF247" s="30" t="n">
        <v>0.392701815730974</v>
      </c>
      <c r="FG247" s="30" t="n">
        <v>0.0392434145450208</v>
      </c>
      <c r="FH247" s="30" t="n">
        <v>0.753856141811599</v>
      </c>
      <c r="FI247" s="30" t="n">
        <v>0.153047089869717</v>
      </c>
      <c r="FJ247" s="30" t="n">
        <v>0.0789741172107411</v>
      </c>
      <c r="FK247" s="30" t="n">
        <v>0.452237169807247</v>
      </c>
      <c r="FL247" s="30" t="n">
        <v>0.0749919850281646</v>
      </c>
      <c r="FM247" s="30" t="n">
        <v>0.927888044563641</v>
      </c>
      <c r="FN247" s="30" t="n">
        <v>0.197406512641192</v>
      </c>
      <c r="FO247" s="30" t="n">
        <v>0.0813764299006377</v>
      </c>
      <c r="FP247" s="30" t="n">
        <v>0</v>
      </c>
      <c r="FQ247" s="30" t="n">
        <v>0</v>
      </c>
      <c r="FR247" s="30" t="n">
        <v>0</v>
      </c>
      <c r="FS247" s="30" t="n">
        <v>0</v>
      </c>
      <c r="FT247" s="30" t="n">
        <v>0</v>
      </c>
      <c r="FU247" s="30" t="n">
        <v>0.668275972558369</v>
      </c>
      <c r="FV247" s="30" t="n">
        <v>0.158901439155964</v>
      </c>
      <c r="FW247" s="30" t="n">
        <v>1.57877870665412</v>
      </c>
      <c r="FX247" s="30" t="n">
        <v>0.690080675387289</v>
      </c>
      <c r="FY247" s="30" t="n">
        <v>1.45256951961667</v>
      </c>
    </row>
    <row r="248" customFormat="false" ht="15" hidden="false" customHeight="false" outlineLevel="0" collapsed="false">
      <c r="A248" s="175" t="s">
        <v>397</v>
      </c>
      <c r="B248" s="175"/>
    </row>
    <row r="249" customFormat="false" ht="31.3" hidden="false" customHeight="false" outlineLevel="0" collapsed="false">
      <c r="A249" s="174" t="s">
        <v>398</v>
      </c>
      <c r="B249" s="30" t="s">
        <v>36</v>
      </c>
      <c r="C249" s="31" t="s">
        <v>398</v>
      </c>
      <c r="D249" s="27"/>
    </row>
    <row r="250" customFormat="false" ht="31.3" hidden="false" customHeight="false" outlineLevel="0" collapsed="false">
      <c r="A250" s="174" t="s">
        <v>399</v>
      </c>
      <c r="B250" s="30" t="s">
        <v>327</v>
      </c>
      <c r="C250" s="177" t="s">
        <v>399</v>
      </c>
      <c r="D250" s="27"/>
    </row>
    <row r="251" customFormat="false" ht="15" hidden="false" customHeight="false" outlineLevel="0" collapsed="false">
      <c r="A251" s="78"/>
    </row>
    <row r="252" customFormat="false" ht="15" hidden="false" customHeight="false" outlineLevel="0" collapsed="false">
      <c r="A252" s="78"/>
    </row>
    <row r="253" customFormat="false" ht="15" hidden="false" customHeight="false" outlineLevel="0" collapsed="false">
      <c r="A253" s="78"/>
    </row>
    <row r="254" customFormat="false" ht="15" hidden="false" customHeight="false" outlineLevel="0" collapsed="false">
      <c r="A254" s="78"/>
    </row>
    <row r="255" customFormat="false" ht="14.25" hidden="false" customHeight="true" outlineLevel="0" collapsed="false">
      <c r="A255" s="178" t="s">
        <v>400</v>
      </c>
      <c r="B255" s="178"/>
      <c r="C255" s="178"/>
      <c r="D255" s="178"/>
      <c r="E255" s="179"/>
      <c r="F255" s="179"/>
    </row>
    <row r="256" customFormat="false" ht="28.5" hidden="false" customHeight="true" outlineLevel="0" collapsed="false">
      <c r="A256" s="180" t="s">
        <v>401</v>
      </c>
      <c r="B256" s="104" t="s">
        <v>402</v>
      </c>
      <c r="C256" s="181"/>
      <c r="D256" s="182"/>
      <c r="F256" s="181"/>
    </row>
    <row r="257" customFormat="false" ht="14.25" hidden="false" customHeight="true" outlineLevel="0" collapsed="false">
      <c r="A257" s="183" t="s">
        <v>403</v>
      </c>
      <c r="B257" s="115" t="s">
        <v>404</v>
      </c>
      <c r="C257" s="53" t="s">
        <v>405</v>
      </c>
      <c r="D257" s="184" t="s">
        <v>406</v>
      </c>
      <c r="E257" s="52" t="s">
        <v>404</v>
      </c>
      <c r="F257" s="53" t="s">
        <v>407</v>
      </c>
    </row>
    <row r="258" customFormat="false" ht="15" hidden="false" customHeight="false" outlineLevel="0" collapsed="false">
      <c r="A258" s="183"/>
      <c r="B258" s="52" t="s">
        <v>408</v>
      </c>
      <c r="C258" s="53"/>
      <c r="D258" s="53"/>
      <c r="E258" s="52" t="s">
        <v>408</v>
      </c>
      <c r="F258" s="53"/>
    </row>
    <row r="259" customFormat="false" ht="15" hidden="false" customHeight="false" outlineLevel="0" collapsed="false">
      <c r="A259" s="183"/>
      <c r="B259" s="52" t="s">
        <v>409</v>
      </c>
      <c r="C259" s="53"/>
      <c r="D259" s="53"/>
      <c r="E259" s="52" t="s">
        <v>409</v>
      </c>
      <c r="F259" s="53"/>
    </row>
    <row r="260" customFormat="false" ht="47.25" hidden="false" customHeight="true" outlineLevel="0" collapsed="false">
      <c r="A260" s="174" t="s">
        <v>410</v>
      </c>
      <c r="B260" s="30" t="s">
        <v>411</v>
      </c>
      <c r="C260" s="185" t="s">
        <v>412</v>
      </c>
      <c r="D260" s="60" t="s">
        <v>413</v>
      </c>
      <c r="E260" s="30" t="s">
        <v>411</v>
      </c>
      <c r="F260" s="185" t="s">
        <v>414</v>
      </c>
    </row>
    <row r="267" customFormat="false" ht="15" hidden="false" customHeight="false" outlineLevel="0" collapsed="false">
      <c r="A267" s="144" t="s">
        <v>415</v>
      </c>
      <c r="B267" s="144"/>
      <c r="C267" s="144"/>
    </row>
    <row r="268" customFormat="false" ht="15" hidden="false" customHeight="false" outlineLevel="0" collapsed="false">
      <c r="A268" s="143" t="s">
        <v>416</v>
      </c>
      <c r="B268" s="30" t="s">
        <v>28</v>
      </c>
      <c r="C268" s="31" t="s">
        <v>417</v>
      </c>
    </row>
    <row r="269" customFormat="false" ht="15" hidden="false" customHeight="false" outlineLevel="0" collapsed="false">
      <c r="A269" s="83"/>
      <c r="B269" s="30"/>
      <c r="C269" s="31"/>
    </row>
    <row r="270" customFormat="false" ht="15" hidden="false" customHeight="false" outlineLevel="0" collapsed="false">
      <c r="A270" s="83" t="s">
        <v>418</v>
      </c>
      <c r="B270" s="30" t="s">
        <v>125</v>
      </c>
      <c r="C270" s="31" t="s">
        <v>419</v>
      </c>
    </row>
    <row r="271" customFormat="false" ht="15" hidden="false" customHeight="false" outlineLevel="0" collapsed="false">
      <c r="A271" s="83" t="s">
        <v>420</v>
      </c>
      <c r="B271" s="30" t="s">
        <v>421</v>
      </c>
      <c r="C271" s="31" t="s">
        <v>422</v>
      </c>
      <c r="D271" s="83" t="s">
        <v>423</v>
      </c>
      <c r="E271" s="1" t="n">
        <v>2020</v>
      </c>
    </row>
    <row r="272" customFormat="false" ht="15" hidden="false" customHeight="false" outlineLevel="0" collapsed="false">
      <c r="A272" s="143"/>
      <c r="B272" s="30"/>
      <c r="C272" s="31"/>
    </row>
    <row r="273" customFormat="false" ht="15" hidden="false" customHeight="false" outlineLevel="0" collapsed="false">
      <c r="A273" s="143"/>
      <c r="B273" s="30"/>
      <c r="C273" s="31"/>
    </row>
    <row r="274" customFormat="false" ht="15" hidden="false" customHeight="false" outlineLevel="0" collapsed="false">
      <c r="A274" s="83" t="s">
        <v>424</v>
      </c>
      <c r="B274" s="30" t="s">
        <v>425</v>
      </c>
      <c r="C274" s="31" t="s">
        <v>426</v>
      </c>
    </row>
    <row r="275" customFormat="false" ht="15" hidden="false" customHeight="false" outlineLevel="0" collapsed="false">
      <c r="A275" s="18" t="s">
        <v>427</v>
      </c>
      <c r="B275" s="30" t="s">
        <v>36</v>
      </c>
      <c r="C275" s="31"/>
    </row>
    <row r="276" customFormat="false" ht="15" hidden="false" customHeight="false" outlineLevel="0" collapsed="false">
      <c r="A276" s="18" t="s">
        <v>428</v>
      </c>
      <c r="B276" s="30" t="s">
        <v>36</v>
      </c>
      <c r="C276" s="31"/>
    </row>
    <row r="281" customFormat="false" ht="15" hidden="false" customHeight="false" outlineLevel="0" collapsed="false">
      <c r="A281" s="186" t="s">
        <v>429</v>
      </c>
      <c r="B281" s="72"/>
      <c r="C281" s="72"/>
      <c r="D281" s="72"/>
      <c r="E281" s="72"/>
      <c r="F281" s="72"/>
    </row>
    <row r="282" customFormat="false" ht="15" hidden="false" customHeight="false" outlineLevel="0" collapsed="false">
      <c r="A282" s="72" t="s">
        <v>430</v>
      </c>
      <c r="B282" s="72"/>
      <c r="C282" s="72"/>
      <c r="D282" s="72"/>
    </row>
    <row r="283" customFormat="false" ht="15" hidden="false" customHeight="false" outlineLevel="0" collapsed="false">
      <c r="A283" s="187" t="s">
        <v>431</v>
      </c>
      <c r="B283" s="187"/>
      <c r="C283" s="187"/>
      <c r="D283" s="188" t="n">
        <v>2</v>
      </c>
    </row>
    <row r="284" customFormat="false" ht="15" hidden="false" customHeight="false" outlineLevel="0" collapsed="false">
      <c r="A284" s="49" t="s">
        <v>432</v>
      </c>
      <c r="B284" s="49"/>
      <c r="C284" s="189"/>
      <c r="D284" s="72"/>
    </row>
    <row r="285" customFormat="false" ht="15" hidden="false" customHeight="false" outlineLevel="0" collapsed="false">
      <c r="A285" s="143" t="s">
        <v>433</v>
      </c>
      <c r="B285" s="188" t="s">
        <v>434</v>
      </c>
    </row>
    <row r="286" customFormat="false" ht="15" hidden="false" customHeight="false" outlineLevel="0" collapsed="false">
      <c r="A286" s="190" t="s">
        <v>435</v>
      </c>
      <c r="B286" s="191" t="s">
        <v>436</v>
      </c>
      <c r="D286" s="142" t="s">
        <v>437</v>
      </c>
      <c r="E286" s="142" t="s">
        <v>438</v>
      </c>
    </row>
    <row r="287" customFormat="false" ht="14.25" hidden="false" customHeight="true" outlineLevel="0" collapsed="false">
      <c r="A287" s="192" t="s">
        <v>439</v>
      </c>
      <c r="B287" s="30" t="s">
        <v>440</v>
      </c>
      <c r="C287" s="30" t="s">
        <v>441</v>
      </c>
      <c r="D287" s="31" t="s">
        <v>442</v>
      </c>
      <c r="E287" s="31" t="s">
        <v>442</v>
      </c>
    </row>
    <row r="288" customFormat="false" ht="15" hidden="false" customHeight="false" outlineLevel="0" collapsed="false">
      <c r="A288" s="192"/>
      <c r="B288" s="30" t="s">
        <v>443</v>
      </c>
      <c r="C288" s="30" t="s">
        <v>441</v>
      </c>
      <c r="D288" s="31" t="s">
        <v>442</v>
      </c>
      <c r="E288" s="31" t="s">
        <v>442</v>
      </c>
    </row>
    <row r="289" customFormat="false" ht="15" hidden="false" customHeight="false" outlineLevel="0" collapsed="false">
      <c r="A289" s="192"/>
      <c r="B289" s="30" t="s">
        <v>444</v>
      </c>
      <c r="C289" s="30" t="s">
        <v>441</v>
      </c>
      <c r="D289" s="31" t="s">
        <v>442</v>
      </c>
      <c r="E289" s="31" t="s">
        <v>442</v>
      </c>
    </row>
    <row r="290" customFormat="false" ht="15" hidden="false" customHeight="false" outlineLevel="0" collapsed="false">
      <c r="A290" s="192"/>
      <c r="B290" s="30" t="s">
        <v>445</v>
      </c>
      <c r="C290" s="30" t="s">
        <v>441</v>
      </c>
      <c r="D290" s="31" t="s">
        <v>442</v>
      </c>
      <c r="E290" s="31" t="s">
        <v>442</v>
      </c>
    </row>
    <row r="291" customFormat="false" ht="15" hidden="false" customHeight="false" outlineLevel="0" collapsed="false">
      <c r="A291" s="192"/>
      <c r="B291" s="30" t="s">
        <v>446</v>
      </c>
      <c r="C291" s="30" t="s">
        <v>441</v>
      </c>
      <c r="D291" s="31" t="s">
        <v>442</v>
      </c>
      <c r="E291" s="31" t="s">
        <v>442</v>
      </c>
    </row>
    <row r="292" customFormat="false" ht="15" hidden="false" customHeight="false" outlineLevel="0" collapsed="false">
      <c r="A292" s="192"/>
      <c r="B292" s="30" t="s">
        <v>447</v>
      </c>
      <c r="C292" s="30" t="s">
        <v>441</v>
      </c>
      <c r="D292" s="31" t="s">
        <v>442</v>
      </c>
      <c r="E292" s="31" t="s">
        <v>442</v>
      </c>
    </row>
    <row r="293" customFormat="false" ht="15" hidden="false" customHeight="false" outlineLevel="0" collapsed="false">
      <c r="A293" s="192"/>
      <c r="B293" s="30" t="s">
        <v>448</v>
      </c>
      <c r="C293" s="30" t="s">
        <v>441</v>
      </c>
      <c r="D293" s="31" t="s">
        <v>442</v>
      </c>
      <c r="E293" s="31" t="s">
        <v>442</v>
      </c>
    </row>
    <row r="294" customFormat="false" ht="15" hidden="false" customHeight="false" outlineLevel="0" collapsed="false">
      <c r="A294" s="192"/>
      <c r="B294" s="30" t="s">
        <v>449</v>
      </c>
      <c r="C294" s="30" t="s">
        <v>441</v>
      </c>
      <c r="D294" s="31" t="s">
        <v>442</v>
      </c>
      <c r="E294" s="31" t="s">
        <v>442</v>
      </c>
    </row>
    <row r="295" customFormat="false" ht="15" hidden="false" customHeight="false" outlineLevel="0" collapsed="false">
      <c r="A295" s="192"/>
      <c r="B295" s="30" t="s">
        <v>450</v>
      </c>
      <c r="C295" s="30" t="s">
        <v>441</v>
      </c>
      <c r="D295" s="31" t="s">
        <v>442</v>
      </c>
      <c r="E295" s="31" t="s">
        <v>442</v>
      </c>
    </row>
    <row r="296" customFormat="false" ht="15" hidden="false" customHeight="false" outlineLevel="0" collapsed="false">
      <c r="A296" s="192"/>
      <c r="B296" s="30" t="s">
        <v>451</v>
      </c>
      <c r="C296" s="30" t="s">
        <v>441</v>
      </c>
      <c r="D296" s="31" t="s">
        <v>442</v>
      </c>
      <c r="E296" s="31" t="s">
        <v>442</v>
      </c>
    </row>
    <row r="297" customFormat="false" ht="15" hidden="false" customHeight="false" outlineLevel="0" collapsed="false">
      <c r="A297" s="192"/>
      <c r="B297" s="30" t="s">
        <v>452</v>
      </c>
      <c r="C297" s="30" t="s">
        <v>441</v>
      </c>
      <c r="D297" s="31" t="s">
        <v>442</v>
      </c>
      <c r="E297" s="31" t="s">
        <v>442</v>
      </c>
    </row>
    <row r="298" customFormat="false" ht="15" hidden="false" customHeight="false" outlineLevel="0" collapsed="false">
      <c r="A298" s="192"/>
      <c r="B298" s="30" t="s">
        <v>453</v>
      </c>
      <c r="C298" s="30" t="s">
        <v>441</v>
      </c>
      <c r="D298" s="31" t="s">
        <v>442</v>
      </c>
      <c r="E298" s="31" t="s">
        <v>442</v>
      </c>
    </row>
    <row r="299" customFormat="false" ht="15" hidden="false" customHeight="false" outlineLevel="0" collapsed="false">
      <c r="A299" s="192"/>
      <c r="B299" s="30" t="s">
        <v>454</v>
      </c>
      <c r="C299" s="30" t="s">
        <v>441</v>
      </c>
      <c r="D299" s="31" t="s">
        <v>442</v>
      </c>
      <c r="E299" s="31" t="s">
        <v>442</v>
      </c>
    </row>
    <row r="300" customFormat="false" ht="15" hidden="false" customHeight="false" outlineLevel="0" collapsed="false">
      <c r="A300" s="192"/>
      <c r="B300" s="30" t="s">
        <v>455</v>
      </c>
      <c r="C300" s="30" t="s">
        <v>441</v>
      </c>
      <c r="D300" s="31" t="s">
        <v>442</v>
      </c>
      <c r="E300" s="31" t="s">
        <v>442</v>
      </c>
    </row>
    <row r="301" customFormat="false" ht="15" hidden="false" customHeight="false" outlineLevel="0" collapsed="false">
      <c r="A301" s="192"/>
      <c r="B301" s="30" t="s">
        <v>456</v>
      </c>
      <c r="C301" s="30" t="s">
        <v>441</v>
      </c>
      <c r="D301" s="31" t="s">
        <v>442</v>
      </c>
      <c r="E301" s="31" t="s">
        <v>442</v>
      </c>
    </row>
    <row r="302" customFormat="false" ht="15" hidden="false" customHeight="false" outlineLevel="0" collapsed="false">
      <c r="A302" s="192"/>
      <c r="B302" s="30" t="s">
        <v>457</v>
      </c>
      <c r="C302" s="30" t="s">
        <v>441</v>
      </c>
      <c r="D302" s="31" t="s">
        <v>442</v>
      </c>
      <c r="E302" s="31" t="s">
        <v>442</v>
      </c>
    </row>
    <row r="303" customFormat="false" ht="15" hidden="false" customHeight="false" outlineLevel="0" collapsed="false">
      <c r="A303" s="192"/>
      <c r="B303" s="30" t="s">
        <v>458</v>
      </c>
      <c r="C303" s="30" t="s">
        <v>441</v>
      </c>
      <c r="D303" s="31" t="s">
        <v>442</v>
      </c>
      <c r="E303" s="31" t="s">
        <v>442</v>
      </c>
    </row>
    <row r="304" customFormat="false" ht="15" hidden="false" customHeight="false" outlineLevel="0" collapsed="false">
      <c r="A304" s="192"/>
      <c r="B304" s="30" t="s">
        <v>459</v>
      </c>
      <c r="C304" s="30" t="s">
        <v>441</v>
      </c>
      <c r="D304" s="31" t="s">
        <v>442</v>
      </c>
      <c r="E304" s="31" t="s">
        <v>442</v>
      </c>
    </row>
    <row r="305" customFormat="false" ht="15" hidden="false" customHeight="false" outlineLevel="0" collapsed="false">
      <c r="A305" s="192"/>
      <c r="B305" s="30" t="s">
        <v>460</v>
      </c>
      <c r="C305" s="30" t="s">
        <v>441</v>
      </c>
      <c r="D305" s="31" t="s">
        <v>442</v>
      </c>
      <c r="E305" s="31" t="s">
        <v>442</v>
      </c>
    </row>
    <row r="306" customFormat="false" ht="15" hidden="false" customHeight="false" outlineLevel="0" collapsed="false">
      <c r="A306" s="49" t="s">
        <v>461</v>
      </c>
      <c r="B306" s="49"/>
      <c r="C306" s="30" t="s">
        <v>441</v>
      </c>
      <c r="D306" s="72"/>
    </row>
    <row r="307" customFormat="false" ht="15" hidden="false" customHeight="false" outlineLevel="0" collapsed="false">
      <c r="A307" s="18" t="s">
        <v>462</v>
      </c>
      <c r="B307" s="22" t="s">
        <v>463</v>
      </c>
      <c r="C307" s="27" t="s">
        <v>464</v>
      </c>
      <c r="D307" s="18" t="s">
        <v>465</v>
      </c>
      <c r="E307" s="30" t="s">
        <v>423</v>
      </c>
      <c r="F307" s="27" t="s">
        <v>466</v>
      </c>
    </row>
    <row r="308" customFormat="false" ht="15" hidden="false" customHeight="false" outlineLevel="0" collapsed="false">
      <c r="A308" s="18" t="s">
        <v>467</v>
      </c>
      <c r="B308" s="22" t="s">
        <v>463</v>
      </c>
      <c r="C308" s="27" t="s">
        <v>468</v>
      </c>
      <c r="D308" s="18" t="s">
        <v>469</v>
      </c>
      <c r="E308" s="30" t="s">
        <v>423</v>
      </c>
      <c r="F308" s="27" t="s">
        <v>470</v>
      </c>
    </row>
    <row r="315" s="72" customFormat="true" ht="15" hidden="false" customHeight="false" outlineLevel="0" collapsed="false">
      <c r="A315" s="186" t="s">
        <v>471</v>
      </c>
    </row>
    <row r="316" s="72" customFormat="true" ht="15" hidden="false" customHeight="false" outlineLevel="0" collapsed="false">
      <c r="A316" s="72" t="s">
        <v>472</v>
      </c>
    </row>
    <row r="317" customFormat="false" ht="14.25" hidden="false" customHeight="true" outlineLevel="0" collapsed="false">
      <c r="A317" s="193" t="s">
        <v>473</v>
      </c>
      <c r="B317" s="194" t="s">
        <v>474</v>
      </c>
      <c r="C317" s="194"/>
      <c r="D317" s="195" t="s">
        <v>175</v>
      </c>
    </row>
    <row r="318" customFormat="false" ht="15" hidden="false" customHeight="false" outlineLevel="0" collapsed="false">
      <c r="A318" s="193"/>
      <c r="B318" s="196" t="s">
        <v>475</v>
      </c>
      <c r="C318" s="196"/>
      <c r="D318" s="195"/>
    </row>
    <row r="319" customFormat="false" ht="15" hidden="false" customHeight="false" outlineLevel="0" collapsed="false">
      <c r="A319" s="193"/>
      <c r="B319" s="194" t="s">
        <v>476</v>
      </c>
      <c r="C319" s="194"/>
      <c r="D319" s="195"/>
      <c r="E319" s="18" t="s">
        <v>477</v>
      </c>
      <c r="F319" s="27" t="s">
        <v>478</v>
      </c>
    </row>
    <row r="320" s="72" customFormat="true" ht="15" hidden="false" customHeight="false" outlineLevel="0" collapsed="false">
      <c r="A320" s="72" t="s">
        <v>479</v>
      </c>
    </row>
    <row r="321" customFormat="false" ht="14.25" hidden="false" customHeight="true" outlineLevel="0" collapsed="false">
      <c r="A321" s="193" t="s">
        <v>480</v>
      </c>
      <c r="B321" s="194" t="s">
        <v>481</v>
      </c>
      <c r="C321" s="194"/>
      <c r="D321" s="195" t="s">
        <v>175</v>
      </c>
    </row>
    <row r="322" customFormat="false" ht="15" hidden="false" customHeight="false" outlineLevel="0" collapsed="false">
      <c r="A322" s="193"/>
      <c r="B322" s="196" t="s">
        <v>482</v>
      </c>
      <c r="C322" s="196"/>
      <c r="D322" s="195"/>
    </row>
    <row r="323" customFormat="false" ht="15" hidden="false" customHeight="false" outlineLevel="0" collapsed="false">
      <c r="A323" s="193"/>
      <c r="B323" s="194" t="s">
        <v>483</v>
      </c>
      <c r="C323" s="194"/>
      <c r="D323" s="195"/>
      <c r="E323" s="18" t="s">
        <v>484</v>
      </c>
      <c r="F323" s="27" t="s">
        <v>478</v>
      </c>
    </row>
    <row r="324" s="72" customFormat="true" ht="15" hidden="false" customHeight="false" outlineLevel="0" collapsed="false">
      <c r="A324" s="72" t="s">
        <v>485</v>
      </c>
    </row>
    <row r="325" customFormat="false" ht="14.25" hidden="false" customHeight="true" outlineLevel="0" collapsed="false">
      <c r="A325" s="193" t="s">
        <v>486</v>
      </c>
      <c r="B325" s="194" t="s">
        <v>474</v>
      </c>
      <c r="C325" s="194"/>
      <c r="D325" s="195" t="s">
        <v>175</v>
      </c>
    </row>
    <row r="326" customFormat="false" ht="15" hidden="false" customHeight="false" outlineLevel="0" collapsed="false">
      <c r="A326" s="193"/>
      <c r="B326" s="196" t="s">
        <v>487</v>
      </c>
      <c r="C326" s="196"/>
      <c r="D326" s="195"/>
    </row>
    <row r="327" customFormat="false" ht="15" hidden="false" customHeight="false" outlineLevel="0" collapsed="false">
      <c r="A327" s="193"/>
      <c r="B327" s="194" t="s">
        <v>488</v>
      </c>
      <c r="C327" s="194"/>
      <c r="D327" s="195"/>
      <c r="E327" s="18" t="s">
        <v>489</v>
      </c>
      <c r="F327" s="27" t="s">
        <v>478</v>
      </c>
    </row>
  </sheetData>
  <mergeCells count="164">
    <mergeCell ref="A4:A8"/>
    <mergeCell ref="B4:B8"/>
    <mergeCell ref="C5:C6"/>
    <mergeCell ref="D7:D8"/>
    <mergeCell ref="E7:E8"/>
    <mergeCell ref="A11:A15"/>
    <mergeCell ref="B11:B15"/>
    <mergeCell ref="C12:C13"/>
    <mergeCell ref="D14:D15"/>
    <mergeCell ref="E14:E15"/>
    <mergeCell ref="A19:A22"/>
    <mergeCell ref="B19:C19"/>
    <mergeCell ref="D19:D22"/>
    <mergeCell ref="B20:C20"/>
    <mergeCell ref="B21:C21"/>
    <mergeCell ref="B22:C22"/>
    <mergeCell ref="J32:O32"/>
    <mergeCell ref="J33:O33"/>
    <mergeCell ref="J34:O34"/>
    <mergeCell ref="J35:O35"/>
    <mergeCell ref="J36:O36"/>
    <mergeCell ref="J37:O37"/>
    <mergeCell ref="J38:O38"/>
    <mergeCell ref="A68:A71"/>
    <mergeCell ref="D68:D71"/>
    <mergeCell ref="A72:A75"/>
    <mergeCell ref="D72:D75"/>
    <mergeCell ref="A76:A79"/>
    <mergeCell ref="D76:D79"/>
    <mergeCell ref="A80:A82"/>
    <mergeCell ref="D80:D82"/>
    <mergeCell ref="A84:A87"/>
    <mergeCell ref="D84:D87"/>
    <mergeCell ref="A88:A91"/>
    <mergeCell ref="D88:D91"/>
    <mergeCell ref="A92:A95"/>
    <mergeCell ref="D92:D95"/>
    <mergeCell ref="A96:A98"/>
    <mergeCell ref="D96:D98"/>
    <mergeCell ref="A100:A103"/>
    <mergeCell ref="D100:D103"/>
    <mergeCell ref="A105:A108"/>
    <mergeCell ref="D105:D108"/>
    <mergeCell ref="A115:E115"/>
    <mergeCell ref="C116:E116"/>
    <mergeCell ref="C119:D119"/>
    <mergeCell ref="A122:A123"/>
    <mergeCell ref="D122:D125"/>
    <mergeCell ref="E122:E123"/>
    <mergeCell ref="F122:G123"/>
    <mergeCell ref="A124:A125"/>
    <mergeCell ref="E124:E125"/>
    <mergeCell ref="F124:G125"/>
    <mergeCell ref="A126:A127"/>
    <mergeCell ref="D126:D129"/>
    <mergeCell ref="E126:E127"/>
    <mergeCell ref="F126:G127"/>
    <mergeCell ref="A128:A129"/>
    <mergeCell ref="E128:E129"/>
    <mergeCell ref="F128:G129"/>
    <mergeCell ref="A130:A131"/>
    <mergeCell ref="A194:E194"/>
    <mergeCell ref="A195:A197"/>
    <mergeCell ref="C195:C197"/>
    <mergeCell ref="A198:C198"/>
    <mergeCell ref="B207:F207"/>
    <mergeCell ref="G207:K207"/>
    <mergeCell ref="L207:P207"/>
    <mergeCell ref="Q207:U207"/>
    <mergeCell ref="V207:Z207"/>
    <mergeCell ref="AA207:AE207"/>
    <mergeCell ref="AF207:AJ207"/>
    <mergeCell ref="AK207:AO207"/>
    <mergeCell ref="AP207:AT207"/>
    <mergeCell ref="AU207:AY207"/>
    <mergeCell ref="AZ207:BD207"/>
    <mergeCell ref="BE207:BI207"/>
    <mergeCell ref="BJ207:BN207"/>
    <mergeCell ref="BO207:BS207"/>
    <mergeCell ref="BT207:BX207"/>
    <mergeCell ref="BY207:CC207"/>
    <mergeCell ref="CD207:CH207"/>
    <mergeCell ref="CI207:CM207"/>
    <mergeCell ref="CN207:CR207"/>
    <mergeCell ref="CS207:CW207"/>
    <mergeCell ref="CX207:DB207"/>
    <mergeCell ref="DC207:DG207"/>
    <mergeCell ref="DH207:DJ207"/>
    <mergeCell ref="DM207:DQ207"/>
    <mergeCell ref="DR207:DV207"/>
    <mergeCell ref="DW207:EA207"/>
    <mergeCell ref="EB207:EF207"/>
    <mergeCell ref="EG207:EK207"/>
    <mergeCell ref="EL207:EP207"/>
    <mergeCell ref="EQ207:EU207"/>
    <mergeCell ref="EV207:EZ207"/>
    <mergeCell ref="FA207:FE207"/>
    <mergeCell ref="FF207:FJ207"/>
    <mergeCell ref="FK207:FO207"/>
    <mergeCell ref="FP207:FT207"/>
    <mergeCell ref="FU207:FW207"/>
    <mergeCell ref="B224:F224"/>
    <mergeCell ref="G224:K224"/>
    <mergeCell ref="A241:A242"/>
    <mergeCell ref="C241:C242"/>
    <mergeCell ref="B245:F245"/>
    <mergeCell ref="G245:K245"/>
    <mergeCell ref="L245:P245"/>
    <mergeCell ref="Q245:U245"/>
    <mergeCell ref="V245:Z245"/>
    <mergeCell ref="AA245:AE245"/>
    <mergeCell ref="AF245:AJ245"/>
    <mergeCell ref="AK245:AO245"/>
    <mergeCell ref="AP245:AT245"/>
    <mergeCell ref="AU245:AY245"/>
    <mergeCell ref="AZ245:BD245"/>
    <mergeCell ref="BE245:BI245"/>
    <mergeCell ref="BJ245:BN245"/>
    <mergeCell ref="BO245:BS245"/>
    <mergeCell ref="BT245:BX245"/>
    <mergeCell ref="BY245:CC245"/>
    <mergeCell ref="CD245:CH245"/>
    <mergeCell ref="CI245:CM245"/>
    <mergeCell ref="CN245:CR245"/>
    <mergeCell ref="CS245:CW245"/>
    <mergeCell ref="CX245:DB245"/>
    <mergeCell ref="DC245:DG245"/>
    <mergeCell ref="DH245:DJ245"/>
    <mergeCell ref="DM245:DQ245"/>
    <mergeCell ref="DR245:DV245"/>
    <mergeCell ref="DW245:EA245"/>
    <mergeCell ref="EB245:EF245"/>
    <mergeCell ref="EG245:EK245"/>
    <mergeCell ref="EL245:EP245"/>
    <mergeCell ref="EQ245:EU245"/>
    <mergeCell ref="EV245:EZ245"/>
    <mergeCell ref="FA245:FE245"/>
    <mergeCell ref="FF245:FJ245"/>
    <mergeCell ref="FK245:FO245"/>
    <mergeCell ref="FP245:FT245"/>
    <mergeCell ref="FU245:FY245"/>
    <mergeCell ref="A255:D255"/>
    <mergeCell ref="E255:F255"/>
    <mergeCell ref="A257:A259"/>
    <mergeCell ref="C257:C259"/>
    <mergeCell ref="D257:D259"/>
    <mergeCell ref="F257:F259"/>
    <mergeCell ref="A283:C283"/>
    <mergeCell ref="A287:A305"/>
    <mergeCell ref="A317:A319"/>
    <mergeCell ref="B317:C317"/>
    <mergeCell ref="D317:D319"/>
    <mergeCell ref="B318:C318"/>
    <mergeCell ref="B319:C319"/>
    <mergeCell ref="A321:A323"/>
    <mergeCell ref="B321:C321"/>
    <mergeCell ref="D321:D323"/>
    <mergeCell ref="B322:C322"/>
    <mergeCell ref="B323:C323"/>
    <mergeCell ref="A325:A327"/>
    <mergeCell ref="B325:C325"/>
    <mergeCell ref="D325:D327"/>
    <mergeCell ref="B326:C326"/>
    <mergeCell ref="B327:C327"/>
  </mergeCells>
  <dataValidations count="1">
    <dataValidation allowBlank="true" error="Energy intensity per sector is selected" errorStyle="stop" errorTitle="Error" operator="between" showDropDown="false" showErrorMessage="true" showInputMessage="true" sqref="B227:K238" type="custom">
      <formula1>#ref!=0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Z509"/>
  <sheetViews>
    <sheetView showFormulas="false" showGridLines="true" showRowColHeaders="true" showZeros="true" rightToLeft="false" tabSelected="true" showOutlineSymbols="true" defaultGridColor="true" view="normal" topLeftCell="E5" colorId="64" zoomScale="85" zoomScaleNormal="85" zoomScalePageLayoutView="100" workbookViewId="0">
      <selection pane="topLeft" activeCell="H39" activeCellId="0" sqref="H39"/>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v>
      </c>
      <c r="N10" s="206"/>
      <c r="O10" s="206"/>
      <c r="P10" s="206"/>
      <c r="Q10" s="206"/>
      <c r="R10" s="206" t="n">
        <v>0.011</v>
      </c>
      <c r="S10" s="206"/>
      <c r="T10" s="206"/>
      <c r="U10" s="206"/>
      <c r="V10" s="206"/>
      <c r="W10" s="206" t="n">
        <v>0.011</v>
      </c>
      <c r="X10" s="206"/>
      <c r="Y10" s="206"/>
      <c r="Z10" s="206"/>
      <c r="AA10" s="206"/>
      <c r="AB10" s="206" t="n">
        <v>0.011</v>
      </c>
      <c r="AC10" s="206"/>
      <c r="AD10" s="206"/>
      <c r="AE10" s="206"/>
      <c r="AF10" s="206"/>
      <c r="AG10" s="206" t="n">
        <v>0.011</v>
      </c>
      <c r="AH10" s="206"/>
      <c r="AI10" s="206"/>
      <c r="AJ10" s="206"/>
      <c r="AK10" s="206"/>
      <c r="AL10" s="206" t="n">
        <v>0.011</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498</v>
      </c>
      <c r="B16" s="202" t="s">
        <v>499</v>
      </c>
      <c r="C16" s="212" t="n">
        <v>0.1061</v>
      </c>
      <c r="D16" s="212" t="n">
        <v>0.1072</v>
      </c>
      <c r="E16" s="212" t="n">
        <v>0.1087</v>
      </c>
      <c r="F16" s="212" t="n">
        <v>0.1087</v>
      </c>
      <c r="G16" s="212" t="n">
        <v>0.1087</v>
      </c>
      <c r="H16" s="212" t="n">
        <v>0.1087</v>
      </c>
      <c r="I16" s="213" t="n">
        <v>0.1087</v>
      </c>
      <c r="J16" s="81"/>
      <c r="K16" s="160"/>
      <c r="L16" s="81"/>
    </row>
    <row r="17" customFormat="false" ht="15" hidden="false" customHeight="false" outlineLevel="0" collapsed="false">
      <c r="A17" s="211" t="s">
        <v>500</v>
      </c>
      <c r="B17" s="202" t="s">
        <v>499</v>
      </c>
      <c r="C17" s="212" t="n">
        <v>0.0009</v>
      </c>
      <c r="D17" s="212" t="n">
        <v>0.001</v>
      </c>
      <c r="E17" s="212" t="n">
        <v>0.0017</v>
      </c>
      <c r="F17" s="212" t="n">
        <v>0.0043</v>
      </c>
      <c r="G17" s="212" t="n">
        <v>0.0067</v>
      </c>
      <c r="H17" s="212" t="n">
        <v>0.0075</v>
      </c>
      <c r="I17" s="213" t="n">
        <v>0.0084</v>
      </c>
      <c r="J17" s="81"/>
      <c r="K17" s="81"/>
      <c r="L17" s="81"/>
    </row>
    <row r="18" customFormat="false" ht="15" hidden="false" customHeight="false" outlineLevel="0" collapsed="false">
      <c r="A18" s="211" t="s">
        <v>501</v>
      </c>
      <c r="B18" s="202" t="s">
        <v>499</v>
      </c>
      <c r="C18" s="212" t="n">
        <v>0.0207</v>
      </c>
      <c r="D18" s="212" t="n">
        <v>0.0199</v>
      </c>
      <c r="E18" s="212" t="n">
        <v>0.0192</v>
      </c>
      <c r="F18" s="214" t="n">
        <v>0.0186</v>
      </c>
      <c r="G18" s="214" t="n">
        <v>0.0158</v>
      </c>
      <c r="H18" s="214" t="n">
        <v>0.0146</v>
      </c>
      <c r="I18" s="213" t="n">
        <v>0.0117</v>
      </c>
      <c r="J18" s="81"/>
      <c r="K18" s="81"/>
      <c r="L18" s="81"/>
    </row>
    <row r="19" customFormat="false" ht="15" hidden="false" customHeight="false" outlineLevel="0" collapsed="false">
      <c r="A19" s="211" t="s">
        <v>502</v>
      </c>
      <c r="B19" s="202" t="s">
        <v>499</v>
      </c>
      <c r="C19" s="212" t="n">
        <v>0.0003</v>
      </c>
      <c r="D19" s="212" t="n">
        <v>0.0003</v>
      </c>
      <c r="E19" s="212" t="n">
        <v>0.0005</v>
      </c>
      <c r="F19" s="214" t="n">
        <v>0.0005</v>
      </c>
      <c r="G19" s="214" t="n">
        <v>0.0005</v>
      </c>
      <c r="H19" s="214" t="n">
        <v>0.0006</v>
      </c>
      <c r="I19" s="213" t="n">
        <v>0.0006</v>
      </c>
      <c r="J19" s="160"/>
      <c r="K19" s="81"/>
      <c r="L19" s="81"/>
    </row>
    <row r="20" customFormat="false" ht="15" hidden="false" customHeight="false" outlineLevel="0" collapsed="false">
      <c r="A20" s="211" t="s">
        <v>503</v>
      </c>
      <c r="B20" s="202" t="s">
        <v>499</v>
      </c>
      <c r="C20" s="212" t="n">
        <v>0.1627</v>
      </c>
      <c r="D20" s="212" t="n">
        <v>0.2173</v>
      </c>
      <c r="E20" s="212" t="n">
        <v>0.3115</v>
      </c>
      <c r="F20" s="214" t="n">
        <v>0.4059</v>
      </c>
      <c r="G20" s="214" t="n">
        <v>0.4785</v>
      </c>
      <c r="H20" s="214" t="n">
        <v>0.5299</v>
      </c>
      <c r="I20" s="213" t="n">
        <v>0.5957</v>
      </c>
    </row>
    <row r="21" customFormat="false" ht="15" hidden="false" customHeight="false" outlineLevel="0" collapsed="false">
      <c r="A21" s="211" t="s">
        <v>504</v>
      </c>
      <c r="B21" s="202" t="s">
        <v>499</v>
      </c>
      <c r="C21" s="212" t="n">
        <v>0.0146</v>
      </c>
      <c r="D21" s="212" t="n">
        <v>0.024</v>
      </c>
      <c r="E21" s="212" t="n">
        <v>0.0831</v>
      </c>
      <c r="F21" s="214" t="n">
        <v>0.1497</v>
      </c>
      <c r="G21" s="214" t="n">
        <v>0.1891</v>
      </c>
      <c r="H21" s="214" t="n">
        <v>0.2129</v>
      </c>
      <c r="I21" s="213" t="n">
        <v>0.2212</v>
      </c>
      <c r="K21" s="81"/>
      <c r="L21" s="81"/>
    </row>
    <row r="22" customFormat="false" ht="15" hidden="false" customHeight="false" outlineLevel="0" collapsed="false">
      <c r="A22" s="211" t="s">
        <v>505</v>
      </c>
      <c r="B22" s="202" t="s">
        <v>499</v>
      </c>
      <c r="C22" s="212" t="n">
        <v>0.1273</v>
      </c>
      <c r="D22" s="212" t="n">
        <v>0.3377</v>
      </c>
      <c r="E22" s="212" t="n">
        <v>0.6179</v>
      </c>
      <c r="F22" s="214" t="n">
        <v>0.8434</v>
      </c>
      <c r="G22" s="214" t="n">
        <v>1.1718</v>
      </c>
      <c r="H22" s="214" t="n">
        <v>1.4958</v>
      </c>
      <c r="I22" s="213" t="n">
        <v>1.7393</v>
      </c>
      <c r="K22" s="81"/>
      <c r="L22" s="81"/>
    </row>
    <row r="23" customFormat="false" ht="15" hidden="false" customHeight="false" outlineLevel="0" collapsed="false">
      <c r="A23" s="211" t="s">
        <v>506</v>
      </c>
      <c r="B23" s="202" t="s">
        <v>499</v>
      </c>
      <c r="C23" s="212" t="n">
        <v>0.0023</v>
      </c>
      <c r="D23" s="212" t="n">
        <v>0.0023</v>
      </c>
      <c r="E23" s="212" t="n">
        <v>0.0052</v>
      </c>
      <c r="F23" s="212" t="n">
        <v>0.0054</v>
      </c>
      <c r="G23" s="212" t="n">
        <v>0.0054</v>
      </c>
      <c r="H23" s="212" t="n">
        <v>0.0064</v>
      </c>
      <c r="I23" s="215" t="n">
        <v>0.0064</v>
      </c>
    </row>
    <row r="24" customFormat="false" ht="15" hidden="false" customHeight="true" outlineLevel="0" collapsed="false">
      <c r="A24" s="211" t="s">
        <v>507</v>
      </c>
      <c r="B24" s="202" t="s">
        <v>499</v>
      </c>
      <c r="C24" s="212" t="n">
        <v>0.0452</v>
      </c>
      <c r="D24" s="212" t="n">
        <v>0.0474</v>
      </c>
      <c r="E24" s="212" t="n">
        <v>0.0535</v>
      </c>
      <c r="F24" s="212" t="n">
        <v>0.0552</v>
      </c>
      <c r="G24" s="212" t="n">
        <v>0.0552</v>
      </c>
      <c r="H24" s="212" t="n">
        <v>0.0556</v>
      </c>
      <c r="I24" s="213" t="n">
        <v>0.0556</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c r="B27" s="200"/>
      <c r="C27" s="200"/>
      <c r="D27" s="200"/>
      <c r="E27" s="200"/>
      <c r="F27" s="200"/>
      <c r="G27" s="200"/>
      <c r="H27" s="200"/>
      <c r="I27" s="200"/>
    </row>
    <row r="28" customFormat="false" ht="15" hidden="false" customHeight="false" outlineLevel="0" collapsed="false">
      <c r="A28" s="218" t="s">
        <v>510</v>
      </c>
      <c r="B28" s="219" t="s">
        <v>146</v>
      </c>
      <c r="C28" s="220" t="n">
        <v>0</v>
      </c>
      <c r="D28" s="220" t="n">
        <v>0</v>
      </c>
      <c r="E28" s="220" t="n">
        <v>0</v>
      </c>
      <c r="F28" s="220" t="n">
        <v>0</v>
      </c>
      <c r="G28" s="220" t="n">
        <v>0</v>
      </c>
      <c r="H28" s="220" t="n">
        <v>0</v>
      </c>
      <c r="I28" s="220" t="n">
        <v>0</v>
      </c>
    </row>
    <row r="29" customFormat="false" ht="1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511</v>
      </c>
      <c r="B31" s="222"/>
      <c r="C31" s="222"/>
      <c r="D31" s="223"/>
      <c r="E31" s="224"/>
      <c r="F31" s="224"/>
      <c r="G31" s="224"/>
      <c r="H31" s="225"/>
      <c r="I31" s="224"/>
      <c r="J31" s="223"/>
      <c r="L31" s="75"/>
    </row>
    <row r="32" customFormat="false" ht="15" hidden="false" customHeight="false" outlineLevel="0" collapsed="false">
      <c r="A32" s="211" t="s">
        <v>512</v>
      </c>
      <c r="B32" s="202" t="s">
        <v>513</v>
      </c>
      <c r="C32" s="226" t="n">
        <v>0.1</v>
      </c>
      <c r="D32" s="223"/>
      <c r="E32" s="223"/>
      <c r="F32" s="223"/>
      <c r="G32" s="223"/>
      <c r="H32" s="225"/>
      <c r="I32" s="223"/>
      <c r="J32" s="223"/>
      <c r="K32" s="45"/>
      <c r="M32" s="81"/>
    </row>
    <row r="33" customFormat="false" ht="15" hidden="false" customHeight="false" outlineLevel="0" collapsed="false">
      <c r="A33" s="211" t="s">
        <v>514</v>
      </c>
      <c r="B33" s="202" t="s">
        <v>36</v>
      </c>
      <c r="C33" s="204" t="n">
        <v>2035</v>
      </c>
      <c r="D33" s="223"/>
      <c r="E33" s="224"/>
      <c r="F33" s="224"/>
      <c r="G33" s="224"/>
      <c r="H33" s="225"/>
      <c r="I33" s="224"/>
      <c r="J33" s="224"/>
    </row>
    <row r="34" customFormat="false" ht="15" hidden="false" customHeight="false" outlineLevel="0" collapsed="false">
      <c r="A34" s="211" t="s">
        <v>515</v>
      </c>
      <c r="B34" s="202" t="s">
        <v>513</v>
      </c>
      <c r="C34" s="227" t="n">
        <v>0.25</v>
      </c>
      <c r="D34" s="223"/>
      <c r="E34" s="224"/>
      <c r="F34" s="224"/>
      <c r="G34" s="224"/>
      <c r="H34" s="224"/>
      <c r="I34" s="224"/>
      <c r="J34" s="224"/>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516</v>
      </c>
      <c r="B35" s="222"/>
      <c r="C35" s="222"/>
      <c r="D35" s="223"/>
      <c r="E35" s="224"/>
      <c r="F35" s="224"/>
      <c r="G35" s="224"/>
      <c r="H35" s="224"/>
      <c r="I35" s="224"/>
      <c r="J35" s="224"/>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517</v>
      </c>
      <c r="B36" s="202" t="s">
        <v>36</v>
      </c>
      <c r="C36" s="204" t="n">
        <v>2020</v>
      </c>
      <c r="D36" s="223"/>
      <c r="E36" s="224"/>
      <c r="F36" s="224"/>
      <c r="G36" s="224"/>
      <c r="H36" s="224"/>
      <c r="I36" s="224"/>
      <c r="J36" s="224"/>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518</v>
      </c>
      <c r="B37" s="202" t="s">
        <v>28</v>
      </c>
      <c r="C37" s="204" t="n">
        <v>0.25</v>
      </c>
      <c r="D37" s="223"/>
      <c r="E37" s="224"/>
      <c r="F37" s="224"/>
      <c r="G37" s="224"/>
      <c r="H37" s="224"/>
      <c r="I37" s="224"/>
      <c r="J37" s="224"/>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519</v>
      </c>
      <c r="B38" s="202" t="s">
        <v>513</v>
      </c>
      <c r="C38" s="227" t="n">
        <v>-0.00645054377302967</v>
      </c>
      <c r="D38" s="224"/>
      <c r="E38" s="224"/>
      <c r="F38" s="224"/>
      <c r="G38" s="224"/>
      <c r="H38" s="224"/>
      <c r="I38" s="224"/>
      <c r="J38" s="224"/>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520</v>
      </c>
      <c r="B39" s="202" t="s">
        <v>36</v>
      </c>
      <c r="C39" s="204" t="n">
        <v>2020</v>
      </c>
      <c r="D39" s="224"/>
      <c r="E39" s="224"/>
      <c r="F39" s="224"/>
      <c r="G39" s="224"/>
      <c r="H39" s="224"/>
      <c r="I39" s="224"/>
      <c r="J39" s="224"/>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521</v>
      </c>
      <c r="B40" s="202" t="s">
        <v>513</v>
      </c>
      <c r="C40" s="227"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16" t="s">
        <v>522</v>
      </c>
      <c r="B42" s="205" t="s">
        <v>513</v>
      </c>
      <c r="C42" s="228"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16" t="s">
        <v>523</v>
      </c>
      <c r="B45" s="205" t="s">
        <v>513</v>
      </c>
      <c r="C45" s="228"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524</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525</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526</v>
      </c>
      <c r="B50" s="202" t="s">
        <v>513</v>
      </c>
      <c r="C50" s="227"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527</v>
      </c>
      <c r="B51" s="202" t="s">
        <v>513</v>
      </c>
      <c r="C51" s="227"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6" t="s">
        <v>528</v>
      </c>
      <c r="B52" s="205" t="s">
        <v>513</v>
      </c>
      <c r="C52" s="229" t="n">
        <v>0.01</v>
      </c>
      <c r="D52" s="229"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s="81" customFormat="true" ht="17.35" hidden="false" customHeight="false" outlineLevel="0" collapsed="false">
      <c r="A53" s="200" t="s">
        <v>529</v>
      </c>
      <c r="B53" s="200"/>
      <c r="C53" s="200"/>
    </row>
    <row r="54" s="81" customFormat="true" ht="15" hidden="false" customHeight="false" outlineLevel="0" collapsed="false">
      <c r="A54" s="230" t="s">
        <v>530</v>
      </c>
      <c r="B54" s="202" t="s">
        <v>36</v>
      </c>
      <c r="C54" s="203" t="n">
        <v>2050</v>
      </c>
    </row>
    <row r="55" s="81" customFormat="true" ht="15" hidden="false" customHeight="false" outlineLevel="0" collapsed="false">
      <c r="A55" s="230" t="s">
        <v>531</v>
      </c>
      <c r="B55" s="202" t="s">
        <v>532</v>
      </c>
      <c r="C55" s="231" t="n">
        <v>0</v>
      </c>
    </row>
    <row r="56" s="81" customFormat="true" ht="15" hidden="false" customHeight="false" outlineLevel="0" collapsed="false">
      <c r="A56" s="230" t="s">
        <v>533</v>
      </c>
      <c r="B56" s="202" t="s">
        <v>532</v>
      </c>
      <c r="C56" s="231" t="n">
        <v>0</v>
      </c>
    </row>
    <row r="57" s="81" customFormat="true" ht="15" hidden="false" customHeight="false" outlineLevel="0" collapsed="false">
      <c r="A57" s="230" t="s">
        <v>534</v>
      </c>
      <c r="B57" s="202" t="s">
        <v>532</v>
      </c>
      <c r="C57" s="231" t="n">
        <v>0.1</v>
      </c>
    </row>
    <row r="58" s="81" customFormat="true" ht="15" hidden="false" customHeight="false" outlineLevel="0" collapsed="false">
      <c r="A58" s="230" t="s">
        <v>535</v>
      </c>
      <c r="B58" s="202" t="s">
        <v>532</v>
      </c>
      <c r="C58" s="231" t="n">
        <v>0.5</v>
      </c>
    </row>
    <row r="59" s="81" customFormat="true" ht="15" hidden="false" customHeight="false" outlineLevel="0" collapsed="false"/>
    <row r="60" customFormat="false" ht="17.35" hidden="false" customHeight="false" outlineLevel="0" collapsed="false">
      <c r="A60" s="200" t="s">
        <v>536</v>
      </c>
      <c r="B60" s="200"/>
      <c r="C60" s="200"/>
      <c r="D60" s="200"/>
      <c r="E60" s="200"/>
      <c r="F60" s="200"/>
      <c r="G60" s="200"/>
      <c r="H60" s="200"/>
      <c r="I60" s="200"/>
    </row>
    <row r="61" customFormat="false" ht="15" hidden="false" customHeight="false" outlineLevel="0" collapsed="false">
      <c r="A61" s="230" t="s">
        <v>36</v>
      </c>
      <c r="B61" s="202" t="s">
        <v>36</v>
      </c>
      <c r="C61" s="232" t="n">
        <v>2020</v>
      </c>
      <c r="D61" s="232" t="n">
        <v>2025</v>
      </c>
      <c r="E61" s="232" t="n">
        <v>2030</v>
      </c>
      <c r="F61" s="232" t="n">
        <v>2035</v>
      </c>
      <c r="G61" s="232" t="n">
        <v>2040</v>
      </c>
      <c r="H61" s="232" t="n">
        <v>2045</v>
      </c>
      <c r="I61" s="233" t="n">
        <v>2050</v>
      </c>
    </row>
    <row r="62" customFormat="false" ht="15" hidden="false" customHeight="false" outlineLevel="0" collapsed="false">
      <c r="A62" s="230" t="s">
        <v>537</v>
      </c>
      <c r="B62" s="202" t="s">
        <v>146</v>
      </c>
      <c r="C62" s="234" t="n">
        <v>0</v>
      </c>
      <c r="D62" s="234" t="n">
        <v>0</v>
      </c>
      <c r="E62" s="234" t="n">
        <v>0</v>
      </c>
      <c r="F62" s="234" t="n">
        <v>0</v>
      </c>
      <c r="G62" s="234" t="n">
        <v>0</v>
      </c>
      <c r="H62" s="234" t="n">
        <v>0</v>
      </c>
      <c r="I62" s="234" t="n">
        <v>0</v>
      </c>
      <c r="J62" s="221"/>
      <c r="K62" s="221"/>
    </row>
    <row r="63" customFormat="false" ht="15" hidden="false" customHeight="false" outlineLevel="0" collapsed="false">
      <c r="A63" s="230" t="s">
        <v>538</v>
      </c>
      <c r="B63" s="202" t="s">
        <v>146</v>
      </c>
      <c r="C63" s="234" t="n">
        <v>0</v>
      </c>
      <c r="D63" s="234" t="n">
        <v>0</v>
      </c>
      <c r="E63" s="234" t="n">
        <v>0.00189148985353949</v>
      </c>
      <c r="F63" s="234" t="n">
        <v>0.482964256198595</v>
      </c>
      <c r="G63" s="234" t="n">
        <v>1.23853129255308</v>
      </c>
      <c r="H63" s="234" t="n">
        <v>2.86141754184028</v>
      </c>
      <c r="I63" s="234" t="n">
        <v>2.81340799792693</v>
      </c>
      <c r="J63" s="221"/>
      <c r="K63" s="221"/>
    </row>
    <row r="64" customFormat="false" ht="15" hidden="false" customHeight="false" outlineLevel="0" collapsed="false">
      <c r="A64" s="230" t="s">
        <v>539</v>
      </c>
      <c r="B64" s="202" t="s">
        <v>146</v>
      </c>
      <c r="C64" s="234" t="n">
        <v>4.41217077793692E-005</v>
      </c>
      <c r="D64" s="234" t="n">
        <v>0.000751828466159761</v>
      </c>
      <c r="E64" s="234" t="n">
        <v>0.0152316875119172</v>
      </c>
      <c r="F64" s="234" t="n">
        <v>0.138807762777472</v>
      </c>
      <c r="G64" s="234" t="n">
        <v>0.868480719185939</v>
      </c>
      <c r="H64" s="234" t="n">
        <v>1.87867682957348</v>
      </c>
      <c r="I64" s="234" t="n">
        <v>2.78389156693196</v>
      </c>
    </row>
    <row r="65" customFormat="false" ht="15" hidden="false" customHeight="false" outlineLevel="0" collapsed="false">
      <c r="A65" s="230" t="s">
        <v>540</v>
      </c>
      <c r="B65" s="202" t="s">
        <v>146</v>
      </c>
      <c r="C65" s="234" t="n">
        <v>0</v>
      </c>
      <c r="D65" s="234" t="n">
        <v>0</v>
      </c>
      <c r="E65" s="234" t="n">
        <v>0</v>
      </c>
      <c r="F65" s="234" t="n">
        <v>0</v>
      </c>
      <c r="G65" s="234" t="n">
        <v>0</v>
      </c>
      <c r="H65" s="234" t="n">
        <v>0</v>
      </c>
      <c r="I65" s="234" t="n">
        <v>0</v>
      </c>
    </row>
    <row r="66" s="81" customFormat="true" ht="15" hidden="false" customHeight="false" outlineLevel="0" collapsed="false"/>
    <row r="67" s="81" customFormat="true" ht="15" hidden="false" customHeight="false" outlineLevel="0" collapsed="false"/>
    <row r="68" customFormat="false" ht="24.45" hidden="false" customHeight="false" outlineLevel="0" collapsed="false">
      <c r="A68" s="199" t="s">
        <v>541</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5" t="s">
        <v>168</v>
      </c>
      <c r="B69" s="236"/>
      <c r="C69" s="237"/>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8"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38"/>
      <c r="B71" s="205" t="s">
        <v>542</v>
      </c>
      <c r="C71" s="229"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s="81" customFormat="true" ht="15" hidden="false" customHeight="false" outlineLevel="0" collapsed="false"/>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8"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38"/>
      <c r="B75" s="205" t="s">
        <v>543</v>
      </c>
      <c r="C75" s="229"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9" t="s">
        <v>228</v>
      </c>
      <c r="B77" s="239"/>
      <c r="C77" s="239"/>
      <c r="D77" s="240" t="s">
        <v>544</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545</v>
      </c>
      <c r="B78" s="202" t="s">
        <v>546</v>
      </c>
      <c r="C78" s="231"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1" t="s">
        <v>230</v>
      </c>
      <c r="B79" s="241"/>
      <c r="C79" s="241"/>
      <c r="D79" s="242" t="s">
        <v>547</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548</v>
      </c>
      <c r="B80" s="205" t="s">
        <v>546</v>
      </c>
      <c r="C80" s="243" t="n">
        <v>0.2</v>
      </c>
      <c r="D80" s="244"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s="81" customFormat="true" ht="15" hidden="false" customHeight="false" outlineLevel="0" collapsed="false"/>
    <row r="82" customFormat="false" ht="17.35" hidden="false" customHeight="false" outlineLevel="0" collapsed="false">
      <c r="A82" s="200" t="s">
        <v>236</v>
      </c>
      <c r="B82" s="200"/>
      <c r="C82" s="200"/>
    </row>
    <row r="83" customFormat="false" ht="15" hidden="false" customHeight="false" outlineLevel="0" collapsed="false">
      <c r="A83" s="245" t="s">
        <v>549</v>
      </c>
      <c r="B83" s="202" t="s">
        <v>550</v>
      </c>
      <c r="C83" s="246" t="n">
        <v>0</v>
      </c>
    </row>
    <row r="84" customFormat="false" ht="15" hidden="false" customHeight="false" outlineLevel="0" collapsed="false">
      <c r="A84" s="245"/>
      <c r="B84" s="202" t="s">
        <v>551</v>
      </c>
      <c r="C84" s="246" t="n">
        <v>2023</v>
      </c>
    </row>
    <row r="85" customFormat="false" ht="15" hidden="false" customHeight="false" outlineLevel="0" collapsed="false">
      <c r="A85" s="245" t="s">
        <v>237</v>
      </c>
      <c r="B85" s="202" t="s">
        <v>238</v>
      </c>
      <c r="C85" s="246"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45"/>
      <c r="B86" s="202" t="s">
        <v>241</v>
      </c>
      <c r="C86" s="247"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45" t="s">
        <v>243</v>
      </c>
      <c r="B87" s="202" t="s">
        <v>238</v>
      </c>
      <c r="C87" s="246" t="n">
        <v>2015</v>
      </c>
    </row>
    <row r="88" customFormat="false" ht="15" hidden="false" customHeight="false" outlineLevel="0" collapsed="false">
      <c r="A88" s="245"/>
      <c r="B88" s="202" t="s">
        <v>241</v>
      </c>
      <c r="C88" s="247" t="n">
        <v>0</v>
      </c>
    </row>
    <row r="89" customFormat="false" ht="15" hidden="false" customHeight="false" outlineLevel="0" collapsed="false">
      <c r="A89" s="245" t="s">
        <v>244</v>
      </c>
      <c r="B89" s="202" t="s">
        <v>238</v>
      </c>
      <c r="C89" s="246" t="n">
        <v>2023</v>
      </c>
    </row>
    <row r="90" customFormat="false" ht="15" hidden="false" customHeight="false" outlineLevel="0" collapsed="false">
      <c r="A90" s="245"/>
      <c r="B90" s="202" t="s">
        <v>241</v>
      </c>
      <c r="C90" s="247" t="n">
        <v>0</v>
      </c>
    </row>
    <row r="91" customFormat="false" ht="15" hidden="false" customHeight="false" outlineLevel="0" collapsed="false">
      <c r="A91" s="245" t="s">
        <v>246</v>
      </c>
      <c r="B91" s="202" t="s">
        <v>238</v>
      </c>
      <c r="C91" s="246" t="n">
        <v>2023</v>
      </c>
      <c r="G91" s="138"/>
      <c r="I91" s="125"/>
      <c r="J91" s="125"/>
      <c r="K91" s="125"/>
      <c r="L91" s="125"/>
      <c r="M91" s="125"/>
      <c r="N91" s="125"/>
      <c r="O91" s="125"/>
      <c r="P91" s="125"/>
      <c r="Q91" s="125"/>
      <c r="R91" s="125"/>
      <c r="S91" s="125"/>
      <c r="T91" s="125"/>
    </row>
    <row r="92" customFormat="false" ht="15" hidden="false" customHeight="false" outlineLevel="0" collapsed="false">
      <c r="A92" s="245"/>
      <c r="B92" s="202" t="s">
        <v>241</v>
      </c>
      <c r="C92" s="247" t="n">
        <v>0</v>
      </c>
    </row>
    <row r="93" customFormat="false" ht="15" hidden="false" customHeight="false" outlineLevel="0" collapsed="false">
      <c r="A93" s="245" t="s">
        <v>211</v>
      </c>
      <c r="B93" s="202" t="s">
        <v>238</v>
      </c>
      <c r="C93" s="246" t="n">
        <v>2023</v>
      </c>
    </row>
    <row r="94" customFormat="false" ht="15" hidden="false" customHeight="false" outlineLevel="0" collapsed="false">
      <c r="A94" s="245"/>
      <c r="B94" s="202" t="s">
        <v>241</v>
      </c>
      <c r="C94" s="247" t="n">
        <v>0.97</v>
      </c>
    </row>
    <row r="95" customFormat="false" ht="15" hidden="false" customHeight="false" outlineLevel="0" collapsed="false">
      <c r="A95" s="245" t="s">
        <v>240</v>
      </c>
      <c r="B95" s="202" t="s">
        <v>238</v>
      </c>
      <c r="C95" s="246" t="n">
        <v>2023</v>
      </c>
    </row>
    <row r="96" customFormat="false" ht="15" hidden="false" customHeight="false" outlineLevel="0" collapsed="false">
      <c r="A96" s="245"/>
      <c r="B96" s="202" t="s">
        <v>241</v>
      </c>
      <c r="C96" s="247" t="n">
        <v>0.74</v>
      </c>
    </row>
    <row r="97" customFormat="false" ht="15" hidden="false" customHeight="false" outlineLevel="0" collapsed="false">
      <c r="A97" s="238" t="s">
        <v>245</v>
      </c>
      <c r="B97" s="202" t="s">
        <v>238</v>
      </c>
      <c r="C97" s="246" t="n">
        <v>2023</v>
      </c>
    </row>
    <row r="98" customFormat="false" ht="15" hidden="false" customHeight="false" outlineLevel="0" collapsed="false">
      <c r="A98" s="238"/>
      <c r="B98" s="205" t="s">
        <v>241</v>
      </c>
      <c r="C98" s="248" t="n">
        <v>0.87</v>
      </c>
    </row>
    <row r="99" customFormat="false" ht="15" hidden="false" customHeight="false" outlineLevel="0" collapsed="false">
      <c r="A99" s="139" t="s">
        <v>247</v>
      </c>
    </row>
    <row r="101" customFormat="false" ht="14.25" hidden="false" customHeight="true" outlineLevel="0" collapsed="false">
      <c r="A101" s="200" t="s">
        <v>248</v>
      </c>
      <c r="B101" s="200"/>
      <c r="C101" s="200"/>
    </row>
    <row r="102" customFormat="false" ht="15" hidden="false" customHeight="false" outlineLevel="0" collapsed="false">
      <c r="A102" s="211" t="s">
        <v>249</v>
      </c>
      <c r="B102" s="202" t="s">
        <v>28</v>
      </c>
      <c r="C102" s="246" t="n">
        <v>1</v>
      </c>
    </row>
    <row r="103" customFormat="false" ht="15" hidden="false" customHeight="false" outlineLevel="0" collapsed="false">
      <c r="A103" s="211" t="s">
        <v>256</v>
      </c>
      <c r="B103" s="202" t="s">
        <v>28</v>
      </c>
      <c r="C103" s="246" t="n">
        <v>1</v>
      </c>
    </row>
    <row r="104" customFormat="false" ht="15" hidden="false" customHeight="false" outlineLevel="0" collapsed="false">
      <c r="A104" s="211" t="s">
        <v>552</v>
      </c>
      <c r="B104" s="202" t="s">
        <v>36</v>
      </c>
      <c r="C104" s="246" t="n">
        <v>2020</v>
      </c>
    </row>
    <row r="105" customFormat="false" ht="15" hidden="false" customHeight="false" outlineLevel="0" collapsed="false">
      <c r="A105" s="211" t="s">
        <v>553</v>
      </c>
      <c r="B105" s="202" t="s">
        <v>36</v>
      </c>
      <c r="C105" s="246" t="n">
        <v>2025</v>
      </c>
    </row>
    <row r="106" customFormat="false" ht="15" hidden="false" customHeight="false" outlineLevel="0" collapsed="false">
      <c r="A106" s="211" t="s">
        <v>554</v>
      </c>
      <c r="B106" s="202" t="s">
        <v>36</v>
      </c>
      <c r="C106" s="246" t="n">
        <v>2035</v>
      </c>
    </row>
    <row r="107" customFormat="false" ht="15" hidden="false" customHeight="false" outlineLevel="0" collapsed="false">
      <c r="A107" s="211" t="s">
        <v>555</v>
      </c>
      <c r="B107" s="202" t="s">
        <v>36</v>
      </c>
      <c r="C107" s="246" t="n">
        <v>2050</v>
      </c>
    </row>
    <row r="108" customFormat="false" ht="15" hidden="false" customHeight="false" outlineLevel="0" collapsed="false">
      <c r="A108" s="211" t="s">
        <v>255</v>
      </c>
      <c r="B108" s="202" t="s">
        <v>28</v>
      </c>
      <c r="C108" s="246" t="n">
        <v>0</v>
      </c>
    </row>
    <row r="109" customFormat="false" ht="15" hidden="false" customHeight="false" outlineLevel="0" collapsed="false">
      <c r="A109" s="211" t="s">
        <v>261</v>
      </c>
      <c r="B109" s="202" t="s">
        <v>28</v>
      </c>
      <c r="C109" s="246" t="n">
        <v>0</v>
      </c>
    </row>
    <row r="110" customFormat="false" ht="16.4" hidden="false" customHeight="false" outlineLevel="0" collapsed="false">
      <c r="A110" s="211" t="s">
        <v>556</v>
      </c>
      <c r="B110" s="202"/>
      <c r="C110" s="204" t="n">
        <v>2050</v>
      </c>
      <c r="G110" s="249" t="n">
        <v>0.0853</v>
      </c>
      <c r="H110" s="249" t="n">
        <v>0.0916</v>
      </c>
      <c r="I110" s="249" t="n">
        <v>0.098</v>
      </c>
      <c r="J110" s="249" t="n">
        <v>0.1043</v>
      </c>
      <c r="K110" s="249" t="n">
        <v>0.1106</v>
      </c>
    </row>
    <row r="111" customFormat="false" ht="16.4" hidden="false" customHeight="false" outlineLevel="0" collapsed="false">
      <c r="A111" s="216" t="s">
        <v>557</v>
      </c>
      <c r="B111" s="205" t="s">
        <v>28</v>
      </c>
      <c r="C111" s="244" t="n">
        <v>0.8</v>
      </c>
      <c r="G111" s="249" t="n">
        <v>0.7596</v>
      </c>
      <c r="H111" s="249" t="n">
        <v>0.7162</v>
      </c>
      <c r="I111" s="249" t="n">
        <v>0.6728</v>
      </c>
      <c r="J111" s="249" t="n">
        <v>0.6294</v>
      </c>
      <c r="K111" s="249" t="n">
        <v>0.586</v>
      </c>
    </row>
    <row r="112" customFormat="false" ht="14.25" hidden="false" customHeight="true" outlineLevel="0" collapsed="false">
      <c r="G112" s="249" t="n">
        <v>0.1387</v>
      </c>
      <c r="H112" s="249" t="n">
        <v>0.1799</v>
      </c>
      <c r="I112" s="249" t="n">
        <v>0.2211</v>
      </c>
      <c r="J112" s="249" t="n">
        <v>0.2622</v>
      </c>
      <c r="K112" s="249" t="n">
        <v>0.3034</v>
      </c>
    </row>
    <row r="113" customFormat="false" ht="14.25" hidden="false" customHeight="true" outlineLevel="0" collapsed="false">
      <c r="A113" s="200" t="s">
        <v>58</v>
      </c>
      <c r="B113" s="200"/>
      <c r="C113" s="200"/>
      <c r="D113" s="200"/>
      <c r="E113" s="200"/>
      <c r="G113" s="249" t="n">
        <v>0.0164</v>
      </c>
      <c r="H113" s="249" t="n">
        <v>0.0123</v>
      </c>
      <c r="I113" s="249" t="n">
        <v>0.0082</v>
      </c>
      <c r="J113" s="249" t="n">
        <v>0.0041</v>
      </c>
      <c r="K113" s="249" t="n">
        <v>0</v>
      </c>
    </row>
    <row r="114" customFormat="false" ht="14.25" hidden="false" customHeight="true" outlineLevel="0" collapsed="false">
      <c r="A114" s="238" t="s">
        <v>59</v>
      </c>
      <c r="B114" s="250" t="n">
        <v>4</v>
      </c>
      <c r="C114" s="230" t="s">
        <v>60</v>
      </c>
      <c r="D114" s="202" t="s">
        <v>65</v>
      </c>
      <c r="E114" s="227" t="n">
        <v>-0.012</v>
      </c>
      <c r="G114" s="251" t="s">
        <v>558</v>
      </c>
      <c r="H114" s="251" t="s">
        <v>558</v>
      </c>
      <c r="I114" s="251" t="s">
        <v>558</v>
      </c>
      <c r="J114" s="251" t="s">
        <v>558</v>
      </c>
      <c r="K114" s="251" t="s">
        <v>558</v>
      </c>
    </row>
    <row r="115" customFormat="false" ht="14.25" hidden="false" customHeight="true" outlineLevel="0" collapsed="false">
      <c r="A115" s="238"/>
      <c r="B115" s="250"/>
      <c r="C115" s="230" t="s">
        <v>62</v>
      </c>
      <c r="D115" s="202" t="s">
        <v>559</v>
      </c>
      <c r="E115" s="204" t="n">
        <v>2017</v>
      </c>
    </row>
    <row r="116" customFormat="false" ht="14.25" hidden="false" customHeight="true" outlineLevel="0" collapsed="false">
      <c r="A116" s="238"/>
      <c r="B116" s="250"/>
      <c r="C116" s="230" t="s">
        <v>63</v>
      </c>
      <c r="D116" s="252"/>
      <c r="E116" s="252"/>
      <c r="F116" s="253"/>
      <c r="G116" s="253"/>
      <c r="H116" s="253"/>
      <c r="I116" s="253"/>
      <c r="J116" s="253"/>
      <c r="K116" s="253"/>
      <c r="L116" s="254"/>
    </row>
    <row r="117" customFormat="false" ht="14.25" hidden="false" customHeight="true" outlineLevel="0" collapsed="false">
      <c r="A117" s="238"/>
      <c r="B117" s="250"/>
      <c r="C117" s="255" t="s">
        <v>64</v>
      </c>
      <c r="D117" s="252"/>
      <c r="E117" s="252"/>
    </row>
    <row r="118" customFormat="false" ht="14.25" hidden="false" customHeight="true" outlineLevel="0" collapsed="false"/>
    <row r="119" customFormat="false" ht="14.25" hidden="false" customHeight="true" outlineLevel="0" collapsed="false">
      <c r="D119" s="79"/>
      <c r="E119" s="79"/>
      <c r="F119" s="79"/>
      <c r="G119" s="79"/>
      <c r="H119" s="79"/>
      <c r="I119" s="79"/>
      <c r="J119" s="79"/>
    </row>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56" t="s">
        <v>562</v>
      </c>
      <c r="B123" s="203" t="s">
        <v>563</v>
      </c>
      <c r="C123" s="202" t="s">
        <v>28</v>
      </c>
      <c r="D123" s="257" t="n">
        <v>0.719582222580483</v>
      </c>
      <c r="E123" s="257" t="n">
        <v>0.726</v>
      </c>
      <c r="F123" s="257" t="n">
        <v>0.6838</v>
      </c>
      <c r="G123" s="257" t="n">
        <v>0.6416</v>
      </c>
      <c r="H123" s="257" t="n">
        <v>0.5994</v>
      </c>
      <c r="I123" s="257" t="n">
        <v>0.5572</v>
      </c>
      <c r="J123" s="258" t="n">
        <v>0.515</v>
      </c>
    </row>
    <row r="124" customFormat="false" ht="15" hidden="false" customHeight="false" outlineLevel="0" collapsed="false">
      <c r="A124" s="256"/>
      <c r="B124" s="203" t="s">
        <v>564</v>
      </c>
      <c r="C124" s="202" t="s">
        <v>28</v>
      </c>
      <c r="D124" s="257" t="n">
        <v>0.0360671787614104</v>
      </c>
      <c r="E124" s="257" t="n">
        <v>0.0415</v>
      </c>
      <c r="F124" s="257" t="n">
        <v>0.0408</v>
      </c>
      <c r="G124" s="257" t="n">
        <v>0.0401</v>
      </c>
      <c r="H124" s="257" t="n">
        <v>0.0394</v>
      </c>
      <c r="I124" s="257" t="n">
        <v>0.0387</v>
      </c>
      <c r="J124" s="258" t="n">
        <v>0.038</v>
      </c>
    </row>
    <row r="125" customFormat="false" ht="15" hidden="false" customHeight="false" outlineLevel="0" collapsed="false">
      <c r="A125" s="256"/>
      <c r="B125" s="203" t="s">
        <v>565</v>
      </c>
      <c r="C125" s="202" t="s">
        <v>28</v>
      </c>
      <c r="D125" s="259" t="n">
        <v>0.158177519083525</v>
      </c>
      <c r="E125" s="257" t="n">
        <v>0.156</v>
      </c>
      <c r="F125" s="257" t="n">
        <v>0.1978</v>
      </c>
      <c r="G125" s="257" t="n">
        <v>0.2396</v>
      </c>
      <c r="H125" s="257" t="n">
        <v>0.2814</v>
      </c>
      <c r="I125" s="257" t="n">
        <v>0.3232</v>
      </c>
      <c r="J125" s="258" t="n">
        <v>0.365</v>
      </c>
    </row>
    <row r="126" customFormat="false" ht="15" hidden="false" customHeight="false" outlineLevel="0" collapsed="false">
      <c r="A126" s="256"/>
      <c r="B126" s="203" t="s">
        <v>566</v>
      </c>
      <c r="C126" s="202" t="s">
        <v>28</v>
      </c>
      <c r="D126" s="259" t="n">
        <v>0.0860782424702139</v>
      </c>
      <c r="E126" s="257" t="n">
        <v>0.0765</v>
      </c>
      <c r="F126" s="257" t="n">
        <v>0.0776</v>
      </c>
      <c r="G126" s="257" t="n">
        <v>0.0787</v>
      </c>
      <c r="H126" s="257" t="n">
        <v>0.0798</v>
      </c>
      <c r="I126" s="257" t="n">
        <v>0.0809</v>
      </c>
      <c r="J126" s="258" t="n">
        <v>0.082</v>
      </c>
    </row>
    <row r="127" customFormat="false" ht="15" hidden="false" customHeight="false" outlineLevel="0" collapsed="false">
      <c r="A127" s="256"/>
      <c r="B127" s="203" t="s">
        <v>567</v>
      </c>
      <c r="C127" s="202" t="s">
        <v>28</v>
      </c>
      <c r="D127" s="259" t="n">
        <v>9.48371043676489E-005</v>
      </c>
      <c r="E127" s="257" t="n">
        <v>0</v>
      </c>
      <c r="F127" s="257" t="n">
        <v>0</v>
      </c>
      <c r="G127" s="257" t="n">
        <v>0</v>
      </c>
      <c r="H127" s="257" t="n">
        <v>0</v>
      </c>
      <c r="I127" s="257" t="n">
        <v>0</v>
      </c>
      <c r="J127" s="258" t="n">
        <v>0</v>
      </c>
    </row>
    <row r="128" customFormat="false" ht="15" hidden="false" customHeight="false" outlineLevel="0" collapsed="false">
      <c r="A128" s="256" t="s">
        <v>568</v>
      </c>
      <c r="B128" s="203" t="s">
        <v>569</v>
      </c>
      <c r="C128" s="202" t="s">
        <v>28</v>
      </c>
      <c r="D128" s="259" t="n">
        <v>0.0686953411602306</v>
      </c>
      <c r="E128" s="259" t="n">
        <v>0.079</v>
      </c>
      <c r="F128" s="259" t="n">
        <v>0.0853</v>
      </c>
      <c r="G128" s="259" t="n">
        <v>0.0916</v>
      </c>
      <c r="H128" s="259" t="n">
        <v>0.098</v>
      </c>
      <c r="I128" s="259" t="n">
        <v>0.1043</v>
      </c>
      <c r="J128" s="226" t="n">
        <v>0.1106</v>
      </c>
    </row>
    <row r="129" customFormat="false" ht="15" hidden="false" customHeight="false" outlineLevel="0" collapsed="false">
      <c r="A129" s="256"/>
      <c r="B129" s="260" t="s">
        <v>570</v>
      </c>
      <c r="C129" s="202" t="s">
        <v>28</v>
      </c>
      <c r="D129" s="259" t="n">
        <v>0.855246437713092</v>
      </c>
      <c r="E129" s="259" t="n">
        <v>0.803</v>
      </c>
      <c r="F129" s="259" t="n">
        <v>0.7596</v>
      </c>
      <c r="G129" s="259" t="n">
        <v>0.7162</v>
      </c>
      <c r="H129" s="259" t="n">
        <v>0.6728</v>
      </c>
      <c r="I129" s="259" t="n">
        <v>0.6294</v>
      </c>
      <c r="J129" s="226" t="n">
        <v>0.586</v>
      </c>
    </row>
    <row r="130" customFormat="false" ht="15" hidden="false" customHeight="false" outlineLevel="0" collapsed="false">
      <c r="A130" s="256"/>
      <c r="B130" s="203" t="s">
        <v>565</v>
      </c>
      <c r="C130" s="202" t="s">
        <v>28</v>
      </c>
      <c r="D130" s="259" t="n">
        <v>0.0651057450277185</v>
      </c>
      <c r="E130" s="259" t="n">
        <v>0.0975</v>
      </c>
      <c r="F130" s="259" t="n">
        <v>0.1387</v>
      </c>
      <c r="G130" s="259" t="n">
        <v>0.1799</v>
      </c>
      <c r="H130" s="259" t="n">
        <v>0.2211</v>
      </c>
      <c r="I130" s="259" t="n">
        <v>0.2622</v>
      </c>
      <c r="J130" s="226" t="n">
        <v>0.3034</v>
      </c>
    </row>
    <row r="131" customFormat="false" ht="15" hidden="false" customHeight="false" outlineLevel="0" collapsed="false">
      <c r="A131" s="256"/>
      <c r="B131" s="203" t="s">
        <v>566</v>
      </c>
      <c r="C131" s="202" t="s">
        <v>28</v>
      </c>
      <c r="D131" s="259" t="n">
        <v>0</v>
      </c>
      <c r="E131" s="259" t="n">
        <v>0</v>
      </c>
      <c r="F131" s="259" t="n">
        <v>0</v>
      </c>
      <c r="G131" s="259" t="n">
        <v>0</v>
      </c>
      <c r="H131" s="259" t="n">
        <v>0</v>
      </c>
      <c r="I131" s="259" t="n">
        <v>0</v>
      </c>
      <c r="J131" s="226" t="n">
        <v>0</v>
      </c>
    </row>
    <row r="132" customFormat="false" ht="15" hidden="false" customHeight="false" outlineLevel="0" collapsed="false">
      <c r="A132" s="256"/>
      <c r="B132" s="203" t="s">
        <v>567</v>
      </c>
      <c r="C132" s="202" t="s">
        <v>28</v>
      </c>
      <c r="D132" s="259" t="n">
        <v>0.0109524760989591</v>
      </c>
      <c r="E132" s="259" t="n">
        <v>0.0205</v>
      </c>
      <c r="F132" s="259" t="n">
        <v>0.0164</v>
      </c>
      <c r="G132" s="259" t="n">
        <v>0.0123</v>
      </c>
      <c r="H132" s="259" t="n">
        <v>0.0082</v>
      </c>
      <c r="I132" s="259" t="n">
        <v>0.0041</v>
      </c>
      <c r="J132" s="226" t="n">
        <v>0</v>
      </c>
    </row>
    <row r="133" customFormat="false" ht="15" hidden="false" customHeight="false" outlineLevel="0" collapsed="false">
      <c r="A133" s="208" t="s">
        <v>571</v>
      </c>
      <c r="B133" s="261"/>
      <c r="C133" s="202" t="s">
        <v>572</v>
      </c>
      <c r="D133" s="262" t="n">
        <f aca="false">SUM(D123:D127)</f>
        <v>1</v>
      </c>
      <c r="E133" s="262" t="n">
        <f aca="false">SUM(E123:E127)</f>
        <v>1</v>
      </c>
      <c r="F133" s="262" t="n">
        <f aca="false">SUM(F123:F127)</f>
        <v>1</v>
      </c>
      <c r="G133" s="262" t="n">
        <f aca="false">SUM(G123:G127)</f>
        <v>1</v>
      </c>
      <c r="H133" s="262" t="n">
        <f aca="false">SUM(H123:H127)</f>
        <v>1</v>
      </c>
      <c r="I133" s="262" t="n">
        <f aca="false">SUM(I123:I127)</f>
        <v>1</v>
      </c>
      <c r="J133" s="262" t="n">
        <f aca="false">SUM(J123:J127)</f>
        <v>1</v>
      </c>
    </row>
    <row r="134" customFormat="false" ht="15" hidden="false" customHeight="false" outlineLevel="0" collapsed="false">
      <c r="A134" s="263" t="s">
        <v>573</v>
      </c>
      <c r="B134" s="261"/>
      <c r="C134" s="205" t="s">
        <v>572</v>
      </c>
      <c r="D134" s="262" t="n">
        <f aca="false">SUM(D128:D132)</f>
        <v>1</v>
      </c>
      <c r="E134" s="262" t="n">
        <f aca="false">SUM(E128:E132)</f>
        <v>1</v>
      </c>
      <c r="F134" s="262" t="n">
        <f aca="false">SUM(F128:F132)</f>
        <v>1</v>
      </c>
      <c r="G134" s="262" t="n">
        <f aca="false">SUM(G128:G132)</f>
        <v>1</v>
      </c>
      <c r="H134" s="262" t="n">
        <f aca="false">SUM(H128:H132)</f>
        <v>1.0001</v>
      </c>
      <c r="I134" s="262" t="n">
        <f aca="false">SUM(I128:I132)</f>
        <v>1</v>
      </c>
      <c r="J134" s="262" t="n">
        <f aca="false">SUM(J128:J132)</f>
        <v>1</v>
      </c>
    </row>
    <row r="136" customFormat="false" ht="17.35" hidden="false" customHeight="false" outlineLevel="0" collapsed="false">
      <c r="A136" s="200" t="s">
        <v>574</v>
      </c>
      <c r="B136" s="200"/>
      <c r="C136" s="200"/>
      <c r="D136" s="200"/>
      <c r="E136" s="200"/>
      <c r="F136" s="200"/>
      <c r="G136" s="200"/>
      <c r="H136" s="200"/>
    </row>
    <row r="137" customFormat="false" ht="15" hidden="false" customHeight="false" outlineLevel="0" collapsed="false">
      <c r="A137" s="208" t="s">
        <v>36</v>
      </c>
      <c r="B137" s="202" t="s">
        <v>36</v>
      </c>
      <c r="C137" s="203" t="n">
        <v>2025</v>
      </c>
      <c r="D137" s="203" t="n">
        <v>2030</v>
      </c>
      <c r="E137" s="203" t="n">
        <v>2035</v>
      </c>
      <c r="F137" s="203" t="n">
        <v>2040</v>
      </c>
      <c r="G137" s="203" t="n">
        <v>2045</v>
      </c>
      <c r="H137" s="204" t="n">
        <v>2050</v>
      </c>
    </row>
    <row r="138" customFormat="false" ht="15" hidden="false" customHeight="false" outlineLevel="0" collapsed="false">
      <c r="A138" s="264" t="s">
        <v>565</v>
      </c>
      <c r="B138" s="202" t="s">
        <v>575</v>
      </c>
      <c r="C138" s="226" t="n">
        <v>0.2911</v>
      </c>
      <c r="D138" s="226" t="n">
        <v>0.2559</v>
      </c>
      <c r="E138" s="226" t="n">
        <v>0.2207</v>
      </c>
      <c r="F138" s="226" t="n">
        <v>0.1855</v>
      </c>
      <c r="G138" s="226" t="n">
        <v>0.1503</v>
      </c>
      <c r="H138" s="226" t="n">
        <v>0.115</v>
      </c>
    </row>
    <row r="139" customFormat="false" ht="15" hidden="false" customHeight="false" outlineLevel="0" collapsed="false">
      <c r="A139" s="264"/>
      <c r="B139" s="202" t="s">
        <v>192</v>
      </c>
      <c r="C139" s="226" t="n">
        <v>0</v>
      </c>
      <c r="D139" s="226" t="n">
        <v>0</v>
      </c>
      <c r="E139" s="226" t="n">
        <v>0</v>
      </c>
      <c r="F139" s="226" t="n">
        <v>0</v>
      </c>
      <c r="G139" s="226" t="n">
        <v>0</v>
      </c>
      <c r="H139" s="226" t="n">
        <v>0</v>
      </c>
    </row>
    <row r="140" customFormat="false" ht="15" hidden="false" customHeight="false" outlineLevel="0" collapsed="false">
      <c r="A140" s="264"/>
      <c r="B140" s="202" t="s">
        <v>374</v>
      </c>
      <c r="C140" s="226" t="n">
        <v>0.7089</v>
      </c>
      <c r="D140" s="226" t="n">
        <v>0.7441</v>
      </c>
      <c r="E140" s="226" t="n">
        <v>0.7793</v>
      </c>
      <c r="F140" s="226" t="n">
        <v>0.8145</v>
      </c>
      <c r="G140" s="226" t="n">
        <v>0.8497</v>
      </c>
      <c r="H140" s="226" t="n">
        <v>0.885</v>
      </c>
    </row>
    <row r="141" customFormat="false" ht="15" hidden="false" customHeight="false" outlineLevel="0" collapsed="false">
      <c r="A141" s="264"/>
      <c r="B141" s="202" t="s">
        <v>576</v>
      </c>
      <c r="C141" s="226" t="n">
        <v>0</v>
      </c>
      <c r="D141" s="226" t="n">
        <v>0</v>
      </c>
      <c r="E141" s="226" t="n">
        <v>0</v>
      </c>
      <c r="F141" s="226" t="n">
        <v>0</v>
      </c>
      <c r="G141" s="226" t="n">
        <v>0</v>
      </c>
      <c r="H141" s="226" t="n">
        <v>0</v>
      </c>
    </row>
    <row r="142" customFormat="false" ht="15" hidden="false" customHeight="false" outlineLevel="0" collapsed="false">
      <c r="A142" s="264" t="s">
        <v>563</v>
      </c>
      <c r="B142" s="202" t="s">
        <v>575</v>
      </c>
      <c r="C142" s="257" t="n">
        <v>0.9563</v>
      </c>
      <c r="D142" s="257" t="n">
        <v>0.847</v>
      </c>
      <c r="E142" s="257" t="n">
        <v>0.7378</v>
      </c>
      <c r="F142" s="257" t="n">
        <v>0.6285</v>
      </c>
      <c r="G142" s="257" t="n">
        <v>0.5193</v>
      </c>
      <c r="H142" s="258" t="n">
        <v>0.41</v>
      </c>
    </row>
    <row r="143" customFormat="false" ht="15" hidden="false" customHeight="false" outlineLevel="0" collapsed="false">
      <c r="A143" s="264"/>
      <c r="B143" s="202" t="s">
        <v>192</v>
      </c>
      <c r="C143" s="257" t="n">
        <v>0.0185</v>
      </c>
      <c r="D143" s="257" t="n">
        <v>0.0648</v>
      </c>
      <c r="E143" s="257" t="n">
        <v>0.1111</v>
      </c>
      <c r="F143" s="257" t="n">
        <v>0.1574</v>
      </c>
      <c r="G143" s="257" t="n">
        <v>0.2037</v>
      </c>
      <c r="H143" s="258" t="n">
        <v>0.25</v>
      </c>
    </row>
    <row r="144" customFormat="false" ht="15" hidden="false" customHeight="false" outlineLevel="0" collapsed="false">
      <c r="A144" s="264"/>
      <c r="B144" s="202" t="s">
        <v>374</v>
      </c>
      <c r="C144" s="257" t="n">
        <v>0.0037</v>
      </c>
      <c r="D144" s="257" t="n">
        <v>0.013</v>
      </c>
      <c r="E144" s="257" t="n">
        <v>0.0222</v>
      </c>
      <c r="F144" s="257" t="n">
        <v>0.0315</v>
      </c>
      <c r="G144" s="257" t="n">
        <v>0.0407</v>
      </c>
      <c r="H144" s="258" t="n">
        <v>0.05</v>
      </c>
    </row>
    <row r="145" customFormat="false" ht="15" hidden="false" customHeight="false" outlineLevel="0" collapsed="false">
      <c r="A145" s="264"/>
      <c r="B145" s="202" t="s">
        <v>576</v>
      </c>
      <c r="C145" s="257" t="n">
        <v>0.0215</v>
      </c>
      <c r="D145" s="257" t="n">
        <v>0.0752</v>
      </c>
      <c r="E145" s="257" t="n">
        <v>0.1289</v>
      </c>
      <c r="F145" s="257" t="n">
        <v>0.1826</v>
      </c>
      <c r="G145" s="257" t="n">
        <v>0.2363</v>
      </c>
      <c r="H145" s="258" t="n">
        <v>0.29</v>
      </c>
    </row>
    <row r="146" customFormat="false" ht="15" hidden="false" customHeight="false" outlineLevel="0" collapsed="false">
      <c r="A146" s="256" t="s">
        <v>577</v>
      </c>
      <c r="B146" s="202" t="s">
        <v>575</v>
      </c>
      <c r="C146" s="257" t="n">
        <v>0.9222</v>
      </c>
      <c r="D146" s="257" t="n">
        <v>0.7478</v>
      </c>
      <c r="E146" s="257" t="n">
        <v>0.5733</v>
      </c>
      <c r="F146" s="257" t="n">
        <v>0.3989</v>
      </c>
      <c r="G146" s="257" t="n">
        <v>0.2244</v>
      </c>
      <c r="H146" s="258" t="n">
        <v>0.05</v>
      </c>
    </row>
    <row r="147" customFormat="false" ht="15" hidden="false" customHeight="false" outlineLevel="0" collapsed="false">
      <c r="A147" s="256"/>
      <c r="B147" s="202" t="s">
        <v>192</v>
      </c>
      <c r="C147" s="257" t="n">
        <v>0.0149</v>
      </c>
      <c r="D147" s="257" t="n">
        <v>0.0379</v>
      </c>
      <c r="E147" s="257" t="n">
        <v>0.061</v>
      </c>
      <c r="F147" s="257" t="n">
        <v>0.084</v>
      </c>
      <c r="G147" s="257" t="n">
        <v>0.107</v>
      </c>
      <c r="H147" s="258" t="n">
        <v>0.13</v>
      </c>
    </row>
    <row r="148" customFormat="false" ht="15" hidden="false" customHeight="false" outlineLevel="0" collapsed="false">
      <c r="A148" s="256"/>
      <c r="B148" s="202" t="s">
        <v>374</v>
      </c>
      <c r="C148" s="257" t="n">
        <v>0.0607</v>
      </c>
      <c r="D148" s="257" t="n">
        <v>0.2066</v>
      </c>
      <c r="E148" s="257" t="n">
        <v>0.3524</v>
      </c>
      <c r="F148" s="257" t="n">
        <v>0.4983</v>
      </c>
      <c r="G148" s="257" t="n">
        <v>0.6441</v>
      </c>
      <c r="H148" s="258" t="n">
        <v>0.79</v>
      </c>
    </row>
    <row r="149" customFormat="false" ht="15" hidden="false" customHeight="false" outlineLevel="0" collapsed="false">
      <c r="A149" s="256"/>
      <c r="B149" s="202" t="s">
        <v>576</v>
      </c>
      <c r="C149" s="257" t="n">
        <v>0.0022</v>
      </c>
      <c r="D149" s="257" t="n">
        <v>0.0078</v>
      </c>
      <c r="E149" s="257" t="n">
        <v>0.0133</v>
      </c>
      <c r="F149" s="257" t="n">
        <v>0.0189</v>
      </c>
      <c r="G149" s="257" t="n">
        <v>0.0244</v>
      </c>
      <c r="H149" s="258" t="n">
        <v>0.03</v>
      </c>
    </row>
    <row r="150" customFormat="false" ht="15" hidden="false" customHeight="false" outlineLevel="0" collapsed="false">
      <c r="A150" s="256" t="s">
        <v>566</v>
      </c>
      <c r="B150" s="202" t="s">
        <v>575</v>
      </c>
      <c r="C150" s="257" t="n">
        <v>0.9826</v>
      </c>
      <c r="D150" s="257" t="n">
        <v>0.939</v>
      </c>
      <c r="E150" s="257" t="n">
        <v>0.8954</v>
      </c>
      <c r="F150" s="257" t="n">
        <v>0.8518</v>
      </c>
      <c r="G150" s="257" t="n">
        <v>0.8083</v>
      </c>
      <c r="H150" s="258" t="n">
        <v>0.7647</v>
      </c>
    </row>
    <row r="151" customFormat="false" ht="15" hidden="false" customHeight="false" outlineLevel="0" collapsed="false">
      <c r="A151" s="256"/>
      <c r="B151" s="202" t="s">
        <v>192</v>
      </c>
      <c r="C151" s="259" t="n">
        <v>0.0174</v>
      </c>
      <c r="D151" s="259" t="n">
        <v>0.061</v>
      </c>
      <c r="E151" s="259" t="n">
        <v>0.1046</v>
      </c>
      <c r="F151" s="259" t="n">
        <v>0.1482</v>
      </c>
      <c r="G151" s="259" t="n">
        <v>0.1917</v>
      </c>
      <c r="H151" s="226" t="n">
        <v>0.2353</v>
      </c>
    </row>
    <row r="152" customFormat="false" ht="15" hidden="false" customHeight="false" outlineLevel="0" collapsed="false">
      <c r="A152" s="256"/>
      <c r="B152" s="202" t="s">
        <v>374</v>
      </c>
      <c r="C152" s="259" t="n">
        <v>0</v>
      </c>
      <c r="D152" s="259" t="n">
        <v>0</v>
      </c>
      <c r="E152" s="259" t="n">
        <v>0</v>
      </c>
      <c r="F152" s="259" t="n">
        <v>0</v>
      </c>
      <c r="G152" s="259" t="n">
        <v>0</v>
      </c>
      <c r="H152" s="226" t="n">
        <v>0</v>
      </c>
    </row>
    <row r="153" customFormat="false" ht="15" hidden="false" customHeight="false" outlineLevel="0" collapsed="false">
      <c r="A153" s="256"/>
      <c r="B153" s="202" t="s">
        <v>576</v>
      </c>
      <c r="C153" s="259" t="n">
        <v>0</v>
      </c>
      <c r="D153" s="259" t="n">
        <v>0</v>
      </c>
      <c r="E153" s="259" t="n">
        <v>0</v>
      </c>
      <c r="F153" s="259" t="n">
        <v>0</v>
      </c>
      <c r="G153" s="259" t="n">
        <v>0</v>
      </c>
      <c r="H153" s="226" t="n">
        <v>0</v>
      </c>
    </row>
    <row r="154" customFormat="false" ht="15" hidden="false" customHeight="false" outlineLevel="0" collapsed="false">
      <c r="A154" s="256" t="s">
        <v>567</v>
      </c>
      <c r="B154" s="202" t="s">
        <v>575</v>
      </c>
      <c r="C154" s="259" t="n">
        <v>1</v>
      </c>
      <c r="D154" s="259" t="n">
        <v>1</v>
      </c>
      <c r="E154" s="259" t="n">
        <v>1</v>
      </c>
      <c r="F154" s="259" t="n">
        <v>1</v>
      </c>
      <c r="G154" s="259" t="n">
        <v>1</v>
      </c>
      <c r="H154" s="259" t="n">
        <v>1</v>
      </c>
    </row>
    <row r="155" customFormat="false" ht="15" hidden="false" customHeight="false" outlineLevel="0" collapsed="false">
      <c r="A155" s="256"/>
      <c r="B155" s="202" t="s">
        <v>192</v>
      </c>
      <c r="C155" s="259" t="n">
        <v>0</v>
      </c>
      <c r="D155" s="259" t="n">
        <v>0</v>
      </c>
      <c r="E155" s="259" t="n">
        <v>0</v>
      </c>
      <c r="F155" s="259" t="n">
        <v>0</v>
      </c>
      <c r="G155" s="259" t="n">
        <v>0</v>
      </c>
      <c r="H155" s="226" t="n">
        <v>0</v>
      </c>
    </row>
    <row r="156" customFormat="false" ht="15" hidden="false" customHeight="false" outlineLevel="0" collapsed="false">
      <c r="A156" s="256"/>
      <c r="B156" s="202" t="s">
        <v>374</v>
      </c>
      <c r="C156" s="259" t="n">
        <v>0</v>
      </c>
      <c r="D156" s="259" t="n">
        <v>0</v>
      </c>
      <c r="E156" s="259" t="n">
        <v>0</v>
      </c>
      <c r="F156" s="259" t="n">
        <v>0</v>
      </c>
      <c r="G156" s="259" t="n">
        <v>0</v>
      </c>
      <c r="H156" s="226" t="n">
        <v>0</v>
      </c>
    </row>
    <row r="157" customFormat="false" ht="15" hidden="false" customHeight="false" outlineLevel="0" collapsed="false">
      <c r="A157" s="256"/>
      <c r="B157" s="202" t="s">
        <v>576</v>
      </c>
      <c r="C157" s="259" t="n">
        <v>0</v>
      </c>
      <c r="D157" s="259" t="n">
        <v>0</v>
      </c>
      <c r="E157" s="259" t="n">
        <v>0</v>
      </c>
      <c r="F157" s="259" t="n">
        <v>0</v>
      </c>
      <c r="G157" s="259" t="n">
        <v>0</v>
      </c>
      <c r="H157" s="226" t="n">
        <v>0</v>
      </c>
    </row>
    <row r="158" customFormat="false" ht="17.35" hidden="false" customHeight="false" outlineLevel="0" collapsed="false">
      <c r="A158" s="265" t="s">
        <v>578</v>
      </c>
      <c r="B158" s="265"/>
      <c r="C158" s="265"/>
      <c r="D158" s="265"/>
      <c r="E158" s="265"/>
      <c r="F158" s="265"/>
      <c r="G158" s="265"/>
      <c r="H158" s="265"/>
    </row>
    <row r="159" customFormat="false" ht="15" hidden="false" customHeight="false" outlineLevel="0" collapsed="false">
      <c r="A159" s="208" t="s">
        <v>36</v>
      </c>
      <c r="B159" s="202" t="s">
        <v>36</v>
      </c>
      <c r="C159" s="203" t="n">
        <v>2025</v>
      </c>
      <c r="D159" s="203" t="n">
        <v>2030</v>
      </c>
      <c r="E159" s="203" t="n">
        <v>2035</v>
      </c>
      <c r="F159" s="203" t="n">
        <v>2040</v>
      </c>
      <c r="G159" s="203" t="n">
        <v>2045</v>
      </c>
      <c r="H159" s="204" t="n">
        <v>2050</v>
      </c>
    </row>
    <row r="160" customFormat="false" ht="15" hidden="false" customHeight="false" outlineLevel="0" collapsed="false">
      <c r="A160" s="256" t="s">
        <v>565</v>
      </c>
      <c r="B160" s="202" t="s">
        <v>575</v>
      </c>
      <c r="C160" s="259" t="n">
        <v>0.1631</v>
      </c>
      <c r="D160" s="259" t="n">
        <v>0.1405</v>
      </c>
      <c r="E160" s="259" t="n">
        <v>0.1179</v>
      </c>
      <c r="F160" s="259" t="n">
        <v>0.0953</v>
      </c>
      <c r="G160" s="259" t="n">
        <v>0.0726</v>
      </c>
      <c r="H160" s="259" t="n">
        <v>0.05</v>
      </c>
    </row>
    <row r="161" customFormat="false" ht="15" hidden="false" customHeight="false" outlineLevel="0" collapsed="false">
      <c r="A161" s="256"/>
      <c r="B161" s="202" t="s">
        <v>192</v>
      </c>
      <c r="C161" s="259" t="n">
        <v>0</v>
      </c>
      <c r="D161" s="259" t="n">
        <v>0</v>
      </c>
      <c r="E161" s="259" t="n">
        <v>0</v>
      </c>
      <c r="F161" s="259" t="n">
        <v>0</v>
      </c>
      <c r="G161" s="259" t="n">
        <v>0</v>
      </c>
      <c r="H161" s="259" t="n">
        <v>0</v>
      </c>
    </row>
    <row r="162" customFormat="false" ht="15" hidden="false" customHeight="false" outlineLevel="0" collapsed="false">
      <c r="A162" s="256"/>
      <c r="B162" s="202" t="s">
        <v>374</v>
      </c>
      <c r="C162" s="259" t="n">
        <v>0.8369</v>
      </c>
      <c r="D162" s="259" t="n">
        <v>0.8595</v>
      </c>
      <c r="E162" s="259" t="n">
        <v>0.8821</v>
      </c>
      <c r="F162" s="259" t="n">
        <v>0.9047</v>
      </c>
      <c r="G162" s="259" t="n">
        <v>0.9274</v>
      </c>
      <c r="H162" s="259" t="n">
        <v>0.95</v>
      </c>
    </row>
    <row r="163" customFormat="false" ht="15" hidden="false" customHeight="false" outlineLevel="0" collapsed="false">
      <c r="A163" s="256"/>
      <c r="B163" s="202" t="s">
        <v>576</v>
      </c>
      <c r="C163" s="259" t="n">
        <v>0</v>
      </c>
      <c r="D163" s="259" t="n">
        <v>0</v>
      </c>
      <c r="E163" s="259" t="n">
        <v>0</v>
      </c>
      <c r="F163" s="259" t="n">
        <v>0</v>
      </c>
      <c r="G163" s="259" t="n">
        <v>0</v>
      </c>
      <c r="H163" s="259" t="n">
        <v>0</v>
      </c>
    </row>
    <row r="164" customFormat="false" ht="15" hidden="false" customHeight="false" outlineLevel="0" collapsed="false">
      <c r="A164" s="256" t="s">
        <v>579</v>
      </c>
      <c r="B164" s="202" t="s">
        <v>575</v>
      </c>
      <c r="C164" s="259" t="n">
        <v>0.8435</v>
      </c>
      <c r="D164" s="259" t="n">
        <v>0.7076</v>
      </c>
      <c r="E164" s="259" t="n">
        <v>0.5717</v>
      </c>
      <c r="F164" s="259" t="n">
        <v>0.4358</v>
      </c>
      <c r="G164" s="259" t="n">
        <v>0.2999</v>
      </c>
      <c r="H164" s="226" t="n">
        <v>0.164</v>
      </c>
    </row>
    <row r="165" customFormat="false" ht="15" hidden="false" customHeight="false" outlineLevel="0" collapsed="false">
      <c r="A165" s="256"/>
      <c r="B165" s="202" t="s">
        <v>192</v>
      </c>
      <c r="C165" s="259" t="n">
        <v>0.0911</v>
      </c>
      <c r="D165" s="259" t="n">
        <v>0.1073</v>
      </c>
      <c r="E165" s="259" t="n">
        <v>0.1234</v>
      </c>
      <c r="F165" s="259" t="n">
        <v>0.1396</v>
      </c>
      <c r="G165" s="259" t="n">
        <v>0.1558</v>
      </c>
      <c r="H165" s="226" t="n">
        <v>0.172</v>
      </c>
    </row>
    <row r="166" customFormat="false" ht="15" hidden="false" customHeight="false" outlineLevel="0" collapsed="false">
      <c r="A166" s="256"/>
      <c r="B166" s="202" t="s">
        <v>374</v>
      </c>
      <c r="C166" s="259" t="n">
        <v>0.0568</v>
      </c>
      <c r="D166" s="259" t="n">
        <v>0.155</v>
      </c>
      <c r="E166" s="259" t="n">
        <v>0.2533</v>
      </c>
      <c r="F166" s="259" t="n">
        <v>0.3515</v>
      </c>
      <c r="G166" s="259" t="n">
        <v>0.4498</v>
      </c>
      <c r="H166" s="226" t="n">
        <v>0.548</v>
      </c>
    </row>
    <row r="167" customFormat="false" ht="15" hidden="false" customHeight="false" outlineLevel="0" collapsed="false">
      <c r="A167" s="256"/>
      <c r="B167" s="202" t="s">
        <v>576</v>
      </c>
      <c r="C167" s="259" t="n">
        <v>0.0086</v>
      </c>
      <c r="D167" s="259" t="n">
        <v>0.0301</v>
      </c>
      <c r="E167" s="259" t="n">
        <v>0.0516</v>
      </c>
      <c r="F167" s="259" t="n">
        <v>0.0731</v>
      </c>
      <c r="G167" s="259" t="n">
        <v>0.0945</v>
      </c>
      <c r="H167" s="226" t="n">
        <v>0.116</v>
      </c>
    </row>
    <row r="168" customFormat="false" ht="15" hidden="false" customHeight="false" outlineLevel="0" collapsed="false">
      <c r="A168" s="256" t="s">
        <v>566</v>
      </c>
      <c r="B168" s="202" t="s">
        <v>575</v>
      </c>
      <c r="C168" s="259" t="n">
        <v>0.9826</v>
      </c>
      <c r="D168" s="259" t="n">
        <v>0.939</v>
      </c>
      <c r="E168" s="259" t="n">
        <v>0.8954</v>
      </c>
      <c r="F168" s="259" t="n">
        <v>0.8518</v>
      </c>
      <c r="G168" s="259" t="n">
        <v>0.8083</v>
      </c>
      <c r="H168" s="226" t="n">
        <v>0.7647</v>
      </c>
    </row>
    <row r="169" customFormat="false" ht="15" hidden="false" customHeight="false" outlineLevel="0" collapsed="false">
      <c r="A169" s="256"/>
      <c r="B169" s="202" t="s">
        <v>192</v>
      </c>
      <c r="C169" s="259" t="n">
        <v>0.0174</v>
      </c>
      <c r="D169" s="259" t="n">
        <v>0.061</v>
      </c>
      <c r="E169" s="259" t="n">
        <v>0.1046</v>
      </c>
      <c r="F169" s="259" t="n">
        <v>0.1482</v>
      </c>
      <c r="G169" s="259" t="n">
        <v>0.1917</v>
      </c>
      <c r="H169" s="226" t="n">
        <v>0.2353</v>
      </c>
    </row>
    <row r="170" customFormat="false" ht="15" hidden="false" customHeight="false" outlineLevel="0" collapsed="false">
      <c r="A170" s="256"/>
      <c r="B170" s="202" t="s">
        <v>374</v>
      </c>
      <c r="C170" s="259" t="n">
        <v>0</v>
      </c>
      <c r="D170" s="259" t="n">
        <v>0</v>
      </c>
      <c r="E170" s="259" t="n">
        <v>0</v>
      </c>
      <c r="F170" s="259" t="n">
        <v>0</v>
      </c>
      <c r="G170" s="259" t="n">
        <v>0</v>
      </c>
      <c r="H170" s="226" t="n">
        <v>0</v>
      </c>
    </row>
    <row r="171" customFormat="false" ht="15" hidden="false" customHeight="false" outlineLevel="0" collapsed="false">
      <c r="A171" s="256"/>
      <c r="B171" s="202" t="s">
        <v>576</v>
      </c>
      <c r="C171" s="259" t="n">
        <v>0</v>
      </c>
      <c r="D171" s="259" t="n">
        <v>0</v>
      </c>
      <c r="E171" s="259" t="n">
        <v>0</v>
      </c>
      <c r="F171" s="259" t="n">
        <v>0</v>
      </c>
      <c r="G171" s="259" t="n">
        <v>0</v>
      </c>
      <c r="H171" s="226" t="n">
        <v>0</v>
      </c>
    </row>
    <row r="172" customFormat="false" ht="15" hidden="false" customHeight="false" outlineLevel="0" collapsed="false">
      <c r="A172" s="256" t="s">
        <v>567</v>
      </c>
      <c r="B172" s="202" t="s">
        <v>575</v>
      </c>
      <c r="C172" s="259" t="n">
        <v>0.994397759103642</v>
      </c>
      <c r="D172" s="259" t="n">
        <v>0.991596638655462</v>
      </c>
      <c r="E172" s="259" t="n">
        <v>0.988795518207283</v>
      </c>
      <c r="F172" s="259" t="n">
        <v>0.985994397759104</v>
      </c>
      <c r="G172" s="259" t="n">
        <v>0.983193277310924</v>
      </c>
      <c r="H172" s="226" t="n">
        <v>0.980392156862745</v>
      </c>
    </row>
    <row r="173" customFormat="false" ht="15" hidden="false" customHeight="false" outlineLevel="0" collapsed="false">
      <c r="A173" s="256"/>
      <c r="B173" s="202" t="s">
        <v>192</v>
      </c>
      <c r="C173" s="259" t="n">
        <v>0</v>
      </c>
      <c r="D173" s="259" t="n">
        <v>0</v>
      </c>
      <c r="E173" s="259" t="n">
        <v>0</v>
      </c>
      <c r="F173" s="259" t="n">
        <v>0</v>
      </c>
      <c r="G173" s="259" t="n">
        <v>0</v>
      </c>
      <c r="H173" s="226" t="n">
        <v>0</v>
      </c>
    </row>
    <row r="174" customFormat="false" ht="15" hidden="false" customHeight="false" outlineLevel="0" collapsed="false">
      <c r="A174" s="256"/>
      <c r="B174" s="202" t="s">
        <v>374</v>
      </c>
      <c r="C174" s="259" t="n">
        <v>0.00560224089635854</v>
      </c>
      <c r="D174" s="259" t="n">
        <v>0.00840336134453782</v>
      </c>
      <c r="E174" s="259" t="n">
        <v>0.0112044817927171</v>
      </c>
      <c r="F174" s="259" t="n">
        <v>0.0140056022408964</v>
      </c>
      <c r="G174" s="259" t="n">
        <v>0.0168067226890756</v>
      </c>
      <c r="H174" s="226" t="n">
        <v>0.0196078431372549</v>
      </c>
    </row>
    <row r="175" customFormat="false" ht="15" hidden="false" customHeight="false" outlineLevel="0" collapsed="false">
      <c r="A175" s="256"/>
      <c r="B175" s="202" t="s">
        <v>576</v>
      </c>
      <c r="C175" s="259" t="n">
        <v>0</v>
      </c>
      <c r="D175" s="259" t="n">
        <v>0</v>
      </c>
      <c r="E175" s="259" t="n">
        <v>0</v>
      </c>
      <c r="F175" s="259" t="n">
        <v>0</v>
      </c>
      <c r="G175" s="259" t="n">
        <v>0</v>
      </c>
      <c r="H175" s="226" t="n">
        <v>0</v>
      </c>
    </row>
    <row r="176" customFormat="false" ht="15" hidden="false" customHeight="false" outlineLevel="0" collapsed="false">
      <c r="A176" s="201" t="s">
        <v>580</v>
      </c>
      <c r="B176" s="202" t="s">
        <v>575</v>
      </c>
      <c r="C176" s="259" t="n">
        <v>0.9103</v>
      </c>
      <c r="D176" s="259" t="n">
        <v>0.7303</v>
      </c>
      <c r="E176" s="259" t="n">
        <v>0.5502</v>
      </c>
      <c r="F176" s="259" t="n">
        <v>0.3701</v>
      </c>
      <c r="G176" s="259" t="n">
        <v>0.19</v>
      </c>
      <c r="H176" s="226" t="n">
        <v>0.01</v>
      </c>
    </row>
    <row r="177" customFormat="false" ht="15" hidden="false" customHeight="false" outlineLevel="0" collapsed="false">
      <c r="A177" s="201"/>
      <c r="B177" s="202" t="s">
        <v>192</v>
      </c>
      <c r="C177" s="259" t="n">
        <v>0.0173</v>
      </c>
      <c r="D177" s="259" t="n">
        <v>0.0478</v>
      </c>
      <c r="E177" s="259" t="n">
        <v>0.0784</v>
      </c>
      <c r="F177" s="259" t="n">
        <v>0.1089</v>
      </c>
      <c r="G177" s="259" t="n">
        <v>0.1395</v>
      </c>
      <c r="H177" s="226" t="n">
        <v>0.17</v>
      </c>
    </row>
    <row r="178" customFormat="false" ht="15" hidden="false" customHeight="false" outlineLevel="0" collapsed="false">
      <c r="A178" s="201"/>
      <c r="B178" s="202" t="s">
        <v>374</v>
      </c>
      <c r="C178" s="259" t="n">
        <v>0.065</v>
      </c>
      <c r="D178" s="259" t="n">
        <v>0.212</v>
      </c>
      <c r="E178" s="259" t="n">
        <v>0.359</v>
      </c>
      <c r="F178" s="259" t="n">
        <v>0.506</v>
      </c>
      <c r="G178" s="259" t="n">
        <v>0.653</v>
      </c>
      <c r="H178" s="226" t="n">
        <v>0.8</v>
      </c>
    </row>
    <row r="179" customFormat="false" ht="15" hidden="false" customHeight="false" outlineLevel="0" collapsed="false">
      <c r="A179" s="201"/>
      <c r="B179" s="205" t="s">
        <v>576</v>
      </c>
      <c r="C179" s="206" t="n">
        <v>0.0074</v>
      </c>
      <c r="D179" s="206" t="n">
        <v>0.0099</v>
      </c>
      <c r="E179" s="206" t="n">
        <v>0.0124</v>
      </c>
      <c r="F179" s="206" t="n">
        <v>0.015</v>
      </c>
      <c r="G179" s="206" t="n">
        <v>0.0175</v>
      </c>
      <c r="H179" s="207" t="n">
        <v>0.02</v>
      </c>
    </row>
    <row r="180" s="266" customFormat="true" ht="15" hidden="false" customHeight="false" outlineLevel="0" collapsed="false"/>
    <row r="181" s="266" customFormat="true" ht="17.35" hidden="false" customHeight="false" outlineLevel="0" collapsed="false">
      <c r="A181" s="265" t="s">
        <v>581</v>
      </c>
      <c r="B181" s="265"/>
      <c r="C181" s="265"/>
      <c r="D181" s="265"/>
      <c r="E181" s="265"/>
      <c r="F181" s="265"/>
      <c r="G181" s="265"/>
      <c r="H181" s="265"/>
    </row>
    <row r="182" customFormat="false" ht="15" hidden="false" customHeight="false" outlineLevel="0" collapsed="false">
      <c r="A182" s="208" t="s">
        <v>36</v>
      </c>
      <c r="B182" s="202" t="s">
        <v>36</v>
      </c>
      <c r="C182" s="203" t="n">
        <v>2025</v>
      </c>
      <c r="D182" s="203" t="n">
        <v>2030</v>
      </c>
      <c r="E182" s="203" t="n">
        <v>2035</v>
      </c>
      <c r="F182" s="203" t="n">
        <v>2040</v>
      </c>
      <c r="G182" s="203" t="n">
        <v>2045</v>
      </c>
      <c r="H182" s="204" t="n">
        <v>2050</v>
      </c>
    </row>
    <row r="183" s="266" customFormat="true" ht="15" hidden="false" customHeight="false" outlineLevel="0" collapsed="false">
      <c r="A183" s="267" t="s">
        <v>582</v>
      </c>
      <c r="B183" s="202" t="s">
        <v>583</v>
      </c>
      <c r="C183" s="259" t="n">
        <v>0</v>
      </c>
      <c r="D183" s="259" t="n">
        <v>0</v>
      </c>
      <c r="E183" s="259" t="n">
        <v>0</v>
      </c>
      <c r="F183" s="259" t="n">
        <v>0</v>
      </c>
      <c r="G183" s="259" t="n">
        <v>0</v>
      </c>
      <c r="H183" s="259" t="n">
        <v>0</v>
      </c>
    </row>
    <row r="184" s="266" customFormat="true" ht="15" hidden="false" customHeight="false" outlineLevel="0" collapsed="false">
      <c r="A184" s="267"/>
      <c r="B184" s="202" t="s">
        <v>584</v>
      </c>
      <c r="C184" s="259" t="n">
        <v>0.35</v>
      </c>
      <c r="D184" s="259" t="n">
        <v>0.45</v>
      </c>
      <c r="E184" s="259" t="n">
        <v>0.5</v>
      </c>
      <c r="F184" s="259" t="n">
        <v>0.55</v>
      </c>
      <c r="G184" s="259" t="n">
        <v>0.58</v>
      </c>
      <c r="H184" s="259" t="n">
        <v>0.6</v>
      </c>
    </row>
    <row r="185" s="266" customFormat="true" ht="15" hidden="false" customHeight="false" outlineLevel="0" collapsed="false">
      <c r="A185" s="267"/>
      <c r="B185" s="202" t="s">
        <v>585</v>
      </c>
      <c r="C185" s="259" t="n">
        <v>0.15</v>
      </c>
      <c r="D185" s="259" t="n">
        <v>0.05</v>
      </c>
      <c r="E185" s="259" t="n">
        <v>0</v>
      </c>
      <c r="F185" s="259" t="n">
        <v>0</v>
      </c>
      <c r="G185" s="259" t="n">
        <v>0</v>
      </c>
      <c r="H185" s="259" t="n">
        <v>0</v>
      </c>
    </row>
    <row r="186" s="266" customFormat="true" ht="15" hidden="false" customHeight="false" outlineLevel="0" collapsed="false">
      <c r="A186" s="267"/>
      <c r="B186" s="202" t="s">
        <v>586</v>
      </c>
      <c r="C186" s="259" t="n">
        <v>0.4</v>
      </c>
      <c r="D186" s="259" t="n">
        <v>0.45</v>
      </c>
      <c r="E186" s="259" t="n">
        <v>0.45</v>
      </c>
      <c r="F186" s="259" t="n">
        <v>0.4</v>
      </c>
      <c r="G186" s="259" t="n">
        <v>0.37</v>
      </c>
      <c r="H186" s="259" t="n">
        <v>0.35</v>
      </c>
    </row>
    <row r="187" s="266" customFormat="true" ht="15" hidden="false" customHeight="false" outlineLevel="0" collapsed="false">
      <c r="A187" s="267"/>
      <c r="B187" s="202" t="s">
        <v>587</v>
      </c>
      <c r="C187" s="259" t="n">
        <v>0.1</v>
      </c>
      <c r="D187" s="259" t="n">
        <v>0.05</v>
      </c>
      <c r="E187" s="259" t="n">
        <v>0.05</v>
      </c>
      <c r="F187" s="259" t="n">
        <v>0.05</v>
      </c>
      <c r="G187" s="259" t="n">
        <v>0.05</v>
      </c>
      <c r="H187" s="259" t="n">
        <v>0.05</v>
      </c>
    </row>
    <row r="188" s="266" customFormat="true" ht="15" hidden="false" customHeight="false" outlineLevel="0" collapsed="false">
      <c r="A188" s="267" t="s">
        <v>579</v>
      </c>
      <c r="B188" s="202" t="s">
        <v>583</v>
      </c>
      <c r="C188" s="259" t="n">
        <v>0</v>
      </c>
      <c r="D188" s="259" t="n">
        <v>0</v>
      </c>
      <c r="E188" s="259" t="n">
        <v>0</v>
      </c>
      <c r="F188" s="259" t="n">
        <v>0</v>
      </c>
      <c r="G188" s="259" t="n">
        <v>0</v>
      </c>
      <c r="H188" s="259" t="n">
        <v>0</v>
      </c>
    </row>
    <row r="189" s="266" customFormat="true" ht="15" hidden="false" customHeight="false" outlineLevel="0" collapsed="false">
      <c r="A189" s="267"/>
      <c r="B189" s="202" t="s">
        <v>584</v>
      </c>
      <c r="C189" s="259" t="n">
        <v>0.65</v>
      </c>
      <c r="D189" s="259" t="n">
        <v>0.85</v>
      </c>
      <c r="E189" s="259" t="n">
        <v>0.95</v>
      </c>
      <c r="F189" s="259" t="n">
        <v>0.95</v>
      </c>
      <c r="G189" s="259" t="n">
        <v>0.95</v>
      </c>
      <c r="H189" s="259" t="n">
        <v>0.95</v>
      </c>
    </row>
    <row r="190" s="266" customFormat="true" ht="15" hidden="false" customHeight="false" outlineLevel="0" collapsed="false">
      <c r="A190" s="267"/>
      <c r="B190" s="202" t="s">
        <v>585</v>
      </c>
      <c r="C190" s="259" t="n">
        <v>0.25</v>
      </c>
      <c r="D190" s="259" t="n">
        <v>0.15</v>
      </c>
      <c r="E190" s="259" t="n">
        <v>0.05</v>
      </c>
      <c r="F190" s="259" t="n">
        <v>0.05</v>
      </c>
      <c r="G190" s="259" t="n">
        <v>0.05</v>
      </c>
      <c r="H190" s="259" t="n">
        <v>0.05</v>
      </c>
    </row>
    <row r="191" s="266" customFormat="true" ht="15" hidden="false" customHeight="false" outlineLevel="0" collapsed="false">
      <c r="A191" s="267"/>
      <c r="B191" s="202" t="s">
        <v>586</v>
      </c>
      <c r="C191" s="259" t="n">
        <v>0.1</v>
      </c>
      <c r="D191" s="259" t="n">
        <v>0</v>
      </c>
      <c r="E191" s="259" t="n">
        <v>0</v>
      </c>
      <c r="F191" s="259" t="n">
        <v>0</v>
      </c>
      <c r="G191" s="259" t="n">
        <v>0</v>
      </c>
      <c r="H191" s="259" t="n">
        <v>0</v>
      </c>
    </row>
    <row r="192" s="266" customFormat="true" ht="15" hidden="false" customHeight="false" outlineLevel="0" collapsed="false">
      <c r="A192" s="267"/>
      <c r="B192" s="202" t="s">
        <v>587</v>
      </c>
      <c r="C192" s="259" t="n">
        <v>0</v>
      </c>
      <c r="D192" s="259" t="n">
        <v>0</v>
      </c>
      <c r="E192" s="259" t="n">
        <v>0</v>
      </c>
      <c r="F192" s="259" t="n">
        <v>0</v>
      </c>
      <c r="G192" s="259" t="n">
        <v>0</v>
      </c>
      <c r="H192" s="259" t="n">
        <v>0</v>
      </c>
    </row>
    <row r="193" s="266" customFormat="true" ht="15" hidden="false" customHeight="false" outlineLevel="0" collapsed="false">
      <c r="A193" s="267" t="s">
        <v>588</v>
      </c>
      <c r="B193" s="202" t="s">
        <v>583</v>
      </c>
      <c r="C193" s="259" t="n">
        <v>0</v>
      </c>
      <c r="D193" s="259" t="n">
        <v>0</v>
      </c>
      <c r="E193" s="259" t="n">
        <v>0</v>
      </c>
      <c r="F193" s="259" t="n">
        <v>0</v>
      </c>
      <c r="G193" s="259" t="n">
        <v>0</v>
      </c>
      <c r="H193" s="259" t="n">
        <v>0</v>
      </c>
    </row>
    <row r="194" s="266" customFormat="true" ht="15" hidden="false" customHeight="false" outlineLevel="0" collapsed="false">
      <c r="A194" s="267"/>
      <c r="B194" s="202" t="s">
        <v>584</v>
      </c>
      <c r="C194" s="259" t="n">
        <v>0.2</v>
      </c>
      <c r="D194" s="259" t="n">
        <v>0.35</v>
      </c>
      <c r="E194" s="259" t="n">
        <v>0.45</v>
      </c>
      <c r="F194" s="259" t="n">
        <v>0.5</v>
      </c>
      <c r="G194" s="259" t="n">
        <v>0.52</v>
      </c>
      <c r="H194" s="259" t="n">
        <v>0.55</v>
      </c>
    </row>
    <row r="195" s="266" customFormat="true" ht="15" hidden="false" customHeight="false" outlineLevel="0" collapsed="false">
      <c r="A195" s="267"/>
      <c r="B195" s="202" t="s">
        <v>585</v>
      </c>
      <c r="C195" s="259" t="n">
        <v>0.65</v>
      </c>
      <c r="D195" s="259" t="n">
        <v>0.65</v>
      </c>
      <c r="E195" s="259" t="n">
        <v>0.55</v>
      </c>
      <c r="F195" s="259" t="n">
        <v>0.5</v>
      </c>
      <c r="G195" s="259" t="n">
        <v>0.48</v>
      </c>
      <c r="H195" s="259" t="n">
        <v>0.45</v>
      </c>
    </row>
    <row r="196" s="266" customFormat="true" ht="15" hidden="false" customHeight="false" outlineLevel="0" collapsed="false">
      <c r="A196" s="267"/>
      <c r="B196" s="202" t="s">
        <v>586</v>
      </c>
      <c r="C196" s="259" t="n">
        <v>0.15</v>
      </c>
      <c r="D196" s="259" t="n">
        <v>0</v>
      </c>
      <c r="E196" s="259" t="n">
        <v>0</v>
      </c>
      <c r="F196" s="259" t="n">
        <v>0</v>
      </c>
      <c r="G196" s="259" t="n">
        <v>0</v>
      </c>
      <c r="H196" s="259" t="n">
        <v>0</v>
      </c>
    </row>
    <row r="197" s="266" customFormat="true" ht="15" hidden="false" customHeight="false" outlineLevel="0" collapsed="false">
      <c r="A197" s="267"/>
      <c r="B197" s="202" t="s">
        <v>587</v>
      </c>
      <c r="C197" s="259" t="n">
        <v>0</v>
      </c>
      <c r="D197" s="259" t="n">
        <v>0</v>
      </c>
      <c r="E197" s="259" t="n">
        <v>0</v>
      </c>
      <c r="F197" s="259" t="n">
        <v>0</v>
      </c>
      <c r="G197" s="259" t="n">
        <v>0</v>
      </c>
      <c r="H197" s="259" t="n">
        <v>0</v>
      </c>
    </row>
    <row r="198" s="266" customFormat="true" ht="15" hidden="false" customHeight="false" outlineLevel="0" collapsed="false">
      <c r="A198" s="267" t="s">
        <v>589</v>
      </c>
      <c r="B198" s="202" t="s">
        <v>583</v>
      </c>
      <c r="C198" s="259" t="n">
        <v>0</v>
      </c>
      <c r="D198" s="259" t="n">
        <v>0</v>
      </c>
      <c r="E198" s="259" t="n">
        <v>0</v>
      </c>
      <c r="F198" s="259" t="n">
        <v>0</v>
      </c>
      <c r="G198" s="259" t="n">
        <v>0</v>
      </c>
      <c r="H198" s="259" t="n">
        <v>0</v>
      </c>
    </row>
    <row r="199" s="266" customFormat="true" ht="15" hidden="false" customHeight="false" outlineLevel="0" collapsed="false">
      <c r="A199" s="267"/>
      <c r="B199" s="202" t="s">
        <v>584</v>
      </c>
      <c r="C199" s="259" t="n">
        <v>0.15</v>
      </c>
      <c r="D199" s="259" t="n">
        <v>0.25</v>
      </c>
      <c r="E199" s="259" t="n">
        <v>0.3</v>
      </c>
      <c r="F199" s="259" t="n">
        <v>0.35</v>
      </c>
      <c r="G199" s="259" t="n">
        <v>0.38</v>
      </c>
      <c r="H199" s="259" t="n">
        <v>0.4</v>
      </c>
    </row>
    <row r="200" s="266" customFormat="true" ht="15" hidden="false" customHeight="false" outlineLevel="0" collapsed="false">
      <c r="A200" s="267"/>
      <c r="B200" s="202" t="s">
        <v>585</v>
      </c>
      <c r="C200" s="259" t="n">
        <v>0.7</v>
      </c>
      <c r="D200" s="259" t="n">
        <v>0.75</v>
      </c>
      <c r="E200" s="259" t="n">
        <v>0.7</v>
      </c>
      <c r="F200" s="259" t="n">
        <v>0.65</v>
      </c>
      <c r="G200" s="259" t="n">
        <v>0.62</v>
      </c>
      <c r="H200" s="259" t="n">
        <v>0.6</v>
      </c>
    </row>
    <row r="201" s="266" customFormat="true" ht="15" hidden="false" customHeight="false" outlineLevel="0" collapsed="false">
      <c r="A201" s="267"/>
      <c r="B201" s="202" t="s">
        <v>586</v>
      </c>
      <c r="C201" s="259" t="n">
        <v>0.15</v>
      </c>
      <c r="D201" s="259" t="n">
        <v>0</v>
      </c>
      <c r="E201" s="259" t="n">
        <v>0</v>
      </c>
      <c r="F201" s="259" t="n">
        <v>0</v>
      </c>
      <c r="G201" s="259" t="n">
        <v>0</v>
      </c>
      <c r="H201" s="259" t="n">
        <v>0</v>
      </c>
    </row>
    <row r="202" s="266" customFormat="true" ht="15" hidden="false" customHeight="false" outlineLevel="0" collapsed="false">
      <c r="A202" s="267"/>
      <c r="B202" s="202" t="s">
        <v>587</v>
      </c>
      <c r="C202" s="259" t="n">
        <v>0</v>
      </c>
      <c r="D202" s="259" t="n">
        <v>0</v>
      </c>
      <c r="E202" s="259" t="n">
        <v>0</v>
      </c>
      <c r="F202" s="259" t="n">
        <v>0</v>
      </c>
      <c r="G202" s="259" t="n">
        <v>0</v>
      </c>
      <c r="H202" s="259" t="n">
        <v>0</v>
      </c>
    </row>
    <row r="203" customFormat="false" ht="15" hidden="false" customHeight="true" outlineLevel="0" collapsed="false"/>
    <row r="204" customFormat="false" ht="21.75" hidden="false" customHeight="true" outlineLevel="0" collapsed="false">
      <c r="A204" s="199" t="s">
        <v>590</v>
      </c>
    </row>
    <row r="205" customFormat="false" ht="17.35" hidden="false" customHeight="false" outlineLevel="0" collapsed="false">
      <c r="A205" s="200" t="s">
        <v>317</v>
      </c>
      <c r="B205" s="200"/>
      <c r="C205" s="200"/>
      <c r="D205" s="200"/>
      <c r="E205" s="200"/>
    </row>
    <row r="206" customFormat="false" ht="85.5" hidden="false" customHeight="true" outlineLevel="0" collapsed="false">
      <c r="A206" s="268" t="s">
        <v>318</v>
      </c>
      <c r="B206" s="268"/>
      <c r="C206" s="268"/>
      <c r="D206" s="268"/>
      <c r="E206" s="268"/>
    </row>
    <row r="207" s="78" customFormat="true" ht="15" hidden="false" customHeight="true" outlineLevel="0" collapsed="false">
      <c r="G207" s="78" t="s">
        <v>591</v>
      </c>
      <c r="H207" s="78" t="n">
        <v>2025</v>
      </c>
      <c r="I207" s="78" t="n">
        <v>2030</v>
      </c>
      <c r="J207" s="78" t="n">
        <v>2035</v>
      </c>
      <c r="K207" s="78" t="n">
        <v>2040</v>
      </c>
      <c r="L207" s="78" t="n">
        <v>2045</v>
      </c>
      <c r="M207" s="78" t="n">
        <v>2050</v>
      </c>
    </row>
    <row r="208" customFormat="false" ht="13.5" hidden="false" customHeight="true" outlineLevel="0" collapsed="false">
      <c r="A208" s="269" t="s">
        <v>319</v>
      </c>
      <c r="B208" s="270" t="s">
        <v>320</v>
      </c>
      <c r="C208" s="271" t="n">
        <v>3</v>
      </c>
      <c r="D208" s="78"/>
      <c r="F208" s="78"/>
      <c r="G208" s="78" t="s">
        <v>592</v>
      </c>
      <c r="H208" s="78" t="n">
        <v>0.11765198</v>
      </c>
      <c r="I208" s="78" t="n">
        <v>0.09412158</v>
      </c>
      <c r="J208" s="78" t="n">
        <v>0.07059119</v>
      </c>
      <c r="K208" s="149" t="n">
        <v>0.04706079</v>
      </c>
      <c r="L208" s="149" t="n">
        <v>0.02353039</v>
      </c>
      <c r="M208" s="78" t="n">
        <v>0</v>
      </c>
      <c r="N208" s="78"/>
    </row>
    <row r="209" customFormat="false" ht="15.75" hidden="false" customHeight="false" outlineLevel="0" collapsed="false">
      <c r="A209" s="269"/>
      <c r="B209" s="202" t="s">
        <v>321</v>
      </c>
      <c r="C209" s="271"/>
      <c r="D209" s="151"/>
      <c r="E209" s="151"/>
      <c r="F209" s="151"/>
      <c r="G209" s="151" t="s">
        <v>593</v>
      </c>
      <c r="H209" s="151" t="n">
        <v>0</v>
      </c>
      <c r="I209" s="151" t="n">
        <v>0</v>
      </c>
      <c r="J209" s="151" t="n">
        <v>0</v>
      </c>
      <c r="K209" s="151" t="n">
        <v>0</v>
      </c>
      <c r="L209" s="151" t="n">
        <v>0</v>
      </c>
      <c r="M209" s="151" t="n">
        <v>0</v>
      </c>
      <c r="N209" s="151"/>
    </row>
    <row r="210" customFormat="false" ht="28.5" hidden="false" customHeight="true" outlineLevel="0" collapsed="false">
      <c r="A210" s="269"/>
      <c r="B210" s="205" t="s">
        <v>322</v>
      </c>
      <c r="C210" s="271"/>
      <c r="D210" s="78"/>
      <c r="E210" s="78"/>
      <c r="F210" s="78"/>
      <c r="G210" s="78" t="s">
        <v>594</v>
      </c>
      <c r="H210" s="78" t="n">
        <v>0.88234802</v>
      </c>
      <c r="I210" s="78" t="n">
        <v>0.90587842</v>
      </c>
      <c r="J210" s="78" t="n">
        <v>0.92940881</v>
      </c>
      <c r="K210" s="78" t="n">
        <v>0.95293921</v>
      </c>
      <c r="L210" s="78" t="n">
        <v>0.97646961</v>
      </c>
      <c r="M210" s="78" t="n">
        <v>1</v>
      </c>
      <c r="N210" s="78"/>
    </row>
    <row r="211" customFormat="false" ht="15" hidden="false" customHeight="false" outlineLevel="0" collapsed="false">
      <c r="G211" s="1" t="s">
        <v>595</v>
      </c>
      <c r="H211" s="1" t="n">
        <v>0</v>
      </c>
      <c r="I211" s="1" t="n">
        <v>0</v>
      </c>
      <c r="J211" s="1" t="n">
        <v>0</v>
      </c>
      <c r="K211" s="1" t="n">
        <v>0</v>
      </c>
      <c r="L211" s="1" t="n">
        <v>0</v>
      </c>
      <c r="M211" s="1" t="n">
        <v>0</v>
      </c>
    </row>
    <row r="212" customFormat="false" ht="15.75" hidden="false" customHeight="true" outlineLevel="0" collapsed="false">
      <c r="A212" s="200" t="s">
        <v>323</v>
      </c>
      <c r="B212" s="200"/>
      <c r="C212" s="200"/>
    </row>
    <row r="213" customFormat="false" ht="15" hidden="false" customHeight="false" outlineLevel="0" collapsed="false">
      <c r="A213" s="208" t="s">
        <v>324</v>
      </c>
      <c r="B213" s="202" t="s">
        <v>28</v>
      </c>
      <c r="C213" s="204" t="n">
        <v>0.3</v>
      </c>
    </row>
    <row r="214" customFormat="false" ht="30.75" hidden="false" customHeight="false" outlineLevel="0" collapsed="false">
      <c r="A214" s="272" t="s">
        <v>326</v>
      </c>
      <c r="B214" s="205" t="s">
        <v>327</v>
      </c>
      <c r="C214" s="248" t="n">
        <v>0.031</v>
      </c>
    </row>
    <row r="215" customFormat="false" ht="15.75" hidden="false" customHeight="true" outlineLevel="0" collapsed="false">
      <c r="A215" s="239" t="s">
        <v>596</v>
      </c>
      <c r="B215" s="239"/>
      <c r="C215" s="273" t="s">
        <v>580</v>
      </c>
      <c r="D215" s="273" t="s">
        <v>597</v>
      </c>
      <c r="E215" s="273" t="s">
        <v>598</v>
      </c>
      <c r="F215" s="273" t="s">
        <v>599</v>
      </c>
      <c r="G215" s="273" t="s">
        <v>600</v>
      </c>
      <c r="H215" s="273" t="s">
        <v>601</v>
      </c>
      <c r="I215" s="273" t="s">
        <v>602</v>
      </c>
      <c r="J215" s="273" t="s">
        <v>603</v>
      </c>
      <c r="K215" s="273" t="s">
        <v>354</v>
      </c>
      <c r="L215" s="273" t="s">
        <v>369</v>
      </c>
      <c r="M215" s="273" t="s">
        <v>604</v>
      </c>
      <c r="N215" s="273" t="s">
        <v>605</v>
      </c>
      <c r="O215" s="273" t="s">
        <v>606</v>
      </c>
      <c r="P215" s="273" t="s">
        <v>607</v>
      </c>
      <c r="Q215" s="274" t="s">
        <v>608</v>
      </c>
      <c r="R215" s="274" t="s">
        <v>609</v>
      </c>
      <c r="S215" s="274" t="s">
        <v>610</v>
      </c>
      <c r="T215" s="274" t="s">
        <v>611</v>
      </c>
      <c r="U215" s="274" t="s">
        <v>612</v>
      </c>
      <c r="V215" s="274" t="s">
        <v>613</v>
      </c>
      <c r="W215" s="274" t="s">
        <v>614</v>
      </c>
      <c r="X215" s="274" t="s">
        <v>615</v>
      </c>
      <c r="Y215" s="274" t="s">
        <v>616</v>
      </c>
      <c r="Z215" s="274" t="s">
        <v>617</v>
      </c>
      <c r="AA215" s="274" t="s">
        <v>618</v>
      </c>
      <c r="AB215" s="274" t="s">
        <v>619</v>
      </c>
      <c r="AC215" s="274" t="s">
        <v>620</v>
      </c>
      <c r="AD215" s="274" t="s">
        <v>621</v>
      </c>
      <c r="AE215" s="1" t="s">
        <v>622</v>
      </c>
      <c r="AF215" s="1" t="s">
        <v>623</v>
      </c>
      <c r="AG215" s="1" t="s">
        <v>624</v>
      </c>
      <c r="AH215" s="1" t="s">
        <v>625</v>
      </c>
      <c r="AI215" s="1" t="s">
        <v>626</v>
      </c>
      <c r="AJ215" s="1" t="s">
        <v>627</v>
      </c>
      <c r="AK215" s="1" t="s">
        <v>628</v>
      </c>
      <c r="AL215" s="1" t="s">
        <v>629</v>
      </c>
      <c r="AM215" s="1" t="s">
        <v>630</v>
      </c>
      <c r="AN215" s="1" t="s">
        <v>631</v>
      </c>
      <c r="AO215" s="1" t="s">
        <v>632</v>
      </c>
      <c r="AP215" s="1" t="s">
        <v>633</v>
      </c>
      <c r="AQ215" s="1" t="s">
        <v>634</v>
      </c>
      <c r="AR215" s="1" t="s">
        <v>635</v>
      </c>
      <c r="AS215" s="1" t="s">
        <v>636</v>
      </c>
      <c r="AT215" s="1" t="s">
        <v>637</v>
      </c>
      <c r="AU215" s="1" t="s">
        <v>638</v>
      </c>
      <c r="AV215" s="1" t="s">
        <v>639</v>
      </c>
      <c r="AW215" s="1" t="s">
        <v>640</v>
      </c>
      <c r="AX215" s="1" t="s">
        <v>641</v>
      </c>
      <c r="AY215" s="1" t="s">
        <v>642</v>
      </c>
      <c r="AZ215" s="1" t="s">
        <v>643</v>
      </c>
    </row>
    <row r="216" customFormat="false" ht="15" hidden="false" customHeight="false" outlineLevel="0" collapsed="false">
      <c r="A216" s="275" t="s">
        <v>374</v>
      </c>
      <c r="B216" s="275"/>
      <c r="C216" s="276" t="n">
        <v>2030</v>
      </c>
      <c r="D216" s="276" t="n">
        <v>2030</v>
      </c>
      <c r="E216" s="276" t="n">
        <v>2030</v>
      </c>
      <c r="F216" s="276" t="n">
        <v>2030</v>
      </c>
      <c r="G216" s="276" t="n">
        <v>2030</v>
      </c>
      <c r="H216" s="276" t="n">
        <v>2030</v>
      </c>
      <c r="I216" s="276" t="n">
        <v>2030</v>
      </c>
      <c r="J216" s="276" t="n">
        <v>2030</v>
      </c>
      <c r="K216" s="276" t="n">
        <v>2030</v>
      </c>
      <c r="L216" s="276" t="n">
        <v>2030</v>
      </c>
      <c r="M216" s="276" t="n">
        <v>2030</v>
      </c>
      <c r="N216" s="276" t="n">
        <v>2030</v>
      </c>
      <c r="O216" s="276" t="n">
        <v>2030</v>
      </c>
      <c r="P216" s="276" t="n">
        <v>2030</v>
      </c>
      <c r="Q216" s="277" t="n">
        <v>2030</v>
      </c>
      <c r="R216" s="277" t="n">
        <v>2030</v>
      </c>
      <c r="S216" s="277" t="n">
        <v>2030</v>
      </c>
      <c r="T216" s="277" t="n">
        <v>2030</v>
      </c>
      <c r="U216" s="277" t="n">
        <v>2030</v>
      </c>
      <c r="V216" s="277" t="n">
        <v>2030</v>
      </c>
      <c r="W216" s="277" t="n">
        <v>2030</v>
      </c>
      <c r="X216" s="277" t="n">
        <v>2030</v>
      </c>
      <c r="Y216" s="277" t="n">
        <v>2030</v>
      </c>
      <c r="Z216" s="277" t="n">
        <v>2030</v>
      </c>
      <c r="AA216" s="277" t="n">
        <v>2030</v>
      </c>
      <c r="AB216" s="277" t="n">
        <v>2030</v>
      </c>
      <c r="AC216" s="277" t="n">
        <v>2030</v>
      </c>
      <c r="AD216" s="277" t="n">
        <v>2030</v>
      </c>
      <c r="AE216" s="277" t="n">
        <v>2030</v>
      </c>
      <c r="AF216" s="277" t="n">
        <v>2030</v>
      </c>
      <c r="AG216" s="277" t="n">
        <v>2030</v>
      </c>
      <c r="AH216" s="277" t="n">
        <v>2030</v>
      </c>
      <c r="AI216" s="277" t="n">
        <v>2030</v>
      </c>
      <c r="AJ216" s="277" t="n">
        <v>2030</v>
      </c>
      <c r="AK216" s="277" t="n">
        <v>2030</v>
      </c>
      <c r="AL216" s="277" t="n">
        <v>2030</v>
      </c>
      <c r="AM216" s="277" t="n">
        <v>2030</v>
      </c>
      <c r="AN216" s="277" t="n">
        <v>2030</v>
      </c>
      <c r="AO216" s="277" t="n">
        <v>2030</v>
      </c>
      <c r="AP216" s="277" t="n">
        <v>2030</v>
      </c>
      <c r="AQ216" s="277" t="n">
        <v>2030</v>
      </c>
      <c r="AR216" s="277" t="n">
        <v>2030</v>
      </c>
      <c r="AS216" s="277" t="n">
        <v>2030</v>
      </c>
      <c r="AT216" s="277" t="n">
        <v>2030</v>
      </c>
      <c r="AU216" s="277" t="n">
        <v>2030</v>
      </c>
      <c r="AV216" s="277" t="n">
        <v>2030</v>
      </c>
      <c r="AW216" s="277" t="n">
        <v>2030</v>
      </c>
      <c r="AX216" s="277" t="n">
        <v>2030</v>
      </c>
      <c r="AY216" s="277" t="n">
        <v>2030</v>
      </c>
      <c r="AZ216" s="277" t="n">
        <v>2030</v>
      </c>
    </row>
    <row r="217" customFormat="false" ht="15" hidden="false" customHeight="false" outlineLevel="0" collapsed="false">
      <c r="A217" s="275" t="s">
        <v>375</v>
      </c>
      <c r="B217" s="275"/>
      <c r="C217" s="276" t="n">
        <v>2030</v>
      </c>
      <c r="D217" s="276" t="n">
        <v>2030</v>
      </c>
      <c r="E217" s="276" t="n">
        <v>2030</v>
      </c>
      <c r="F217" s="276" t="n">
        <v>2030</v>
      </c>
      <c r="G217" s="276" t="n">
        <v>2030</v>
      </c>
      <c r="H217" s="276" t="n">
        <v>2030</v>
      </c>
      <c r="I217" s="276" t="n">
        <v>2030</v>
      </c>
      <c r="J217" s="276" t="n">
        <v>2030</v>
      </c>
      <c r="K217" s="276" t="n">
        <v>2030</v>
      </c>
      <c r="L217" s="276" t="n">
        <v>2030</v>
      </c>
      <c r="M217" s="276" t="n">
        <v>2030</v>
      </c>
      <c r="N217" s="276" t="n">
        <v>2030</v>
      </c>
      <c r="O217" s="276" t="n">
        <v>2030</v>
      </c>
      <c r="P217" s="276" t="n">
        <v>2030</v>
      </c>
      <c r="Q217" s="277" t="n">
        <v>2030</v>
      </c>
      <c r="R217" s="277" t="n">
        <v>2030</v>
      </c>
      <c r="S217" s="277" t="n">
        <v>2030</v>
      </c>
      <c r="T217" s="277" t="n">
        <v>2030</v>
      </c>
      <c r="U217" s="277" t="n">
        <v>2030</v>
      </c>
      <c r="V217" s="277" t="n">
        <v>2030</v>
      </c>
      <c r="W217" s="277" t="n">
        <v>2030</v>
      </c>
      <c r="X217" s="277" t="n">
        <v>2030</v>
      </c>
      <c r="Y217" s="277" t="n">
        <v>2030</v>
      </c>
      <c r="Z217" s="277" t="n">
        <v>2030</v>
      </c>
      <c r="AA217" s="277" t="n">
        <v>2030</v>
      </c>
      <c r="AB217" s="277" t="n">
        <v>2030</v>
      </c>
      <c r="AC217" s="277" t="n">
        <v>2030</v>
      </c>
      <c r="AD217" s="277" t="n">
        <v>2030</v>
      </c>
      <c r="AE217" s="277" t="n">
        <v>2030</v>
      </c>
      <c r="AF217" s="277" t="n">
        <v>2030</v>
      </c>
      <c r="AG217" s="277" t="n">
        <v>2030</v>
      </c>
      <c r="AH217" s="277" t="n">
        <v>2030</v>
      </c>
      <c r="AI217" s="277" t="n">
        <v>2030</v>
      </c>
      <c r="AJ217" s="277" t="n">
        <v>2030</v>
      </c>
      <c r="AK217" s="277" t="n">
        <v>2030</v>
      </c>
      <c r="AL217" s="277" t="n">
        <v>2030</v>
      </c>
      <c r="AM217" s="277" t="n">
        <v>2030</v>
      </c>
      <c r="AN217" s="277" t="n">
        <v>2030</v>
      </c>
      <c r="AO217" s="277" t="n">
        <v>2030</v>
      </c>
      <c r="AP217" s="277" t="n">
        <v>2030</v>
      </c>
      <c r="AQ217" s="277" t="n">
        <v>2030</v>
      </c>
      <c r="AR217" s="277" t="n">
        <v>2030</v>
      </c>
      <c r="AS217" s="277" t="n">
        <v>2030</v>
      </c>
      <c r="AT217" s="277" t="n">
        <v>2030</v>
      </c>
      <c r="AU217" s="277" t="n">
        <v>2030</v>
      </c>
      <c r="AV217" s="277" t="n">
        <v>2030</v>
      </c>
      <c r="AW217" s="277" t="n">
        <v>2030</v>
      </c>
      <c r="AX217" s="277" t="n">
        <v>2030</v>
      </c>
      <c r="AY217" s="277" t="n">
        <v>2030</v>
      </c>
      <c r="AZ217" s="277" t="n">
        <v>2030</v>
      </c>
    </row>
    <row r="218" customFormat="false" ht="15" hidden="false" customHeight="false" outlineLevel="0" collapsed="false">
      <c r="A218" s="275" t="s">
        <v>376</v>
      </c>
      <c r="B218" s="275"/>
      <c r="C218" s="276" t="n">
        <v>2030</v>
      </c>
      <c r="D218" s="276" t="n">
        <v>2030</v>
      </c>
      <c r="E218" s="276" t="n">
        <v>2030</v>
      </c>
      <c r="F218" s="276" t="n">
        <v>2030</v>
      </c>
      <c r="G218" s="276" t="n">
        <v>2030</v>
      </c>
      <c r="H218" s="276" t="n">
        <v>2030</v>
      </c>
      <c r="I218" s="276" t="n">
        <v>2030</v>
      </c>
      <c r="J218" s="276" t="n">
        <v>2030</v>
      </c>
      <c r="K218" s="276" t="n">
        <v>2030</v>
      </c>
      <c r="L218" s="276" t="n">
        <v>2030</v>
      </c>
      <c r="M218" s="276" t="n">
        <v>2030</v>
      </c>
      <c r="N218" s="276" t="n">
        <v>2030</v>
      </c>
      <c r="O218" s="276" t="n">
        <v>2030</v>
      </c>
      <c r="P218" s="276" t="n">
        <v>2030</v>
      </c>
      <c r="Q218" s="277" t="n">
        <v>2030</v>
      </c>
      <c r="R218" s="277" t="n">
        <v>2030</v>
      </c>
      <c r="S218" s="277" t="n">
        <v>2030</v>
      </c>
      <c r="T218" s="277" t="n">
        <v>2030</v>
      </c>
      <c r="U218" s="277" t="n">
        <v>2030</v>
      </c>
      <c r="V218" s="277" t="n">
        <v>2030</v>
      </c>
      <c r="W218" s="277" t="n">
        <v>2030</v>
      </c>
      <c r="X218" s="277" t="n">
        <v>2030</v>
      </c>
      <c r="Y218" s="277" t="n">
        <v>2030</v>
      </c>
      <c r="Z218" s="277" t="n">
        <v>2030</v>
      </c>
      <c r="AA218" s="277" t="n">
        <v>2030</v>
      </c>
      <c r="AB218" s="277" t="n">
        <v>2030</v>
      </c>
      <c r="AC218" s="277" t="n">
        <v>2030</v>
      </c>
      <c r="AD218" s="277" t="n">
        <v>2030</v>
      </c>
      <c r="AE218" s="277" t="n">
        <v>2030</v>
      </c>
      <c r="AF218" s="277" t="n">
        <v>2030</v>
      </c>
      <c r="AG218" s="277" t="n">
        <v>2030</v>
      </c>
      <c r="AH218" s="277" t="n">
        <v>2030</v>
      </c>
      <c r="AI218" s="277" t="n">
        <v>2030</v>
      </c>
      <c r="AJ218" s="277" t="n">
        <v>2030</v>
      </c>
      <c r="AK218" s="277" t="n">
        <v>2030</v>
      </c>
      <c r="AL218" s="277" t="n">
        <v>2030</v>
      </c>
      <c r="AM218" s="277" t="n">
        <v>2030</v>
      </c>
      <c r="AN218" s="277" t="n">
        <v>2030</v>
      </c>
      <c r="AO218" s="277" t="n">
        <v>2030</v>
      </c>
      <c r="AP218" s="277" t="n">
        <v>2030</v>
      </c>
      <c r="AQ218" s="277" t="n">
        <v>2030</v>
      </c>
      <c r="AR218" s="277" t="n">
        <v>2030</v>
      </c>
      <c r="AS218" s="277" t="n">
        <v>2030</v>
      </c>
      <c r="AT218" s="277" t="n">
        <v>2030</v>
      </c>
      <c r="AU218" s="277" t="n">
        <v>2030</v>
      </c>
      <c r="AV218" s="277" t="n">
        <v>2030</v>
      </c>
      <c r="AW218" s="277" t="n">
        <v>2030</v>
      </c>
      <c r="AX218" s="277" t="n">
        <v>2030</v>
      </c>
      <c r="AY218" s="277" t="n">
        <v>2030</v>
      </c>
      <c r="AZ218" s="277" t="n">
        <v>2030</v>
      </c>
    </row>
    <row r="219" customFormat="false" ht="15" hidden="false" customHeight="false" outlineLevel="0" collapsed="false">
      <c r="A219" s="275" t="s">
        <v>377</v>
      </c>
      <c r="B219" s="275"/>
      <c r="C219" s="276" t="n">
        <v>2030</v>
      </c>
      <c r="D219" s="276" t="n">
        <v>2030</v>
      </c>
      <c r="E219" s="276" t="n">
        <v>2030</v>
      </c>
      <c r="F219" s="276" t="n">
        <v>2030</v>
      </c>
      <c r="G219" s="276" t="n">
        <v>2030</v>
      </c>
      <c r="H219" s="276" t="n">
        <v>2030</v>
      </c>
      <c r="I219" s="276" t="n">
        <v>2030</v>
      </c>
      <c r="J219" s="276" t="n">
        <v>2030</v>
      </c>
      <c r="K219" s="276" t="n">
        <v>2030</v>
      </c>
      <c r="L219" s="276" t="n">
        <v>2030</v>
      </c>
      <c r="M219" s="276" t="n">
        <v>2030</v>
      </c>
      <c r="N219" s="276" t="n">
        <v>2030</v>
      </c>
      <c r="O219" s="276" t="n">
        <v>2030</v>
      </c>
      <c r="P219" s="276" t="n">
        <v>2030</v>
      </c>
      <c r="Q219" s="277" t="n">
        <v>2030</v>
      </c>
      <c r="R219" s="277" t="n">
        <v>2030</v>
      </c>
      <c r="S219" s="277" t="n">
        <v>2030</v>
      </c>
      <c r="T219" s="277" t="n">
        <v>2030</v>
      </c>
      <c r="U219" s="277" t="n">
        <v>2030</v>
      </c>
      <c r="V219" s="277" t="n">
        <v>2030</v>
      </c>
      <c r="W219" s="277" t="n">
        <v>2030</v>
      </c>
      <c r="X219" s="277" t="n">
        <v>2030</v>
      </c>
      <c r="Y219" s="277" t="n">
        <v>2030</v>
      </c>
      <c r="Z219" s="277" t="n">
        <v>2030</v>
      </c>
      <c r="AA219" s="277" t="n">
        <v>2030</v>
      </c>
      <c r="AB219" s="277" t="n">
        <v>2030</v>
      </c>
      <c r="AC219" s="277" t="n">
        <v>2030</v>
      </c>
      <c r="AD219" s="277" t="n">
        <v>2030</v>
      </c>
      <c r="AE219" s="277" t="n">
        <v>2030</v>
      </c>
      <c r="AF219" s="277" t="n">
        <v>2030</v>
      </c>
      <c r="AG219" s="277" t="n">
        <v>2030</v>
      </c>
      <c r="AH219" s="277" t="n">
        <v>2030</v>
      </c>
      <c r="AI219" s="277" t="n">
        <v>2030</v>
      </c>
      <c r="AJ219" s="277" t="n">
        <v>2030</v>
      </c>
      <c r="AK219" s="277" t="n">
        <v>2030</v>
      </c>
      <c r="AL219" s="277" t="n">
        <v>2030</v>
      </c>
      <c r="AM219" s="277" t="n">
        <v>2030</v>
      </c>
      <c r="AN219" s="277" t="n">
        <v>2030</v>
      </c>
      <c r="AO219" s="277" t="n">
        <v>2030</v>
      </c>
      <c r="AP219" s="277" t="n">
        <v>2030</v>
      </c>
      <c r="AQ219" s="277" t="n">
        <v>2030</v>
      </c>
      <c r="AR219" s="277" t="n">
        <v>2030</v>
      </c>
      <c r="AS219" s="277" t="n">
        <v>2030</v>
      </c>
      <c r="AT219" s="277" t="n">
        <v>2030</v>
      </c>
      <c r="AU219" s="277" t="n">
        <v>2030</v>
      </c>
      <c r="AV219" s="277" t="n">
        <v>2030</v>
      </c>
      <c r="AW219" s="277" t="n">
        <v>2030</v>
      </c>
      <c r="AX219" s="277" t="n">
        <v>2030</v>
      </c>
      <c r="AY219" s="277" t="n">
        <v>2030</v>
      </c>
      <c r="AZ219" s="277" t="n">
        <v>2030</v>
      </c>
    </row>
    <row r="220" customFormat="false" ht="15" hidden="false" customHeight="false" outlineLevel="0" collapsed="false">
      <c r="A220" s="275" t="s">
        <v>378</v>
      </c>
      <c r="B220" s="275"/>
      <c r="C220" s="276" t="n">
        <v>2030</v>
      </c>
      <c r="D220" s="276" t="n">
        <v>2030</v>
      </c>
      <c r="E220" s="276" t="n">
        <v>2030</v>
      </c>
      <c r="F220" s="276" t="n">
        <v>2030</v>
      </c>
      <c r="G220" s="276" t="n">
        <v>2030</v>
      </c>
      <c r="H220" s="276" t="n">
        <v>2030</v>
      </c>
      <c r="I220" s="276" t="n">
        <v>2030</v>
      </c>
      <c r="J220" s="276" t="n">
        <v>2030</v>
      </c>
      <c r="K220" s="276" t="n">
        <v>2030</v>
      </c>
      <c r="L220" s="276" t="n">
        <v>2030</v>
      </c>
      <c r="M220" s="276" t="n">
        <v>2030</v>
      </c>
      <c r="N220" s="276" t="n">
        <v>2030</v>
      </c>
      <c r="O220" s="276" t="n">
        <v>2030</v>
      </c>
      <c r="P220" s="276" t="n">
        <v>2030</v>
      </c>
      <c r="Q220" s="277" t="n">
        <v>2030</v>
      </c>
      <c r="R220" s="277" t="n">
        <v>2030</v>
      </c>
      <c r="S220" s="277" t="n">
        <v>2030</v>
      </c>
      <c r="T220" s="277" t="n">
        <v>2030</v>
      </c>
      <c r="U220" s="277" t="n">
        <v>2030</v>
      </c>
      <c r="V220" s="277" t="n">
        <v>2030</v>
      </c>
      <c r="W220" s="277" t="n">
        <v>2030</v>
      </c>
      <c r="X220" s="277" t="n">
        <v>2030</v>
      </c>
      <c r="Y220" s="277" t="n">
        <v>2030</v>
      </c>
      <c r="Z220" s="277" t="n">
        <v>2030</v>
      </c>
      <c r="AA220" s="277" t="n">
        <v>2030</v>
      </c>
      <c r="AB220" s="277" t="n">
        <v>2030</v>
      </c>
      <c r="AC220" s="277" t="n">
        <v>2030</v>
      </c>
      <c r="AD220" s="277" t="n">
        <v>2030</v>
      </c>
      <c r="AE220" s="277" t="n">
        <v>2030</v>
      </c>
      <c r="AF220" s="277" t="n">
        <v>2030</v>
      </c>
      <c r="AG220" s="277" t="n">
        <v>2030</v>
      </c>
      <c r="AH220" s="277" t="n">
        <v>2030</v>
      </c>
      <c r="AI220" s="277" t="n">
        <v>2030</v>
      </c>
      <c r="AJ220" s="277" t="n">
        <v>2030</v>
      </c>
      <c r="AK220" s="277" t="n">
        <v>2030</v>
      </c>
      <c r="AL220" s="277" t="n">
        <v>2030</v>
      </c>
      <c r="AM220" s="277" t="n">
        <v>2030</v>
      </c>
      <c r="AN220" s="277" t="n">
        <v>2030</v>
      </c>
      <c r="AO220" s="277" t="n">
        <v>2030</v>
      </c>
      <c r="AP220" s="277" t="n">
        <v>2030</v>
      </c>
      <c r="AQ220" s="277" t="n">
        <v>2030</v>
      </c>
      <c r="AR220" s="277" t="n">
        <v>2030</v>
      </c>
      <c r="AS220" s="277" t="n">
        <v>2030</v>
      </c>
      <c r="AT220" s="277" t="n">
        <v>2030</v>
      </c>
      <c r="AU220" s="277" t="n">
        <v>2030</v>
      </c>
      <c r="AV220" s="277" t="n">
        <v>2030</v>
      </c>
      <c r="AW220" s="277" t="n">
        <v>2030</v>
      </c>
      <c r="AX220" s="277" t="n">
        <v>2030</v>
      </c>
      <c r="AY220" s="277" t="n">
        <v>2030</v>
      </c>
      <c r="AZ220" s="277" t="n">
        <v>2030</v>
      </c>
    </row>
    <row r="221" customFormat="false" ht="15.75" hidden="false" customHeight="true" outlineLevel="0" collapsed="false">
      <c r="A221" s="200" t="s">
        <v>644</v>
      </c>
      <c r="B221" s="200"/>
      <c r="C221" s="200"/>
      <c r="D221" s="200"/>
      <c r="E221" s="200"/>
      <c r="F221" s="200"/>
      <c r="G221" s="200"/>
      <c r="H221" s="200"/>
      <c r="I221" s="200"/>
      <c r="J221" s="200"/>
      <c r="K221" s="200"/>
      <c r="L221" s="200"/>
      <c r="M221" s="200"/>
      <c r="N221" s="200"/>
      <c r="O221" s="200"/>
      <c r="P221" s="200"/>
      <c r="Q221" s="200"/>
    </row>
    <row r="222" customFormat="false" ht="15" hidden="false" customHeight="false" outlineLevel="0" collapsed="false">
      <c r="A222" s="275" t="s">
        <v>374</v>
      </c>
      <c r="B222" s="275"/>
      <c r="C222" s="276" t="n">
        <v>1</v>
      </c>
      <c r="D222" s="276" t="n">
        <v>1</v>
      </c>
      <c r="E222" s="276" t="n">
        <v>1</v>
      </c>
      <c r="F222" s="276" t="n">
        <v>1</v>
      </c>
      <c r="G222" s="276" t="n">
        <v>1</v>
      </c>
      <c r="H222" s="276" t="n">
        <v>1</v>
      </c>
      <c r="I222" s="276" t="n">
        <v>1</v>
      </c>
      <c r="J222" s="276" t="n">
        <v>1</v>
      </c>
      <c r="K222" s="276" t="n">
        <v>1</v>
      </c>
      <c r="L222" s="276" t="n">
        <v>1</v>
      </c>
      <c r="M222" s="276" t="n">
        <v>1</v>
      </c>
      <c r="N222" s="276" t="n">
        <v>1</v>
      </c>
      <c r="O222" s="276" t="n">
        <v>1</v>
      </c>
      <c r="P222" s="276" t="n">
        <v>1</v>
      </c>
      <c r="Q222" s="277" t="n">
        <v>1</v>
      </c>
      <c r="R222" s="277" t="n">
        <v>1</v>
      </c>
      <c r="S222" s="277" t="n">
        <v>1</v>
      </c>
      <c r="T222" s="277" t="n">
        <v>1</v>
      </c>
      <c r="U222" s="277" t="n">
        <v>1</v>
      </c>
      <c r="V222" s="277" t="n">
        <v>1</v>
      </c>
      <c r="W222" s="277" t="n">
        <v>1</v>
      </c>
      <c r="X222" s="277" t="n">
        <v>1</v>
      </c>
      <c r="Y222" s="277" t="n">
        <v>1</v>
      </c>
      <c r="Z222" s="277" t="n">
        <v>1</v>
      </c>
      <c r="AA222" s="277" t="n">
        <v>1</v>
      </c>
      <c r="AB222" s="277" t="n">
        <v>1</v>
      </c>
      <c r="AC222" s="277" t="n">
        <v>1</v>
      </c>
      <c r="AD222" s="277" t="n">
        <v>1</v>
      </c>
      <c r="AE222" s="277" t="n">
        <v>1</v>
      </c>
      <c r="AF222" s="277" t="n">
        <v>1</v>
      </c>
      <c r="AG222" s="277" t="n">
        <v>1</v>
      </c>
      <c r="AH222" s="277" t="n">
        <v>1</v>
      </c>
      <c r="AI222" s="277" t="n">
        <v>1</v>
      </c>
      <c r="AJ222" s="277" t="n">
        <v>1</v>
      </c>
      <c r="AK222" s="277" t="n">
        <v>1</v>
      </c>
      <c r="AL222" s="277" t="n">
        <v>1</v>
      </c>
      <c r="AM222" s="277" t="n">
        <v>1</v>
      </c>
      <c r="AN222" s="277" t="n">
        <v>1</v>
      </c>
      <c r="AO222" s="277" t="n">
        <v>1</v>
      </c>
      <c r="AP222" s="277" t="n">
        <v>1</v>
      </c>
      <c r="AQ222" s="277" t="n">
        <v>1</v>
      </c>
      <c r="AR222" s="277" t="n">
        <v>1</v>
      </c>
      <c r="AS222" s="277" t="n">
        <v>1</v>
      </c>
      <c r="AT222" s="277" t="n">
        <v>1</v>
      </c>
      <c r="AU222" s="277" t="n">
        <v>1</v>
      </c>
      <c r="AV222" s="277" t="n">
        <v>1</v>
      </c>
      <c r="AW222" s="277" t="n">
        <v>1</v>
      </c>
      <c r="AX222" s="277" t="n">
        <v>1</v>
      </c>
      <c r="AY222" s="277" t="n">
        <v>1</v>
      </c>
      <c r="AZ222" s="277" t="n">
        <v>1</v>
      </c>
    </row>
    <row r="223" customFormat="false" ht="15" hidden="false" customHeight="false" outlineLevel="0" collapsed="false">
      <c r="A223" s="275" t="s">
        <v>375</v>
      </c>
      <c r="B223" s="275"/>
      <c r="C223" s="276" t="n">
        <v>1</v>
      </c>
      <c r="D223" s="276" t="n">
        <v>1</v>
      </c>
      <c r="E223" s="276" t="n">
        <v>1</v>
      </c>
      <c r="F223" s="276" t="n">
        <v>1</v>
      </c>
      <c r="G223" s="276" t="n">
        <v>1</v>
      </c>
      <c r="H223" s="276" t="n">
        <v>1</v>
      </c>
      <c r="I223" s="276" t="n">
        <v>1</v>
      </c>
      <c r="J223" s="276" t="n">
        <v>1</v>
      </c>
      <c r="K223" s="276" t="n">
        <v>1</v>
      </c>
      <c r="L223" s="276" t="n">
        <v>1</v>
      </c>
      <c r="M223" s="276" t="n">
        <v>1</v>
      </c>
      <c r="N223" s="276" t="n">
        <v>1</v>
      </c>
      <c r="O223" s="276" t="n">
        <v>1</v>
      </c>
      <c r="P223" s="276" t="n">
        <v>1</v>
      </c>
      <c r="Q223" s="277" t="n">
        <v>1</v>
      </c>
      <c r="R223" s="277" t="n">
        <v>1</v>
      </c>
      <c r="S223" s="277" t="n">
        <v>1</v>
      </c>
      <c r="T223" s="277" t="n">
        <v>1</v>
      </c>
      <c r="U223" s="277" t="n">
        <v>1</v>
      </c>
      <c r="V223" s="277" t="n">
        <v>1</v>
      </c>
      <c r="W223" s="277" t="n">
        <v>1</v>
      </c>
      <c r="X223" s="277" t="n">
        <v>1</v>
      </c>
      <c r="Y223" s="277" t="n">
        <v>1</v>
      </c>
      <c r="Z223" s="277" t="n">
        <v>1</v>
      </c>
      <c r="AA223" s="277" t="n">
        <v>1</v>
      </c>
      <c r="AB223" s="277" t="n">
        <v>1</v>
      </c>
      <c r="AC223" s="277" t="n">
        <v>1</v>
      </c>
      <c r="AD223" s="277" t="n">
        <v>1</v>
      </c>
      <c r="AE223" s="277" t="n">
        <v>1</v>
      </c>
      <c r="AF223" s="277" t="n">
        <v>1</v>
      </c>
      <c r="AG223" s="277" t="n">
        <v>1</v>
      </c>
      <c r="AH223" s="277" t="n">
        <v>1</v>
      </c>
      <c r="AI223" s="277" t="n">
        <v>1</v>
      </c>
      <c r="AJ223" s="277" t="n">
        <v>1</v>
      </c>
      <c r="AK223" s="277" t="n">
        <v>1</v>
      </c>
      <c r="AL223" s="277" t="n">
        <v>1</v>
      </c>
      <c r="AM223" s="277" t="n">
        <v>1</v>
      </c>
      <c r="AN223" s="277" t="n">
        <v>1</v>
      </c>
      <c r="AO223" s="277" t="n">
        <v>1</v>
      </c>
      <c r="AP223" s="277" t="n">
        <v>1</v>
      </c>
      <c r="AQ223" s="277" t="n">
        <v>1</v>
      </c>
      <c r="AR223" s="277" t="n">
        <v>1</v>
      </c>
      <c r="AS223" s="277" t="n">
        <v>1</v>
      </c>
      <c r="AT223" s="277" t="n">
        <v>1</v>
      </c>
      <c r="AU223" s="277" t="n">
        <v>1</v>
      </c>
      <c r="AV223" s="277" t="n">
        <v>1</v>
      </c>
      <c r="AW223" s="277" t="n">
        <v>1</v>
      </c>
      <c r="AX223" s="277" t="n">
        <v>1</v>
      </c>
      <c r="AY223" s="277" t="n">
        <v>1</v>
      </c>
      <c r="AZ223" s="277" t="n">
        <v>1</v>
      </c>
    </row>
    <row r="224" customFormat="false" ht="15" hidden="false" customHeight="false" outlineLevel="0" collapsed="false">
      <c r="A224" s="275" t="s">
        <v>376</v>
      </c>
      <c r="B224" s="275"/>
      <c r="C224" s="276" t="n">
        <v>1</v>
      </c>
      <c r="D224" s="276" t="n">
        <v>1</v>
      </c>
      <c r="E224" s="276" t="n">
        <v>1</v>
      </c>
      <c r="F224" s="276" t="n">
        <v>1</v>
      </c>
      <c r="G224" s="276" t="n">
        <v>1</v>
      </c>
      <c r="H224" s="276" t="n">
        <v>1</v>
      </c>
      <c r="I224" s="276" t="n">
        <v>1</v>
      </c>
      <c r="J224" s="276" t="n">
        <v>1</v>
      </c>
      <c r="K224" s="276" t="n">
        <v>1</v>
      </c>
      <c r="L224" s="276" t="n">
        <v>1</v>
      </c>
      <c r="M224" s="276" t="n">
        <v>1</v>
      </c>
      <c r="N224" s="276" t="n">
        <v>1</v>
      </c>
      <c r="O224" s="276" t="n">
        <v>1</v>
      </c>
      <c r="P224" s="276" t="n">
        <v>1</v>
      </c>
      <c r="Q224" s="277" t="n">
        <v>1</v>
      </c>
      <c r="R224" s="277" t="n">
        <v>1</v>
      </c>
      <c r="S224" s="277" t="n">
        <v>1</v>
      </c>
      <c r="T224" s="277" t="n">
        <v>1</v>
      </c>
      <c r="U224" s="277" t="n">
        <v>1</v>
      </c>
      <c r="V224" s="277" t="n">
        <v>1</v>
      </c>
      <c r="W224" s="277" t="n">
        <v>1</v>
      </c>
      <c r="X224" s="277" t="n">
        <v>1</v>
      </c>
      <c r="Y224" s="277" t="n">
        <v>1</v>
      </c>
      <c r="Z224" s="277" t="n">
        <v>1</v>
      </c>
      <c r="AA224" s="277" t="n">
        <v>1</v>
      </c>
      <c r="AB224" s="277" t="n">
        <v>1</v>
      </c>
      <c r="AC224" s="277" t="n">
        <v>1</v>
      </c>
      <c r="AD224" s="277" t="n">
        <v>1</v>
      </c>
      <c r="AE224" s="277" t="n">
        <v>1</v>
      </c>
      <c r="AF224" s="277" t="n">
        <v>1</v>
      </c>
      <c r="AG224" s="277" t="n">
        <v>1</v>
      </c>
      <c r="AH224" s="277" t="n">
        <v>1</v>
      </c>
      <c r="AI224" s="277" t="n">
        <v>1</v>
      </c>
      <c r="AJ224" s="277" t="n">
        <v>1</v>
      </c>
      <c r="AK224" s="277" t="n">
        <v>1</v>
      </c>
      <c r="AL224" s="277" t="n">
        <v>1</v>
      </c>
      <c r="AM224" s="277" t="n">
        <v>1</v>
      </c>
      <c r="AN224" s="277" t="n">
        <v>1</v>
      </c>
      <c r="AO224" s="277" t="n">
        <v>1</v>
      </c>
      <c r="AP224" s="277" t="n">
        <v>1</v>
      </c>
      <c r="AQ224" s="277" t="n">
        <v>1</v>
      </c>
      <c r="AR224" s="277" t="n">
        <v>1</v>
      </c>
      <c r="AS224" s="277" t="n">
        <v>1</v>
      </c>
      <c r="AT224" s="277" t="n">
        <v>1</v>
      </c>
      <c r="AU224" s="277" t="n">
        <v>1</v>
      </c>
      <c r="AV224" s="277" t="n">
        <v>1</v>
      </c>
      <c r="AW224" s="277" t="n">
        <v>1</v>
      </c>
      <c r="AX224" s="277" t="n">
        <v>1</v>
      </c>
      <c r="AY224" s="277" t="n">
        <v>1</v>
      </c>
      <c r="AZ224" s="277" t="n">
        <v>1</v>
      </c>
    </row>
    <row r="225" customFormat="false" ht="15" hidden="false" customHeight="false" outlineLevel="0" collapsed="false">
      <c r="A225" s="275" t="s">
        <v>377</v>
      </c>
      <c r="B225" s="275"/>
      <c r="C225" s="276" t="n">
        <v>1</v>
      </c>
      <c r="D225" s="276" t="n">
        <v>1</v>
      </c>
      <c r="E225" s="276" t="n">
        <v>1</v>
      </c>
      <c r="F225" s="276" t="n">
        <v>1</v>
      </c>
      <c r="G225" s="276" t="n">
        <v>1</v>
      </c>
      <c r="H225" s="276" t="n">
        <v>1</v>
      </c>
      <c r="I225" s="276" t="n">
        <v>1</v>
      </c>
      <c r="J225" s="276" t="n">
        <v>1</v>
      </c>
      <c r="K225" s="276" t="n">
        <v>1</v>
      </c>
      <c r="L225" s="276" t="n">
        <v>1</v>
      </c>
      <c r="M225" s="276" t="n">
        <v>1</v>
      </c>
      <c r="N225" s="276" t="n">
        <v>1</v>
      </c>
      <c r="O225" s="276" t="n">
        <v>1</v>
      </c>
      <c r="P225" s="276" t="n">
        <v>1</v>
      </c>
      <c r="Q225" s="277" t="n">
        <v>1</v>
      </c>
      <c r="R225" s="277" t="n">
        <v>1</v>
      </c>
      <c r="S225" s="277" t="n">
        <v>1</v>
      </c>
      <c r="T225" s="277" t="n">
        <v>1</v>
      </c>
      <c r="U225" s="277" t="n">
        <v>1</v>
      </c>
      <c r="V225" s="277" t="n">
        <v>1</v>
      </c>
      <c r="W225" s="277" t="n">
        <v>1</v>
      </c>
      <c r="X225" s="277" t="n">
        <v>1</v>
      </c>
      <c r="Y225" s="277" t="n">
        <v>1</v>
      </c>
      <c r="Z225" s="277" t="n">
        <v>1</v>
      </c>
      <c r="AA225" s="277" t="n">
        <v>1</v>
      </c>
      <c r="AB225" s="277" t="n">
        <v>1</v>
      </c>
      <c r="AC225" s="277" t="n">
        <v>1</v>
      </c>
      <c r="AD225" s="277" t="n">
        <v>1</v>
      </c>
      <c r="AE225" s="277" t="n">
        <v>1</v>
      </c>
      <c r="AF225" s="277" t="n">
        <v>1</v>
      </c>
      <c r="AG225" s="277" t="n">
        <v>1</v>
      </c>
      <c r="AH225" s="277" t="n">
        <v>1</v>
      </c>
      <c r="AI225" s="277" t="n">
        <v>1</v>
      </c>
      <c r="AJ225" s="277" t="n">
        <v>1</v>
      </c>
      <c r="AK225" s="277" t="n">
        <v>1</v>
      </c>
      <c r="AL225" s="277" t="n">
        <v>1</v>
      </c>
      <c r="AM225" s="277" t="n">
        <v>1</v>
      </c>
      <c r="AN225" s="277" t="n">
        <v>1</v>
      </c>
      <c r="AO225" s="277" t="n">
        <v>1</v>
      </c>
      <c r="AP225" s="277" t="n">
        <v>1</v>
      </c>
      <c r="AQ225" s="277" t="n">
        <v>1</v>
      </c>
      <c r="AR225" s="277" t="n">
        <v>1</v>
      </c>
      <c r="AS225" s="277" t="n">
        <v>1</v>
      </c>
      <c r="AT225" s="277" t="n">
        <v>1</v>
      </c>
      <c r="AU225" s="277" t="n">
        <v>1</v>
      </c>
      <c r="AV225" s="277" t="n">
        <v>1</v>
      </c>
      <c r="AW225" s="277" t="n">
        <v>1</v>
      </c>
      <c r="AX225" s="277" t="n">
        <v>1</v>
      </c>
      <c r="AY225" s="277" t="n">
        <v>1</v>
      </c>
      <c r="AZ225" s="277" t="n">
        <v>1</v>
      </c>
    </row>
    <row r="226" customFormat="false" ht="15" hidden="false" customHeight="false" outlineLevel="0" collapsed="false">
      <c r="A226" s="275" t="s">
        <v>378</v>
      </c>
      <c r="B226" s="275"/>
      <c r="C226" s="276" t="n">
        <v>1</v>
      </c>
      <c r="D226" s="276" t="n">
        <v>1</v>
      </c>
      <c r="E226" s="276" t="n">
        <v>1</v>
      </c>
      <c r="F226" s="276" t="n">
        <v>1</v>
      </c>
      <c r="G226" s="276" t="n">
        <v>1</v>
      </c>
      <c r="H226" s="276" t="n">
        <v>1</v>
      </c>
      <c r="I226" s="276" t="n">
        <v>1</v>
      </c>
      <c r="J226" s="276" t="n">
        <v>1</v>
      </c>
      <c r="K226" s="276" t="n">
        <v>1</v>
      </c>
      <c r="L226" s="276" t="n">
        <v>1</v>
      </c>
      <c r="M226" s="276" t="n">
        <v>1</v>
      </c>
      <c r="N226" s="276" t="n">
        <v>1</v>
      </c>
      <c r="O226" s="276" t="n">
        <v>1</v>
      </c>
      <c r="P226" s="276" t="n">
        <v>1</v>
      </c>
      <c r="Q226" s="277" t="n">
        <v>1</v>
      </c>
      <c r="R226" s="277" t="n">
        <v>1</v>
      </c>
      <c r="S226" s="277" t="n">
        <v>1</v>
      </c>
      <c r="T226" s="277" t="n">
        <v>1</v>
      </c>
      <c r="U226" s="277" t="n">
        <v>1</v>
      </c>
      <c r="V226" s="277" t="n">
        <v>1</v>
      </c>
      <c r="W226" s="277" t="n">
        <v>1</v>
      </c>
      <c r="X226" s="277" t="n">
        <v>1</v>
      </c>
      <c r="Y226" s="277" t="n">
        <v>1</v>
      </c>
      <c r="Z226" s="277" t="n">
        <v>1</v>
      </c>
      <c r="AA226" s="277" t="n">
        <v>1</v>
      </c>
      <c r="AB226" s="277" t="n">
        <v>1</v>
      </c>
      <c r="AC226" s="277" t="n">
        <v>1</v>
      </c>
      <c r="AD226" s="277" t="n">
        <v>1</v>
      </c>
      <c r="AE226" s="277" t="n">
        <v>1</v>
      </c>
      <c r="AF226" s="277" t="n">
        <v>1</v>
      </c>
      <c r="AG226" s="277" t="n">
        <v>1</v>
      </c>
      <c r="AH226" s="277" t="n">
        <v>1</v>
      </c>
      <c r="AI226" s="277" t="n">
        <v>1</v>
      </c>
      <c r="AJ226" s="277" t="n">
        <v>1</v>
      </c>
      <c r="AK226" s="277" t="n">
        <v>1</v>
      </c>
      <c r="AL226" s="277" t="n">
        <v>1</v>
      </c>
      <c r="AM226" s="277" t="n">
        <v>1</v>
      </c>
      <c r="AN226" s="277" t="n">
        <v>1</v>
      </c>
      <c r="AO226" s="277" t="n">
        <v>1</v>
      </c>
      <c r="AP226" s="277" t="n">
        <v>1</v>
      </c>
      <c r="AQ226" s="277" t="n">
        <v>1</v>
      </c>
      <c r="AR226" s="277" t="n">
        <v>1</v>
      </c>
      <c r="AS226" s="277" t="n">
        <v>1</v>
      </c>
      <c r="AT226" s="277" t="n">
        <v>1</v>
      </c>
      <c r="AU226" s="277" t="n">
        <v>1</v>
      </c>
      <c r="AV226" s="277" t="n">
        <v>1</v>
      </c>
      <c r="AW226" s="277" t="n">
        <v>1</v>
      </c>
      <c r="AX226" s="277" t="n">
        <v>1</v>
      </c>
      <c r="AY226" s="277" t="n">
        <v>1</v>
      </c>
      <c r="AZ226" s="277" t="n">
        <v>1</v>
      </c>
    </row>
    <row r="227" customFormat="false" ht="15.75" hidden="false" customHeight="true" outlineLevel="0" collapsed="false">
      <c r="A227" s="200" t="s">
        <v>645</v>
      </c>
      <c r="B227" s="200"/>
      <c r="C227" s="200"/>
      <c r="D227" s="200"/>
      <c r="E227" s="200"/>
      <c r="F227" s="200"/>
      <c r="G227" s="200"/>
      <c r="H227" s="200"/>
      <c r="I227" s="200"/>
      <c r="J227" s="200"/>
      <c r="K227" s="200"/>
      <c r="L227" s="200"/>
      <c r="M227" s="200"/>
      <c r="N227" s="200"/>
      <c r="O227" s="200"/>
      <c r="P227" s="200"/>
      <c r="Q227" s="200"/>
    </row>
    <row r="228" customFormat="false" ht="15" hidden="false" customHeight="false" outlineLevel="0" collapsed="false">
      <c r="A228" s="275" t="s">
        <v>374</v>
      </c>
      <c r="B228" s="275"/>
      <c r="C228" s="276" t="n">
        <v>2040</v>
      </c>
      <c r="D228" s="276" t="n">
        <v>2040</v>
      </c>
      <c r="E228" s="276" t="n">
        <v>2040</v>
      </c>
      <c r="F228" s="276" t="n">
        <v>2040</v>
      </c>
      <c r="G228" s="276" t="n">
        <v>2040</v>
      </c>
      <c r="H228" s="276" t="n">
        <v>2040</v>
      </c>
      <c r="I228" s="276" t="n">
        <v>2040</v>
      </c>
      <c r="J228" s="276" t="n">
        <v>2040</v>
      </c>
      <c r="K228" s="276" t="n">
        <v>2040</v>
      </c>
      <c r="L228" s="276" t="n">
        <v>2040</v>
      </c>
      <c r="M228" s="276" t="n">
        <v>2040</v>
      </c>
      <c r="N228" s="276" t="n">
        <v>2040</v>
      </c>
      <c r="O228" s="276" t="n">
        <v>2040</v>
      </c>
      <c r="P228" s="276" t="n">
        <v>2040</v>
      </c>
      <c r="Q228" s="276" t="n">
        <v>2040</v>
      </c>
      <c r="R228" s="276" t="n">
        <v>2040</v>
      </c>
      <c r="S228" s="276" t="n">
        <v>2040</v>
      </c>
      <c r="T228" s="276" t="n">
        <v>2040</v>
      </c>
      <c r="U228" s="276" t="n">
        <v>2040</v>
      </c>
      <c r="V228" s="276" t="n">
        <v>2040</v>
      </c>
      <c r="W228" s="276" t="n">
        <v>2040</v>
      </c>
      <c r="X228" s="276" t="n">
        <v>2040</v>
      </c>
      <c r="Y228" s="276" t="n">
        <v>2040</v>
      </c>
      <c r="Z228" s="276" t="n">
        <v>2040</v>
      </c>
      <c r="AA228" s="276" t="n">
        <v>2040</v>
      </c>
      <c r="AB228" s="276" t="n">
        <v>2040</v>
      </c>
      <c r="AC228" s="276" t="n">
        <v>2040</v>
      </c>
      <c r="AD228" s="276" t="n">
        <v>2040</v>
      </c>
      <c r="AE228" s="276" t="n">
        <v>2040</v>
      </c>
      <c r="AF228" s="276" t="n">
        <v>2040</v>
      </c>
      <c r="AG228" s="276" t="n">
        <v>2040</v>
      </c>
      <c r="AH228" s="276" t="n">
        <v>2040</v>
      </c>
      <c r="AI228" s="276" t="n">
        <v>2040</v>
      </c>
      <c r="AJ228" s="276" t="n">
        <v>2040</v>
      </c>
      <c r="AK228" s="276" t="n">
        <v>2040</v>
      </c>
      <c r="AL228" s="276" t="n">
        <v>2040</v>
      </c>
      <c r="AM228" s="276" t="n">
        <v>2040</v>
      </c>
      <c r="AN228" s="276" t="n">
        <v>2040</v>
      </c>
      <c r="AO228" s="276" t="n">
        <v>2040</v>
      </c>
      <c r="AP228" s="276" t="n">
        <v>2040</v>
      </c>
      <c r="AQ228" s="276" t="n">
        <v>2040</v>
      </c>
      <c r="AR228" s="276" t="n">
        <v>2040</v>
      </c>
      <c r="AS228" s="276" t="n">
        <v>2040</v>
      </c>
      <c r="AT228" s="276" t="n">
        <v>2040</v>
      </c>
      <c r="AU228" s="276" t="n">
        <v>2040</v>
      </c>
      <c r="AV228" s="276" t="n">
        <v>2040</v>
      </c>
      <c r="AW228" s="276" t="n">
        <v>2040</v>
      </c>
      <c r="AX228" s="276" t="n">
        <v>2040</v>
      </c>
      <c r="AY228" s="276" t="n">
        <v>2040</v>
      </c>
      <c r="AZ228" s="276" t="n">
        <v>2040</v>
      </c>
    </row>
    <row r="229" customFormat="false" ht="15" hidden="false" customHeight="false" outlineLevel="0" collapsed="false">
      <c r="A229" s="275" t="s">
        <v>375</v>
      </c>
      <c r="B229" s="275"/>
      <c r="C229" s="276" t="n">
        <v>2040</v>
      </c>
      <c r="D229" s="276" t="n">
        <v>2040</v>
      </c>
      <c r="E229" s="276" t="n">
        <v>2040</v>
      </c>
      <c r="F229" s="276" t="n">
        <v>2040</v>
      </c>
      <c r="G229" s="276" t="n">
        <v>2040</v>
      </c>
      <c r="H229" s="276" t="n">
        <v>2040</v>
      </c>
      <c r="I229" s="276" t="n">
        <v>2040</v>
      </c>
      <c r="J229" s="276" t="n">
        <v>2040</v>
      </c>
      <c r="K229" s="276" t="n">
        <v>2040</v>
      </c>
      <c r="L229" s="276" t="n">
        <v>2040</v>
      </c>
      <c r="M229" s="276" t="n">
        <v>2040</v>
      </c>
      <c r="N229" s="276" t="n">
        <v>2040</v>
      </c>
      <c r="O229" s="276" t="n">
        <v>2040</v>
      </c>
      <c r="P229" s="276" t="n">
        <v>2040</v>
      </c>
      <c r="Q229" s="276" t="n">
        <v>2040</v>
      </c>
      <c r="R229" s="276" t="n">
        <v>2040</v>
      </c>
      <c r="S229" s="276" t="n">
        <v>2040</v>
      </c>
      <c r="T229" s="276" t="n">
        <v>2040</v>
      </c>
      <c r="U229" s="276" t="n">
        <v>2040</v>
      </c>
      <c r="V229" s="276" t="n">
        <v>2040</v>
      </c>
      <c r="W229" s="276" t="n">
        <v>2040</v>
      </c>
      <c r="X229" s="276" t="n">
        <v>2040</v>
      </c>
      <c r="Y229" s="276" t="n">
        <v>2040</v>
      </c>
      <c r="Z229" s="276" t="n">
        <v>2040</v>
      </c>
      <c r="AA229" s="276" t="n">
        <v>2040</v>
      </c>
      <c r="AB229" s="276" t="n">
        <v>2040</v>
      </c>
      <c r="AC229" s="276" t="n">
        <v>2040</v>
      </c>
      <c r="AD229" s="276" t="n">
        <v>2040</v>
      </c>
      <c r="AE229" s="276" t="n">
        <v>2040</v>
      </c>
      <c r="AF229" s="276" t="n">
        <v>2040</v>
      </c>
      <c r="AG229" s="276" t="n">
        <v>2040</v>
      </c>
      <c r="AH229" s="276" t="n">
        <v>2040</v>
      </c>
      <c r="AI229" s="276" t="n">
        <v>2040</v>
      </c>
      <c r="AJ229" s="276" t="n">
        <v>2040</v>
      </c>
      <c r="AK229" s="276" t="n">
        <v>2040</v>
      </c>
      <c r="AL229" s="276" t="n">
        <v>2040</v>
      </c>
      <c r="AM229" s="276" t="n">
        <v>2040</v>
      </c>
      <c r="AN229" s="276" t="n">
        <v>2040</v>
      </c>
      <c r="AO229" s="276" t="n">
        <v>2040</v>
      </c>
      <c r="AP229" s="276" t="n">
        <v>2040</v>
      </c>
      <c r="AQ229" s="276" t="n">
        <v>2040</v>
      </c>
      <c r="AR229" s="276" t="n">
        <v>2040</v>
      </c>
      <c r="AS229" s="276" t="n">
        <v>2040</v>
      </c>
      <c r="AT229" s="276" t="n">
        <v>2040</v>
      </c>
      <c r="AU229" s="276" t="n">
        <v>2040</v>
      </c>
      <c r="AV229" s="276" t="n">
        <v>2040</v>
      </c>
      <c r="AW229" s="276" t="n">
        <v>2040</v>
      </c>
      <c r="AX229" s="276" t="n">
        <v>2040</v>
      </c>
      <c r="AY229" s="276" t="n">
        <v>2040</v>
      </c>
      <c r="AZ229" s="276" t="n">
        <v>2040</v>
      </c>
    </row>
    <row r="230" customFormat="false" ht="15" hidden="false" customHeight="false" outlineLevel="0" collapsed="false">
      <c r="A230" s="275" t="s">
        <v>376</v>
      </c>
      <c r="B230" s="275"/>
      <c r="C230" s="276" t="n">
        <v>2040</v>
      </c>
      <c r="D230" s="276" t="n">
        <v>2040</v>
      </c>
      <c r="E230" s="276" t="n">
        <v>2040</v>
      </c>
      <c r="F230" s="276" t="n">
        <v>2040</v>
      </c>
      <c r="G230" s="276" t="n">
        <v>2040</v>
      </c>
      <c r="H230" s="276" t="n">
        <v>2040</v>
      </c>
      <c r="I230" s="276" t="n">
        <v>2040</v>
      </c>
      <c r="J230" s="276" t="n">
        <v>2040</v>
      </c>
      <c r="K230" s="276" t="n">
        <v>2040</v>
      </c>
      <c r="L230" s="276" t="n">
        <v>2040</v>
      </c>
      <c r="M230" s="276" t="n">
        <v>2040</v>
      </c>
      <c r="N230" s="276" t="n">
        <v>2040</v>
      </c>
      <c r="O230" s="276" t="n">
        <v>2040</v>
      </c>
      <c r="P230" s="276" t="n">
        <v>2040</v>
      </c>
      <c r="Q230" s="276" t="n">
        <v>2040</v>
      </c>
      <c r="R230" s="276" t="n">
        <v>2040</v>
      </c>
      <c r="S230" s="276" t="n">
        <v>2040</v>
      </c>
      <c r="T230" s="276" t="n">
        <v>2040</v>
      </c>
      <c r="U230" s="276" t="n">
        <v>2040</v>
      </c>
      <c r="V230" s="276" t="n">
        <v>2040</v>
      </c>
      <c r="W230" s="276" t="n">
        <v>2040</v>
      </c>
      <c r="X230" s="276" t="n">
        <v>2040</v>
      </c>
      <c r="Y230" s="276" t="n">
        <v>2040</v>
      </c>
      <c r="Z230" s="276" t="n">
        <v>2040</v>
      </c>
      <c r="AA230" s="276" t="n">
        <v>2040</v>
      </c>
      <c r="AB230" s="276" t="n">
        <v>2040</v>
      </c>
      <c r="AC230" s="276" t="n">
        <v>2040</v>
      </c>
      <c r="AD230" s="276" t="n">
        <v>2040</v>
      </c>
      <c r="AE230" s="276" t="n">
        <v>2040</v>
      </c>
      <c r="AF230" s="276" t="n">
        <v>2040</v>
      </c>
      <c r="AG230" s="276" t="n">
        <v>2040</v>
      </c>
      <c r="AH230" s="276" t="n">
        <v>2040</v>
      </c>
      <c r="AI230" s="276" t="n">
        <v>2040</v>
      </c>
      <c r="AJ230" s="276" t="n">
        <v>2040</v>
      </c>
      <c r="AK230" s="276" t="n">
        <v>2040</v>
      </c>
      <c r="AL230" s="276" t="n">
        <v>2040</v>
      </c>
      <c r="AM230" s="276" t="n">
        <v>2040</v>
      </c>
      <c r="AN230" s="276" t="n">
        <v>2040</v>
      </c>
      <c r="AO230" s="276" t="n">
        <v>2040</v>
      </c>
      <c r="AP230" s="276" t="n">
        <v>2040</v>
      </c>
      <c r="AQ230" s="276" t="n">
        <v>2040</v>
      </c>
      <c r="AR230" s="276" t="n">
        <v>2040</v>
      </c>
      <c r="AS230" s="276" t="n">
        <v>2040</v>
      </c>
      <c r="AT230" s="276" t="n">
        <v>2040</v>
      </c>
      <c r="AU230" s="276" t="n">
        <v>2040</v>
      </c>
      <c r="AV230" s="276" t="n">
        <v>2040</v>
      </c>
      <c r="AW230" s="276" t="n">
        <v>2040</v>
      </c>
      <c r="AX230" s="276" t="n">
        <v>2040</v>
      </c>
      <c r="AY230" s="276" t="n">
        <v>2040</v>
      </c>
      <c r="AZ230" s="276" t="n">
        <v>2040</v>
      </c>
    </row>
    <row r="231" customFormat="false" ht="15" hidden="false" customHeight="false" outlineLevel="0" collapsed="false">
      <c r="A231" s="275" t="s">
        <v>377</v>
      </c>
      <c r="B231" s="275"/>
      <c r="C231" s="276" t="n">
        <v>2040</v>
      </c>
      <c r="D231" s="276" t="n">
        <v>2040</v>
      </c>
      <c r="E231" s="276" t="n">
        <v>2040</v>
      </c>
      <c r="F231" s="276" t="n">
        <v>2040</v>
      </c>
      <c r="G231" s="276" t="n">
        <v>2040</v>
      </c>
      <c r="H231" s="276" t="n">
        <v>2040</v>
      </c>
      <c r="I231" s="276" t="n">
        <v>2040</v>
      </c>
      <c r="J231" s="276" t="n">
        <v>2040</v>
      </c>
      <c r="K231" s="276" t="n">
        <v>2040</v>
      </c>
      <c r="L231" s="276" t="n">
        <v>2040</v>
      </c>
      <c r="M231" s="276" t="n">
        <v>2040</v>
      </c>
      <c r="N231" s="276" t="n">
        <v>2040</v>
      </c>
      <c r="O231" s="276" t="n">
        <v>2040</v>
      </c>
      <c r="P231" s="276" t="n">
        <v>2040</v>
      </c>
      <c r="Q231" s="276" t="n">
        <v>2040</v>
      </c>
      <c r="R231" s="276" t="n">
        <v>2040</v>
      </c>
      <c r="S231" s="276" t="n">
        <v>2040</v>
      </c>
      <c r="T231" s="276" t="n">
        <v>2040</v>
      </c>
      <c r="U231" s="276" t="n">
        <v>2040</v>
      </c>
      <c r="V231" s="276" t="n">
        <v>2040</v>
      </c>
      <c r="W231" s="276" t="n">
        <v>2040</v>
      </c>
      <c r="X231" s="276" t="n">
        <v>2040</v>
      </c>
      <c r="Y231" s="276" t="n">
        <v>2040</v>
      </c>
      <c r="Z231" s="276" t="n">
        <v>2040</v>
      </c>
      <c r="AA231" s="276" t="n">
        <v>2040</v>
      </c>
      <c r="AB231" s="276" t="n">
        <v>2040</v>
      </c>
      <c r="AC231" s="276" t="n">
        <v>2040</v>
      </c>
      <c r="AD231" s="276" t="n">
        <v>2040</v>
      </c>
      <c r="AE231" s="276" t="n">
        <v>2040</v>
      </c>
      <c r="AF231" s="276" t="n">
        <v>2040</v>
      </c>
      <c r="AG231" s="276" t="n">
        <v>2040</v>
      </c>
      <c r="AH231" s="276" t="n">
        <v>2040</v>
      </c>
      <c r="AI231" s="276" t="n">
        <v>2040</v>
      </c>
      <c r="AJ231" s="276" t="n">
        <v>2040</v>
      </c>
      <c r="AK231" s="276" t="n">
        <v>2040</v>
      </c>
      <c r="AL231" s="276" t="n">
        <v>2040</v>
      </c>
      <c r="AM231" s="276" t="n">
        <v>2040</v>
      </c>
      <c r="AN231" s="276" t="n">
        <v>2040</v>
      </c>
      <c r="AO231" s="276" t="n">
        <v>2040</v>
      </c>
      <c r="AP231" s="276" t="n">
        <v>2040</v>
      </c>
      <c r="AQ231" s="276" t="n">
        <v>2040</v>
      </c>
      <c r="AR231" s="276" t="n">
        <v>2040</v>
      </c>
      <c r="AS231" s="276" t="n">
        <v>2040</v>
      </c>
      <c r="AT231" s="276" t="n">
        <v>2040</v>
      </c>
      <c r="AU231" s="276" t="n">
        <v>2040</v>
      </c>
      <c r="AV231" s="276" t="n">
        <v>2040</v>
      </c>
      <c r="AW231" s="276" t="n">
        <v>2040</v>
      </c>
      <c r="AX231" s="276" t="n">
        <v>2040</v>
      </c>
      <c r="AY231" s="276" t="n">
        <v>2040</v>
      </c>
      <c r="AZ231" s="276" t="n">
        <v>2040</v>
      </c>
    </row>
    <row r="232" customFormat="false" ht="15" hidden="false" customHeight="false" outlineLevel="0" collapsed="false">
      <c r="A232" s="275" t="s">
        <v>378</v>
      </c>
      <c r="B232" s="275"/>
      <c r="C232" s="276" t="n">
        <v>2040</v>
      </c>
      <c r="D232" s="276" t="n">
        <v>2040</v>
      </c>
      <c r="E232" s="276" t="n">
        <v>2040</v>
      </c>
      <c r="F232" s="276" t="n">
        <v>2040</v>
      </c>
      <c r="G232" s="276" t="n">
        <v>2040</v>
      </c>
      <c r="H232" s="276" t="n">
        <v>2040</v>
      </c>
      <c r="I232" s="276" t="n">
        <v>2040</v>
      </c>
      <c r="J232" s="276" t="n">
        <v>2040</v>
      </c>
      <c r="K232" s="276" t="n">
        <v>2040</v>
      </c>
      <c r="L232" s="276" t="n">
        <v>2040</v>
      </c>
      <c r="M232" s="276" t="n">
        <v>2040</v>
      </c>
      <c r="N232" s="276" t="n">
        <v>2040</v>
      </c>
      <c r="O232" s="276" t="n">
        <v>2040</v>
      </c>
      <c r="P232" s="276" t="n">
        <v>2040</v>
      </c>
      <c r="Q232" s="276" t="n">
        <v>2040</v>
      </c>
      <c r="R232" s="276" t="n">
        <v>2040</v>
      </c>
      <c r="S232" s="276" t="n">
        <v>2040</v>
      </c>
      <c r="T232" s="276" t="n">
        <v>2040</v>
      </c>
      <c r="U232" s="276" t="n">
        <v>2040</v>
      </c>
      <c r="V232" s="276" t="n">
        <v>2040</v>
      </c>
      <c r="W232" s="276" t="n">
        <v>2040</v>
      </c>
      <c r="X232" s="276" t="n">
        <v>2040</v>
      </c>
      <c r="Y232" s="276" t="n">
        <v>2040</v>
      </c>
      <c r="Z232" s="276" t="n">
        <v>2040</v>
      </c>
      <c r="AA232" s="276" t="n">
        <v>2040</v>
      </c>
      <c r="AB232" s="276" t="n">
        <v>2040</v>
      </c>
      <c r="AC232" s="276" t="n">
        <v>2040</v>
      </c>
      <c r="AD232" s="276" t="n">
        <v>2040</v>
      </c>
      <c r="AE232" s="276" t="n">
        <v>2040</v>
      </c>
      <c r="AF232" s="276" t="n">
        <v>2040</v>
      </c>
      <c r="AG232" s="276" t="n">
        <v>2040</v>
      </c>
      <c r="AH232" s="276" t="n">
        <v>2040</v>
      </c>
      <c r="AI232" s="276" t="n">
        <v>2040</v>
      </c>
      <c r="AJ232" s="276" t="n">
        <v>2040</v>
      </c>
      <c r="AK232" s="276" t="n">
        <v>2040</v>
      </c>
      <c r="AL232" s="276" t="n">
        <v>2040</v>
      </c>
      <c r="AM232" s="276" t="n">
        <v>2040</v>
      </c>
      <c r="AN232" s="276" t="n">
        <v>2040</v>
      </c>
      <c r="AO232" s="276" t="n">
        <v>2040</v>
      </c>
      <c r="AP232" s="276" t="n">
        <v>2040</v>
      </c>
      <c r="AQ232" s="276" t="n">
        <v>2040</v>
      </c>
      <c r="AR232" s="276" t="n">
        <v>2040</v>
      </c>
      <c r="AS232" s="276" t="n">
        <v>2040</v>
      </c>
      <c r="AT232" s="276" t="n">
        <v>2040</v>
      </c>
      <c r="AU232" s="276" t="n">
        <v>2040</v>
      </c>
      <c r="AV232" s="276" t="n">
        <v>2040</v>
      </c>
      <c r="AW232" s="276" t="n">
        <v>2040</v>
      </c>
      <c r="AX232" s="276" t="n">
        <v>2040</v>
      </c>
      <c r="AY232" s="276" t="n">
        <v>2040</v>
      </c>
      <c r="AZ232" s="276" t="n">
        <v>2040</v>
      </c>
    </row>
    <row r="233" customFormat="false" ht="15.75" hidden="false" customHeight="true" outlineLevel="0" collapsed="false">
      <c r="A233" s="200" t="s">
        <v>646</v>
      </c>
      <c r="B233" s="200"/>
      <c r="C233" s="200"/>
      <c r="D233" s="200"/>
      <c r="E233" s="200"/>
      <c r="F233" s="200"/>
      <c r="G233" s="200"/>
      <c r="H233" s="200"/>
      <c r="I233" s="200"/>
      <c r="J233" s="200"/>
      <c r="K233" s="200"/>
      <c r="L233" s="200"/>
      <c r="M233" s="200"/>
      <c r="N233" s="200"/>
      <c r="O233" s="200"/>
      <c r="P233" s="200"/>
      <c r="Q233" s="200"/>
    </row>
    <row r="234" customFormat="false" ht="15" hidden="false" customHeight="false" outlineLevel="0" collapsed="false">
      <c r="A234" s="275" t="s">
        <v>374</v>
      </c>
      <c r="B234" s="275"/>
      <c r="C234" s="276" t="n">
        <v>1</v>
      </c>
      <c r="D234" s="276" t="n">
        <v>1</v>
      </c>
      <c r="E234" s="276" t="n">
        <v>1</v>
      </c>
      <c r="F234" s="276" t="n">
        <v>1</v>
      </c>
      <c r="G234" s="276" t="n">
        <v>1</v>
      </c>
      <c r="H234" s="276" t="n">
        <v>1</v>
      </c>
      <c r="I234" s="276" t="n">
        <v>1</v>
      </c>
      <c r="J234" s="276" t="n">
        <v>1</v>
      </c>
      <c r="K234" s="276" t="n">
        <v>1</v>
      </c>
      <c r="L234" s="276" t="n">
        <v>1</v>
      </c>
      <c r="M234" s="276" t="n">
        <v>1</v>
      </c>
      <c r="N234" s="276" t="n">
        <v>1</v>
      </c>
      <c r="O234" s="276" t="n">
        <v>1</v>
      </c>
      <c r="P234" s="276" t="n">
        <v>1</v>
      </c>
      <c r="Q234" s="277" t="n">
        <v>1</v>
      </c>
      <c r="R234" s="277" t="n">
        <v>1</v>
      </c>
      <c r="S234" s="277" t="n">
        <v>1</v>
      </c>
      <c r="T234" s="277" t="n">
        <v>1</v>
      </c>
      <c r="U234" s="277" t="n">
        <v>1</v>
      </c>
      <c r="V234" s="277" t="n">
        <v>1</v>
      </c>
      <c r="W234" s="277" t="n">
        <v>1</v>
      </c>
      <c r="X234" s="277" t="n">
        <v>1</v>
      </c>
      <c r="Y234" s="277" t="n">
        <v>1</v>
      </c>
      <c r="Z234" s="277" t="n">
        <v>1</v>
      </c>
      <c r="AA234" s="277" t="n">
        <v>1</v>
      </c>
      <c r="AB234" s="277" t="n">
        <v>1</v>
      </c>
      <c r="AC234" s="277" t="n">
        <v>1</v>
      </c>
      <c r="AD234" s="277" t="n">
        <v>1</v>
      </c>
      <c r="AE234" s="277" t="n">
        <v>1</v>
      </c>
      <c r="AF234" s="277" t="n">
        <v>1</v>
      </c>
      <c r="AG234" s="277" t="n">
        <v>1</v>
      </c>
      <c r="AH234" s="277" t="n">
        <v>1</v>
      </c>
      <c r="AI234" s="277" t="n">
        <v>1</v>
      </c>
      <c r="AJ234" s="277" t="n">
        <v>1</v>
      </c>
      <c r="AK234" s="277" t="n">
        <v>1</v>
      </c>
      <c r="AL234" s="277" t="n">
        <v>1</v>
      </c>
      <c r="AM234" s="277" t="n">
        <v>1</v>
      </c>
      <c r="AN234" s="277" t="n">
        <v>1</v>
      </c>
      <c r="AO234" s="277" t="n">
        <v>1</v>
      </c>
      <c r="AP234" s="277" t="n">
        <v>1</v>
      </c>
      <c r="AQ234" s="277" t="n">
        <v>1</v>
      </c>
      <c r="AR234" s="277" t="n">
        <v>1</v>
      </c>
      <c r="AS234" s="277" t="n">
        <v>1</v>
      </c>
      <c r="AT234" s="277" t="n">
        <v>1</v>
      </c>
      <c r="AU234" s="277" t="n">
        <v>1</v>
      </c>
      <c r="AV234" s="277" t="n">
        <v>1</v>
      </c>
      <c r="AW234" s="277" t="n">
        <v>1</v>
      </c>
      <c r="AX234" s="277" t="n">
        <v>1</v>
      </c>
      <c r="AY234" s="277" t="n">
        <v>1</v>
      </c>
      <c r="AZ234" s="277" t="n">
        <v>1</v>
      </c>
    </row>
    <row r="235" customFormat="false" ht="15" hidden="false" customHeight="false" outlineLevel="0" collapsed="false">
      <c r="A235" s="275" t="s">
        <v>375</v>
      </c>
      <c r="B235" s="275"/>
      <c r="C235" s="276" t="n">
        <v>1</v>
      </c>
      <c r="D235" s="276" t="n">
        <v>1</v>
      </c>
      <c r="E235" s="276" t="n">
        <v>1</v>
      </c>
      <c r="F235" s="276" t="n">
        <v>1</v>
      </c>
      <c r="G235" s="276" t="n">
        <v>1</v>
      </c>
      <c r="H235" s="276" t="n">
        <v>1</v>
      </c>
      <c r="I235" s="276" t="n">
        <v>1</v>
      </c>
      <c r="J235" s="276" t="n">
        <v>1</v>
      </c>
      <c r="K235" s="276" t="n">
        <v>1</v>
      </c>
      <c r="L235" s="276" t="n">
        <v>1</v>
      </c>
      <c r="M235" s="276" t="n">
        <v>1</v>
      </c>
      <c r="N235" s="276" t="n">
        <v>1</v>
      </c>
      <c r="O235" s="276" t="n">
        <v>1</v>
      </c>
      <c r="P235" s="276" t="n">
        <v>1</v>
      </c>
      <c r="Q235" s="277" t="n">
        <v>1</v>
      </c>
      <c r="R235" s="277" t="n">
        <v>1</v>
      </c>
      <c r="S235" s="277" t="n">
        <v>1</v>
      </c>
      <c r="T235" s="277" t="n">
        <v>1</v>
      </c>
      <c r="U235" s="277" t="n">
        <v>1</v>
      </c>
      <c r="V235" s="277" t="n">
        <v>1</v>
      </c>
      <c r="W235" s="277" t="n">
        <v>1</v>
      </c>
      <c r="X235" s="277" t="n">
        <v>1</v>
      </c>
      <c r="Y235" s="277" t="n">
        <v>1</v>
      </c>
      <c r="Z235" s="277" t="n">
        <v>1</v>
      </c>
      <c r="AA235" s="277" t="n">
        <v>1</v>
      </c>
      <c r="AB235" s="277" t="n">
        <v>1</v>
      </c>
      <c r="AC235" s="277" t="n">
        <v>1</v>
      </c>
      <c r="AD235" s="277" t="n">
        <v>1</v>
      </c>
      <c r="AE235" s="277" t="n">
        <v>1</v>
      </c>
      <c r="AF235" s="277" t="n">
        <v>1</v>
      </c>
      <c r="AG235" s="277" t="n">
        <v>1</v>
      </c>
      <c r="AH235" s="277" t="n">
        <v>1</v>
      </c>
      <c r="AI235" s="277" t="n">
        <v>1</v>
      </c>
      <c r="AJ235" s="277" t="n">
        <v>1</v>
      </c>
      <c r="AK235" s="277" t="n">
        <v>1</v>
      </c>
      <c r="AL235" s="277" t="n">
        <v>1</v>
      </c>
      <c r="AM235" s="277" t="n">
        <v>1</v>
      </c>
      <c r="AN235" s="277" t="n">
        <v>1</v>
      </c>
      <c r="AO235" s="277" t="n">
        <v>1</v>
      </c>
      <c r="AP235" s="277" t="n">
        <v>1</v>
      </c>
      <c r="AQ235" s="277" t="n">
        <v>1</v>
      </c>
      <c r="AR235" s="277" t="n">
        <v>1</v>
      </c>
      <c r="AS235" s="277" t="n">
        <v>1</v>
      </c>
      <c r="AT235" s="277" t="n">
        <v>1</v>
      </c>
      <c r="AU235" s="277" t="n">
        <v>1</v>
      </c>
      <c r="AV235" s="277" t="n">
        <v>1</v>
      </c>
      <c r="AW235" s="277" t="n">
        <v>1</v>
      </c>
      <c r="AX235" s="277" t="n">
        <v>1</v>
      </c>
      <c r="AY235" s="277" t="n">
        <v>1</v>
      </c>
      <c r="AZ235" s="277" t="n">
        <v>1</v>
      </c>
    </row>
    <row r="236" customFormat="false" ht="15" hidden="false" customHeight="false" outlineLevel="0" collapsed="false">
      <c r="A236" s="275" t="s">
        <v>376</v>
      </c>
      <c r="B236" s="275"/>
      <c r="C236" s="276" t="n">
        <v>1</v>
      </c>
      <c r="D236" s="276" t="n">
        <v>1</v>
      </c>
      <c r="E236" s="276" t="n">
        <v>1</v>
      </c>
      <c r="F236" s="276" t="n">
        <v>1</v>
      </c>
      <c r="G236" s="276" t="n">
        <v>1</v>
      </c>
      <c r="H236" s="276" t="n">
        <v>1</v>
      </c>
      <c r="I236" s="276" t="n">
        <v>1</v>
      </c>
      <c r="J236" s="276" t="n">
        <v>1</v>
      </c>
      <c r="K236" s="276" t="n">
        <v>1</v>
      </c>
      <c r="L236" s="276" t="n">
        <v>1</v>
      </c>
      <c r="M236" s="276" t="n">
        <v>1</v>
      </c>
      <c r="N236" s="276" t="n">
        <v>1</v>
      </c>
      <c r="O236" s="276" t="n">
        <v>1</v>
      </c>
      <c r="P236" s="276" t="n">
        <v>1</v>
      </c>
      <c r="Q236" s="277" t="n">
        <v>1</v>
      </c>
      <c r="R236" s="277" t="n">
        <v>1</v>
      </c>
      <c r="S236" s="277" t="n">
        <v>1</v>
      </c>
      <c r="T236" s="277" t="n">
        <v>1</v>
      </c>
      <c r="U236" s="277" t="n">
        <v>1</v>
      </c>
      <c r="V236" s="277" t="n">
        <v>1</v>
      </c>
      <c r="W236" s="277" t="n">
        <v>1</v>
      </c>
      <c r="X236" s="277" t="n">
        <v>1</v>
      </c>
      <c r="Y236" s="277" t="n">
        <v>1</v>
      </c>
      <c r="Z236" s="277" t="n">
        <v>1</v>
      </c>
      <c r="AA236" s="277" t="n">
        <v>1</v>
      </c>
      <c r="AB236" s="277" t="n">
        <v>1</v>
      </c>
      <c r="AC236" s="277" t="n">
        <v>1</v>
      </c>
      <c r="AD236" s="277" t="n">
        <v>1</v>
      </c>
      <c r="AE236" s="277" t="n">
        <v>1</v>
      </c>
      <c r="AF236" s="277" t="n">
        <v>1</v>
      </c>
      <c r="AG236" s="277" t="n">
        <v>1</v>
      </c>
      <c r="AH236" s="277" t="n">
        <v>1</v>
      </c>
      <c r="AI236" s="277" t="n">
        <v>1</v>
      </c>
      <c r="AJ236" s="277" t="n">
        <v>1</v>
      </c>
      <c r="AK236" s="277" t="n">
        <v>1</v>
      </c>
      <c r="AL236" s="277" t="n">
        <v>1</v>
      </c>
      <c r="AM236" s="277" t="n">
        <v>1</v>
      </c>
      <c r="AN236" s="277" t="n">
        <v>1</v>
      </c>
      <c r="AO236" s="277" t="n">
        <v>1</v>
      </c>
      <c r="AP236" s="277" t="n">
        <v>1</v>
      </c>
      <c r="AQ236" s="277" t="n">
        <v>1</v>
      </c>
      <c r="AR236" s="277" t="n">
        <v>1</v>
      </c>
      <c r="AS236" s="277" t="n">
        <v>1</v>
      </c>
      <c r="AT236" s="277" t="n">
        <v>1</v>
      </c>
      <c r="AU236" s="277" t="n">
        <v>1</v>
      </c>
      <c r="AV236" s="277" t="n">
        <v>1</v>
      </c>
      <c r="AW236" s="277" t="n">
        <v>1</v>
      </c>
      <c r="AX236" s="277" t="n">
        <v>1</v>
      </c>
      <c r="AY236" s="277" t="n">
        <v>1</v>
      </c>
      <c r="AZ236" s="277" t="n">
        <v>1</v>
      </c>
    </row>
    <row r="237" customFormat="false" ht="15" hidden="false" customHeight="false" outlineLevel="0" collapsed="false">
      <c r="A237" s="275" t="s">
        <v>377</v>
      </c>
      <c r="B237" s="275"/>
      <c r="C237" s="276" t="n">
        <v>1</v>
      </c>
      <c r="D237" s="276" t="n">
        <v>1</v>
      </c>
      <c r="E237" s="276" t="n">
        <v>1</v>
      </c>
      <c r="F237" s="276" t="n">
        <v>1</v>
      </c>
      <c r="G237" s="276" t="n">
        <v>1</v>
      </c>
      <c r="H237" s="276" t="n">
        <v>1</v>
      </c>
      <c r="I237" s="276" t="n">
        <v>1</v>
      </c>
      <c r="J237" s="276" t="n">
        <v>1</v>
      </c>
      <c r="K237" s="276" t="n">
        <v>1</v>
      </c>
      <c r="L237" s="276" t="n">
        <v>1</v>
      </c>
      <c r="M237" s="276" t="n">
        <v>1</v>
      </c>
      <c r="N237" s="276" t="n">
        <v>1</v>
      </c>
      <c r="O237" s="276" t="n">
        <v>1</v>
      </c>
      <c r="P237" s="276" t="n">
        <v>1</v>
      </c>
      <c r="Q237" s="277" t="n">
        <v>1</v>
      </c>
      <c r="R237" s="277" t="n">
        <v>1</v>
      </c>
      <c r="S237" s="277" t="n">
        <v>1</v>
      </c>
      <c r="T237" s="277" t="n">
        <v>1</v>
      </c>
      <c r="U237" s="277" t="n">
        <v>1</v>
      </c>
      <c r="V237" s="277" t="n">
        <v>1</v>
      </c>
      <c r="W237" s="277" t="n">
        <v>1</v>
      </c>
      <c r="X237" s="277" t="n">
        <v>1</v>
      </c>
      <c r="Y237" s="277" t="n">
        <v>1</v>
      </c>
      <c r="Z237" s="277" t="n">
        <v>1</v>
      </c>
      <c r="AA237" s="277" t="n">
        <v>1</v>
      </c>
      <c r="AB237" s="277" t="n">
        <v>1</v>
      </c>
      <c r="AC237" s="277" t="n">
        <v>1</v>
      </c>
      <c r="AD237" s="277" t="n">
        <v>1</v>
      </c>
      <c r="AE237" s="277" t="n">
        <v>1</v>
      </c>
      <c r="AF237" s="277" t="n">
        <v>1</v>
      </c>
      <c r="AG237" s="277" t="n">
        <v>1</v>
      </c>
      <c r="AH237" s="277" t="n">
        <v>1</v>
      </c>
      <c r="AI237" s="277" t="n">
        <v>1</v>
      </c>
      <c r="AJ237" s="277" t="n">
        <v>1</v>
      </c>
      <c r="AK237" s="277" t="n">
        <v>1</v>
      </c>
      <c r="AL237" s="277" t="n">
        <v>1</v>
      </c>
      <c r="AM237" s="277" t="n">
        <v>1</v>
      </c>
      <c r="AN237" s="277" t="n">
        <v>1</v>
      </c>
      <c r="AO237" s="277" t="n">
        <v>1</v>
      </c>
      <c r="AP237" s="277" t="n">
        <v>1</v>
      </c>
      <c r="AQ237" s="277" t="n">
        <v>1</v>
      </c>
      <c r="AR237" s="277" t="n">
        <v>1</v>
      </c>
      <c r="AS237" s="277" t="n">
        <v>1</v>
      </c>
      <c r="AT237" s="277" t="n">
        <v>1</v>
      </c>
      <c r="AU237" s="277" t="n">
        <v>1</v>
      </c>
      <c r="AV237" s="277" t="n">
        <v>1</v>
      </c>
      <c r="AW237" s="277" t="n">
        <v>1</v>
      </c>
      <c r="AX237" s="277" t="n">
        <v>1</v>
      </c>
      <c r="AY237" s="277" t="n">
        <v>1</v>
      </c>
      <c r="AZ237" s="277" t="n">
        <v>1</v>
      </c>
    </row>
    <row r="238" customFormat="false" ht="15" hidden="false" customHeight="false" outlineLevel="0" collapsed="false">
      <c r="A238" s="275" t="s">
        <v>378</v>
      </c>
      <c r="B238" s="275"/>
      <c r="C238" s="276" t="n">
        <v>1</v>
      </c>
      <c r="D238" s="276" t="n">
        <v>1</v>
      </c>
      <c r="E238" s="276" t="n">
        <v>1</v>
      </c>
      <c r="F238" s="276" t="n">
        <v>1</v>
      </c>
      <c r="G238" s="276" t="n">
        <v>1</v>
      </c>
      <c r="H238" s="276" t="n">
        <v>1</v>
      </c>
      <c r="I238" s="276" t="n">
        <v>1</v>
      </c>
      <c r="J238" s="276" t="n">
        <v>1</v>
      </c>
      <c r="K238" s="276" t="n">
        <v>1</v>
      </c>
      <c r="L238" s="276" t="n">
        <v>1</v>
      </c>
      <c r="M238" s="276" t="n">
        <v>1</v>
      </c>
      <c r="N238" s="276" t="n">
        <v>1</v>
      </c>
      <c r="O238" s="276" t="n">
        <v>1</v>
      </c>
      <c r="P238" s="276" t="n">
        <v>1</v>
      </c>
      <c r="Q238" s="277" t="n">
        <v>1</v>
      </c>
      <c r="R238" s="277" t="n">
        <v>1</v>
      </c>
      <c r="S238" s="277" t="n">
        <v>1</v>
      </c>
      <c r="T238" s="277" t="n">
        <v>1</v>
      </c>
      <c r="U238" s="277" t="n">
        <v>1</v>
      </c>
      <c r="V238" s="277" t="n">
        <v>1</v>
      </c>
      <c r="W238" s="277" t="n">
        <v>1</v>
      </c>
      <c r="X238" s="277" t="n">
        <v>1</v>
      </c>
      <c r="Y238" s="277" t="n">
        <v>1</v>
      </c>
      <c r="Z238" s="277" t="n">
        <v>1</v>
      </c>
      <c r="AA238" s="277" t="n">
        <v>1</v>
      </c>
      <c r="AB238" s="277" t="n">
        <v>1</v>
      </c>
      <c r="AC238" s="277" t="n">
        <v>1</v>
      </c>
      <c r="AD238" s="277" t="n">
        <v>1</v>
      </c>
      <c r="AE238" s="277" t="n">
        <v>1</v>
      </c>
      <c r="AF238" s="277" t="n">
        <v>1</v>
      </c>
      <c r="AG238" s="277" t="n">
        <v>1</v>
      </c>
      <c r="AH238" s="277" t="n">
        <v>1</v>
      </c>
      <c r="AI238" s="277" t="n">
        <v>1</v>
      </c>
      <c r="AJ238" s="277" t="n">
        <v>1</v>
      </c>
      <c r="AK238" s="277" t="n">
        <v>1</v>
      </c>
      <c r="AL238" s="277" t="n">
        <v>1</v>
      </c>
      <c r="AM238" s="277" t="n">
        <v>1</v>
      </c>
      <c r="AN238" s="277" t="n">
        <v>1</v>
      </c>
      <c r="AO238" s="277" t="n">
        <v>1</v>
      </c>
      <c r="AP238" s="277" t="n">
        <v>1</v>
      </c>
      <c r="AQ238" s="277" t="n">
        <v>1</v>
      </c>
      <c r="AR238" s="277" t="n">
        <v>1</v>
      </c>
      <c r="AS238" s="277" t="n">
        <v>1</v>
      </c>
      <c r="AT238" s="277" t="n">
        <v>1</v>
      </c>
      <c r="AU238" s="277" t="n">
        <v>1</v>
      </c>
      <c r="AV238" s="277" t="n">
        <v>1</v>
      </c>
      <c r="AW238" s="277" t="n">
        <v>1</v>
      </c>
      <c r="AX238" s="277" t="n">
        <v>1</v>
      </c>
      <c r="AY238" s="277" t="n">
        <v>1</v>
      </c>
      <c r="AZ238" s="277" t="n">
        <v>1</v>
      </c>
    </row>
    <row r="239" customFormat="false" ht="15.75" hidden="false" customHeight="true" outlineLevel="0" collapsed="false">
      <c r="A239" s="200" t="s">
        <v>647</v>
      </c>
      <c r="B239" s="200"/>
      <c r="C239" s="200"/>
      <c r="D239" s="200"/>
      <c r="E239" s="200"/>
      <c r="F239" s="200"/>
      <c r="G239" s="200"/>
      <c r="H239" s="200"/>
      <c r="I239" s="200"/>
      <c r="J239" s="200"/>
      <c r="K239" s="200"/>
      <c r="L239" s="200"/>
      <c r="M239" s="200"/>
      <c r="N239" s="200"/>
      <c r="O239" s="200"/>
      <c r="P239" s="200"/>
      <c r="Q239" s="200"/>
    </row>
    <row r="240" customFormat="false" ht="15" hidden="false" customHeight="false" outlineLevel="0" collapsed="false">
      <c r="A240" s="275" t="s">
        <v>374</v>
      </c>
      <c r="B240" s="275"/>
      <c r="C240" s="276" t="n">
        <v>2050</v>
      </c>
      <c r="D240" s="276" t="n">
        <v>2050</v>
      </c>
      <c r="E240" s="276" t="n">
        <v>2050</v>
      </c>
      <c r="F240" s="276" t="n">
        <v>2050</v>
      </c>
      <c r="G240" s="276" t="n">
        <v>2050</v>
      </c>
      <c r="H240" s="276" t="n">
        <v>2050</v>
      </c>
      <c r="I240" s="276" t="n">
        <v>2050</v>
      </c>
      <c r="J240" s="276" t="n">
        <v>2050</v>
      </c>
      <c r="K240" s="276" t="n">
        <v>2050</v>
      </c>
      <c r="L240" s="276" t="n">
        <v>2050</v>
      </c>
      <c r="M240" s="276" t="n">
        <v>2050</v>
      </c>
      <c r="N240" s="276" t="n">
        <v>2050</v>
      </c>
      <c r="O240" s="276" t="n">
        <v>2050</v>
      </c>
      <c r="P240" s="276" t="n">
        <v>2050</v>
      </c>
      <c r="Q240" s="277" t="n">
        <v>2050</v>
      </c>
      <c r="R240" s="277" t="n">
        <v>2050</v>
      </c>
      <c r="S240" s="277" t="n">
        <v>2050</v>
      </c>
      <c r="T240" s="277" t="n">
        <v>2050</v>
      </c>
      <c r="U240" s="277" t="n">
        <v>2050</v>
      </c>
      <c r="V240" s="277" t="n">
        <v>2050</v>
      </c>
      <c r="W240" s="277" t="n">
        <v>2050</v>
      </c>
      <c r="X240" s="277" t="n">
        <v>2050</v>
      </c>
      <c r="Y240" s="277" t="n">
        <v>2050</v>
      </c>
      <c r="Z240" s="277" t="n">
        <v>2050</v>
      </c>
      <c r="AA240" s="277" t="n">
        <v>2050</v>
      </c>
      <c r="AB240" s="277" t="n">
        <v>2050</v>
      </c>
      <c r="AC240" s="277" t="n">
        <v>2050</v>
      </c>
      <c r="AD240" s="277" t="n">
        <v>2050</v>
      </c>
      <c r="AE240" s="277" t="n">
        <v>2050</v>
      </c>
      <c r="AF240" s="277" t="n">
        <v>2050</v>
      </c>
      <c r="AG240" s="277" t="n">
        <v>2050</v>
      </c>
      <c r="AH240" s="277" t="n">
        <v>2050</v>
      </c>
      <c r="AI240" s="277" t="n">
        <v>2050</v>
      </c>
      <c r="AJ240" s="277" t="n">
        <v>2050</v>
      </c>
      <c r="AK240" s="277" t="n">
        <v>2050</v>
      </c>
      <c r="AL240" s="277" t="n">
        <v>2050</v>
      </c>
      <c r="AM240" s="277" t="n">
        <v>2050</v>
      </c>
      <c r="AN240" s="277" t="n">
        <v>2050</v>
      </c>
      <c r="AO240" s="277" t="n">
        <v>2050</v>
      </c>
      <c r="AP240" s="277" t="n">
        <v>2050</v>
      </c>
      <c r="AQ240" s="277" t="n">
        <v>2050</v>
      </c>
      <c r="AR240" s="277" t="n">
        <v>2050</v>
      </c>
      <c r="AS240" s="277" t="n">
        <v>2050</v>
      </c>
      <c r="AT240" s="277" t="n">
        <v>2050</v>
      </c>
      <c r="AU240" s="277" t="n">
        <v>2050</v>
      </c>
      <c r="AV240" s="277" t="n">
        <v>2050</v>
      </c>
      <c r="AW240" s="277" t="n">
        <v>2050</v>
      </c>
      <c r="AX240" s="277" t="n">
        <v>2050</v>
      </c>
      <c r="AY240" s="277" t="n">
        <v>2050</v>
      </c>
      <c r="AZ240" s="277" t="n">
        <v>2050</v>
      </c>
    </row>
    <row r="241" customFormat="false" ht="15" hidden="false" customHeight="false" outlineLevel="0" collapsed="false">
      <c r="A241" s="275" t="s">
        <v>375</v>
      </c>
      <c r="B241" s="275"/>
      <c r="C241" s="276" t="n">
        <v>2050</v>
      </c>
      <c r="D241" s="276" t="n">
        <v>2050</v>
      </c>
      <c r="E241" s="276" t="n">
        <v>2050</v>
      </c>
      <c r="F241" s="276" t="n">
        <v>2050</v>
      </c>
      <c r="G241" s="276" t="n">
        <v>2050</v>
      </c>
      <c r="H241" s="276" t="n">
        <v>2050</v>
      </c>
      <c r="I241" s="276" t="n">
        <v>2050</v>
      </c>
      <c r="J241" s="276" t="n">
        <v>2050</v>
      </c>
      <c r="K241" s="276" t="n">
        <v>2050</v>
      </c>
      <c r="L241" s="276" t="n">
        <v>2050</v>
      </c>
      <c r="M241" s="276" t="n">
        <v>2050</v>
      </c>
      <c r="N241" s="276" t="n">
        <v>2050</v>
      </c>
      <c r="O241" s="276" t="n">
        <v>2050</v>
      </c>
      <c r="P241" s="276" t="n">
        <v>2050</v>
      </c>
      <c r="Q241" s="277" t="n">
        <v>2050</v>
      </c>
      <c r="R241" s="277" t="n">
        <v>2050</v>
      </c>
      <c r="S241" s="277" t="n">
        <v>2050</v>
      </c>
      <c r="T241" s="277" t="n">
        <v>2050</v>
      </c>
      <c r="U241" s="277" t="n">
        <v>2050</v>
      </c>
      <c r="V241" s="277" t="n">
        <v>2050</v>
      </c>
      <c r="W241" s="277" t="n">
        <v>2050</v>
      </c>
      <c r="X241" s="277" t="n">
        <v>2050</v>
      </c>
      <c r="Y241" s="277" t="n">
        <v>2050</v>
      </c>
      <c r="Z241" s="277" t="n">
        <v>2050</v>
      </c>
      <c r="AA241" s="277" t="n">
        <v>2050</v>
      </c>
      <c r="AB241" s="277" t="n">
        <v>2050</v>
      </c>
      <c r="AC241" s="277" t="n">
        <v>2050</v>
      </c>
      <c r="AD241" s="277" t="n">
        <v>2050</v>
      </c>
      <c r="AE241" s="277" t="n">
        <v>2050</v>
      </c>
      <c r="AF241" s="277" t="n">
        <v>2050</v>
      </c>
      <c r="AG241" s="277" t="n">
        <v>2050</v>
      </c>
      <c r="AH241" s="277" t="n">
        <v>2050</v>
      </c>
      <c r="AI241" s="277" t="n">
        <v>2050</v>
      </c>
      <c r="AJ241" s="277" t="n">
        <v>2050</v>
      </c>
      <c r="AK241" s="277" t="n">
        <v>2050</v>
      </c>
      <c r="AL241" s="277" t="n">
        <v>2050</v>
      </c>
      <c r="AM241" s="277" t="n">
        <v>2050</v>
      </c>
      <c r="AN241" s="277" t="n">
        <v>2050</v>
      </c>
      <c r="AO241" s="277" t="n">
        <v>2050</v>
      </c>
      <c r="AP241" s="277" t="n">
        <v>2050</v>
      </c>
      <c r="AQ241" s="277" t="n">
        <v>2050</v>
      </c>
      <c r="AR241" s="277" t="n">
        <v>2050</v>
      </c>
      <c r="AS241" s="277" t="n">
        <v>2050</v>
      </c>
      <c r="AT241" s="277" t="n">
        <v>2050</v>
      </c>
      <c r="AU241" s="277" t="n">
        <v>2050</v>
      </c>
      <c r="AV241" s="277" t="n">
        <v>2050</v>
      </c>
      <c r="AW241" s="277" t="n">
        <v>2050</v>
      </c>
      <c r="AX241" s="277" t="n">
        <v>2050</v>
      </c>
      <c r="AY241" s="277" t="n">
        <v>2050</v>
      </c>
      <c r="AZ241" s="277" t="n">
        <v>2050</v>
      </c>
    </row>
    <row r="242" customFormat="false" ht="15" hidden="false" customHeight="false" outlineLevel="0" collapsed="false">
      <c r="A242" s="275" t="s">
        <v>376</v>
      </c>
      <c r="B242" s="275"/>
      <c r="C242" s="276" t="n">
        <v>2050</v>
      </c>
      <c r="D242" s="276" t="n">
        <v>2050</v>
      </c>
      <c r="E242" s="276" t="n">
        <v>2050</v>
      </c>
      <c r="F242" s="276" t="n">
        <v>2050</v>
      </c>
      <c r="G242" s="276" t="n">
        <v>2050</v>
      </c>
      <c r="H242" s="276" t="n">
        <v>2050</v>
      </c>
      <c r="I242" s="276" t="n">
        <v>2050</v>
      </c>
      <c r="J242" s="276" t="n">
        <v>2050</v>
      </c>
      <c r="K242" s="276" t="n">
        <v>2050</v>
      </c>
      <c r="L242" s="276" t="n">
        <v>2050</v>
      </c>
      <c r="M242" s="276" t="n">
        <v>2050</v>
      </c>
      <c r="N242" s="276" t="n">
        <v>2050</v>
      </c>
      <c r="O242" s="276" t="n">
        <v>2050</v>
      </c>
      <c r="P242" s="276" t="n">
        <v>2050</v>
      </c>
      <c r="Q242" s="277" t="n">
        <v>2050</v>
      </c>
      <c r="R242" s="277" t="n">
        <v>2050</v>
      </c>
      <c r="S242" s="277" t="n">
        <v>2050</v>
      </c>
      <c r="T242" s="277" t="n">
        <v>2050</v>
      </c>
      <c r="U242" s="277" t="n">
        <v>2050</v>
      </c>
      <c r="V242" s="277" t="n">
        <v>2050</v>
      </c>
      <c r="W242" s="277" t="n">
        <v>2050</v>
      </c>
      <c r="X242" s="277" t="n">
        <v>2050</v>
      </c>
      <c r="Y242" s="277" t="n">
        <v>2050</v>
      </c>
      <c r="Z242" s="277" t="n">
        <v>2050</v>
      </c>
      <c r="AA242" s="277" t="n">
        <v>2050</v>
      </c>
      <c r="AB242" s="277" t="n">
        <v>2050</v>
      </c>
      <c r="AC242" s="277" t="n">
        <v>2050</v>
      </c>
      <c r="AD242" s="277" t="n">
        <v>2050</v>
      </c>
      <c r="AE242" s="277" t="n">
        <v>2050</v>
      </c>
      <c r="AF242" s="277" t="n">
        <v>2050</v>
      </c>
      <c r="AG242" s="277" t="n">
        <v>2050</v>
      </c>
      <c r="AH242" s="277" t="n">
        <v>2050</v>
      </c>
      <c r="AI242" s="277" t="n">
        <v>2050</v>
      </c>
      <c r="AJ242" s="277" t="n">
        <v>2050</v>
      </c>
      <c r="AK242" s="277" t="n">
        <v>2050</v>
      </c>
      <c r="AL242" s="277" t="n">
        <v>2050</v>
      </c>
      <c r="AM242" s="277" t="n">
        <v>2050</v>
      </c>
      <c r="AN242" s="277" t="n">
        <v>2050</v>
      </c>
      <c r="AO242" s="277" t="n">
        <v>2050</v>
      </c>
      <c r="AP242" s="277" t="n">
        <v>2050</v>
      </c>
      <c r="AQ242" s="277" t="n">
        <v>2050</v>
      </c>
      <c r="AR242" s="277" t="n">
        <v>2050</v>
      </c>
      <c r="AS242" s="277" t="n">
        <v>2050</v>
      </c>
      <c r="AT242" s="277" t="n">
        <v>2050</v>
      </c>
      <c r="AU242" s="277" t="n">
        <v>2050</v>
      </c>
      <c r="AV242" s="277" t="n">
        <v>2050</v>
      </c>
      <c r="AW242" s="277" t="n">
        <v>2050</v>
      </c>
      <c r="AX242" s="277" t="n">
        <v>2050</v>
      </c>
      <c r="AY242" s="277" t="n">
        <v>2050</v>
      </c>
      <c r="AZ242" s="277" t="n">
        <v>2050</v>
      </c>
    </row>
    <row r="243" customFormat="false" ht="15" hidden="false" customHeight="false" outlineLevel="0" collapsed="false">
      <c r="A243" s="275" t="s">
        <v>377</v>
      </c>
      <c r="B243" s="275"/>
      <c r="C243" s="276" t="n">
        <v>2050</v>
      </c>
      <c r="D243" s="276" t="n">
        <v>2050</v>
      </c>
      <c r="E243" s="276" t="n">
        <v>2050</v>
      </c>
      <c r="F243" s="276" t="n">
        <v>2050</v>
      </c>
      <c r="G243" s="276" t="n">
        <v>2050</v>
      </c>
      <c r="H243" s="276" t="n">
        <v>2050</v>
      </c>
      <c r="I243" s="276" t="n">
        <v>2050</v>
      </c>
      <c r="J243" s="276" t="n">
        <v>2050</v>
      </c>
      <c r="K243" s="276" t="n">
        <v>2050</v>
      </c>
      <c r="L243" s="276" t="n">
        <v>2050</v>
      </c>
      <c r="M243" s="276" t="n">
        <v>2050</v>
      </c>
      <c r="N243" s="276" t="n">
        <v>2050</v>
      </c>
      <c r="O243" s="276" t="n">
        <v>2050</v>
      </c>
      <c r="P243" s="276" t="n">
        <v>2050</v>
      </c>
      <c r="Q243" s="277" t="n">
        <v>2050</v>
      </c>
      <c r="R243" s="277" t="n">
        <v>2050</v>
      </c>
      <c r="S243" s="277" t="n">
        <v>2050</v>
      </c>
      <c r="T243" s="277" t="n">
        <v>2050</v>
      </c>
      <c r="U243" s="277" t="n">
        <v>2050</v>
      </c>
      <c r="V243" s="277" t="n">
        <v>2050</v>
      </c>
      <c r="W243" s="277" t="n">
        <v>2050</v>
      </c>
      <c r="X243" s="277" t="n">
        <v>2050</v>
      </c>
      <c r="Y243" s="277" t="n">
        <v>2050</v>
      </c>
      <c r="Z243" s="277" t="n">
        <v>2050</v>
      </c>
      <c r="AA243" s="277" t="n">
        <v>2050</v>
      </c>
      <c r="AB243" s="277" t="n">
        <v>2050</v>
      </c>
      <c r="AC243" s="277" t="n">
        <v>2050</v>
      </c>
      <c r="AD243" s="277" t="n">
        <v>2050</v>
      </c>
      <c r="AE243" s="277" t="n">
        <v>2050</v>
      </c>
      <c r="AF243" s="277" t="n">
        <v>2050</v>
      </c>
      <c r="AG243" s="277" t="n">
        <v>2050</v>
      </c>
      <c r="AH243" s="277" t="n">
        <v>2050</v>
      </c>
      <c r="AI243" s="277" t="n">
        <v>2050</v>
      </c>
      <c r="AJ243" s="277" t="n">
        <v>2050</v>
      </c>
      <c r="AK243" s="277" t="n">
        <v>2050</v>
      </c>
      <c r="AL243" s="277" t="n">
        <v>2050</v>
      </c>
      <c r="AM243" s="277" t="n">
        <v>2050</v>
      </c>
      <c r="AN243" s="277" t="n">
        <v>2050</v>
      </c>
      <c r="AO243" s="277" t="n">
        <v>2050</v>
      </c>
      <c r="AP243" s="277" t="n">
        <v>2050</v>
      </c>
      <c r="AQ243" s="277" t="n">
        <v>2050</v>
      </c>
      <c r="AR243" s="277" t="n">
        <v>2050</v>
      </c>
      <c r="AS243" s="277" t="n">
        <v>2050</v>
      </c>
      <c r="AT243" s="277" t="n">
        <v>2050</v>
      </c>
      <c r="AU243" s="277" t="n">
        <v>2050</v>
      </c>
      <c r="AV243" s="277" t="n">
        <v>2050</v>
      </c>
      <c r="AW243" s="277" t="n">
        <v>2050</v>
      </c>
      <c r="AX243" s="277" t="n">
        <v>2050</v>
      </c>
      <c r="AY243" s="277" t="n">
        <v>2050</v>
      </c>
      <c r="AZ243" s="277" t="n">
        <v>2050</v>
      </c>
    </row>
    <row r="244" customFormat="false" ht="15" hidden="false" customHeight="false" outlineLevel="0" collapsed="false">
      <c r="A244" s="275" t="s">
        <v>378</v>
      </c>
      <c r="B244" s="275"/>
      <c r="C244" s="278" t="n">
        <v>2050</v>
      </c>
      <c r="D244" s="278" t="n">
        <v>2050</v>
      </c>
      <c r="E244" s="278" t="n">
        <v>2050</v>
      </c>
      <c r="F244" s="278" t="n">
        <v>2050</v>
      </c>
      <c r="G244" s="278" t="n">
        <v>2050</v>
      </c>
      <c r="H244" s="278" t="n">
        <v>2050</v>
      </c>
      <c r="I244" s="278" t="n">
        <v>2050</v>
      </c>
      <c r="J244" s="278" t="n">
        <v>2050</v>
      </c>
      <c r="K244" s="278" t="n">
        <v>2050</v>
      </c>
      <c r="L244" s="278" t="n">
        <v>2050</v>
      </c>
      <c r="M244" s="278" t="n">
        <v>2050</v>
      </c>
      <c r="N244" s="278" t="n">
        <v>2050</v>
      </c>
      <c r="O244" s="278" t="n">
        <v>2050</v>
      </c>
      <c r="P244" s="278" t="n">
        <v>2050</v>
      </c>
      <c r="Q244" s="279" t="n">
        <v>2050</v>
      </c>
      <c r="R244" s="279" t="n">
        <v>2050</v>
      </c>
      <c r="S244" s="279" t="n">
        <v>2050</v>
      </c>
      <c r="T244" s="279" t="n">
        <v>2050</v>
      </c>
      <c r="U244" s="279" t="n">
        <v>2050</v>
      </c>
      <c r="V244" s="279" t="n">
        <v>2050</v>
      </c>
      <c r="W244" s="279" t="n">
        <v>2050</v>
      </c>
      <c r="X244" s="279" t="n">
        <v>2050</v>
      </c>
      <c r="Y244" s="279" t="n">
        <v>2050</v>
      </c>
      <c r="Z244" s="279" t="n">
        <v>2050</v>
      </c>
      <c r="AA244" s="279" t="n">
        <v>2050</v>
      </c>
      <c r="AB244" s="279" t="n">
        <v>2050</v>
      </c>
      <c r="AC244" s="279" t="n">
        <v>2050</v>
      </c>
      <c r="AD244" s="279" t="n">
        <v>2050</v>
      </c>
      <c r="AE244" s="279" t="n">
        <v>2050</v>
      </c>
      <c r="AF244" s="279" t="n">
        <v>2050</v>
      </c>
      <c r="AG244" s="279" t="n">
        <v>2050</v>
      </c>
      <c r="AH244" s="279" t="n">
        <v>2050</v>
      </c>
      <c r="AI244" s="279" t="n">
        <v>2050</v>
      </c>
      <c r="AJ244" s="279" t="n">
        <v>2050</v>
      </c>
      <c r="AK244" s="279" t="n">
        <v>2050</v>
      </c>
      <c r="AL244" s="279" t="n">
        <v>2050</v>
      </c>
      <c r="AM244" s="279" t="n">
        <v>2050</v>
      </c>
      <c r="AN244" s="279" t="n">
        <v>2050</v>
      </c>
      <c r="AO244" s="279" t="n">
        <v>2050</v>
      </c>
      <c r="AP244" s="279" t="n">
        <v>2050</v>
      </c>
      <c r="AQ244" s="279" t="n">
        <v>2050</v>
      </c>
      <c r="AR244" s="279" t="n">
        <v>2050</v>
      </c>
      <c r="AS244" s="279" t="n">
        <v>2050</v>
      </c>
      <c r="AT244" s="279" t="n">
        <v>2050</v>
      </c>
      <c r="AU244" s="279" t="n">
        <v>2050</v>
      </c>
      <c r="AV244" s="279" t="n">
        <v>2050</v>
      </c>
      <c r="AW244" s="279" t="n">
        <v>2050</v>
      </c>
      <c r="AX244" s="279" t="n">
        <v>2050</v>
      </c>
      <c r="AY244" s="279" t="n">
        <v>2050</v>
      </c>
      <c r="AZ244" s="279" t="n">
        <v>2050</v>
      </c>
    </row>
    <row r="246" customFormat="false" ht="23.25" hidden="false" customHeight="true" outlineLevel="0" collapsed="false">
      <c r="A246" s="200" t="s">
        <v>386</v>
      </c>
      <c r="B246" s="200"/>
      <c r="C246" s="200"/>
    </row>
    <row r="247" customFormat="false" ht="15.75" hidden="false" customHeight="true" outlineLevel="0" collapsed="false">
      <c r="A247" s="245" t="s">
        <v>387</v>
      </c>
      <c r="B247" s="280" t="s">
        <v>388</v>
      </c>
      <c r="C247" s="281" t="n">
        <v>1</v>
      </c>
    </row>
    <row r="248" customFormat="false" ht="14.25" hidden="false" customHeight="true" outlineLevel="0" collapsed="false">
      <c r="A248" s="245"/>
      <c r="B248" s="280" t="s">
        <v>389</v>
      </c>
      <c r="C248" s="281"/>
    </row>
    <row r="249" customFormat="false" ht="15" hidden="false" customHeight="false" outlineLevel="0" collapsed="false">
      <c r="A249" s="208" t="s">
        <v>648</v>
      </c>
      <c r="B249" s="280" t="s">
        <v>36</v>
      </c>
      <c r="C249" s="204" t="n">
        <v>2020</v>
      </c>
    </row>
    <row r="250" customFormat="false" ht="15" hidden="false" customHeight="false" outlineLevel="0" collapsed="false">
      <c r="A250" s="282" t="s">
        <v>390</v>
      </c>
      <c r="B250" s="283" t="s">
        <v>36</v>
      </c>
      <c r="C250" s="284" t="n">
        <v>2050</v>
      </c>
    </row>
    <row r="251" customFormat="false" ht="14.25" hidden="false" customHeight="true" outlineLevel="0" collapsed="false">
      <c r="A251" s="200" t="s">
        <v>394</v>
      </c>
      <c r="B251" s="200"/>
      <c r="C251" s="200"/>
      <c r="D251" s="200"/>
      <c r="E251" s="200"/>
      <c r="F251" s="200"/>
      <c r="G251" s="200"/>
      <c r="H251" s="200"/>
      <c r="I251" s="200"/>
      <c r="J251" s="200"/>
      <c r="K251" s="200"/>
      <c r="L251" s="200"/>
      <c r="M251" s="200"/>
      <c r="N251" s="200"/>
      <c r="O251" s="200"/>
      <c r="P251" s="200"/>
      <c r="Q251" s="200"/>
    </row>
    <row r="252" customFormat="false" ht="15" hidden="false" customHeight="false" outlineLevel="0" collapsed="false">
      <c r="A252" s="285" t="s">
        <v>649</v>
      </c>
      <c r="B252" s="285"/>
      <c r="C252" s="273" t="s">
        <v>580</v>
      </c>
      <c r="D252" s="273" t="s">
        <v>597</v>
      </c>
      <c r="E252" s="273" t="s">
        <v>598</v>
      </c>
      <c r="F252" s="273" t="s">
        <v>599</v>
      </c>
      <c r="G252" s="273" t="s">
        <v>600</v>
      </c>
      <c r="H252" s="273" t="s">
        <v>601</v>
      </c>
      <c r="I252" s="273" t="s">
        <v>602</v>
      </c>
      <c r="J252" s="273" t="s">
        <v>603</v>
      </c>
      <c r="K252" s="273" t="s">
        <v>354</v>
      </c>
      <c r="L252" s="273" t="s">
        <v>369</v>
      </c>
      <c r="M252" s="273" t="s">
        <v>604</v>
      </c>
      <c r="N252" s="273" t="s">
        <v>605</v>
      </c>
      <c r="O252" s="273" t="s">
        <v>606</v>
      </c>
      <c r="P252" s="273" t="s">
        <v>607</v>
      </c>
      <c r="Q252" s="274" t="s">
        <v>608</v>
      </c>
      <c r="R252" s="274" t="s">
        <v>609</v>
      </c>
      <c r="S252" s="274" t="s">
        <v>610</v>
      </c>
      <c r="T252" s="274" t="s">
        <v>611</v>
      </c>
      <c r="U252" s="274" t="s">
        <v>612</v>
      </c>
      <c r="V252" s="274" t="s">
        <v>613</v>
      </c>
      <c r="W252" s="274" t="s">
        <v>614</v>
      </c>
      <c r="X252" s="274" t="s">
        <v>615</v>
      </c>
      <c r="Y252" s="274" t="s">
        <v>616</v>
      </c>
      <c r="Z252" s="274" t="s">
        <v>617</v>
      </c>
      <c r="AA252" s="274" t="s">
        <v>618</v>
      </c>
      <c r="AB252" s="274" t="s">
        <v>619</v>
      </c>
      <c r="AC252" s="274" t="s">
        <v>620</v>
      </c>
      <c r="AD252" s="274" t="s">
        <v>621</v>
      </c>
      <c r="AE252" s="1" t="s">
        <v>622</v>
      </c>
      <c r="AF252" s="1" t="s">
        <v>623</v>
      </c>
      <c r="AG252" s="1" t="s">
        <v>624</v>
      </c>
      <c r="AH252" s="1" t="s">
        <v>625</v>
      </c>
      <c r="AI252" s="1" t="s">
        <v>626</v>
      </c>
      <c r="AJ252" s="1" t="s">
        <v>627</v>
      </c>
      <c r="AK252" s="1" t="s">
        <v>628</v>
      </c>
      <c r="AL252" s="1" t="s">
        <v>629</v>
      </c>
      <c r="AM252" s="1" t="s">
        <v>630</v>
      </c>
      <c r="AN252" s="1" t="s">
        <v>631</v>
      </c>
      <c r="AO252" s="1" t="s">
        <v>632</v>
      </c>
      <c r="AP252" s="1" t="s">
        <v>633</v>
      </c>
      <c r="AQ252" s="1" t="s">
        <v>634</v>
      </c>
      <c r="AR252" s="1" t="s">
        <v>635</v>
      </c>
      <c r="AS252" s="1" t="s">
        <v>636</v>
      </c>
      <c r="AT252" s="1" t="s">
        <v>637</v>
      </c>
      <c r="AU252" s="1" t="s">
        <v>638</v>
      </c>
      <c r="AV252" s="1" t="s">
        <v>639</v>
      </c>
      <c r="AW252" s="1" t="s">
        <v>640</v>
      </c>
      <c r="AX252" s="1" t="s">
        <v>641</v>
      </c>
      <c r="AY252" s="1" t="s">
        <v>642</v>
      </c>
      <c r="AZ252" s="1" t="s">
        <v>643</v>
      </c>
    </row>
    <row r="253" customFormat="false" ht="16.4" hidden="false" customHeight="false" outlineLevel="0" collapsed="false">
      <c r="A253" s="286" t="s">
        <v>374</v>
      </c>
      <c r="B253" s="286"/>
      <c r="C253" s="287" t="n">
        <v>6.63886470341898E-007</v>
      </c>
      <c r="D253" s="287" t="n">
        <v>3.94150567716759E-007</v>
      </c>
      <c r="E253" s="287" t="n">
        <v>2.60568742418199E-007</v>
      </c>
      <c r="F253" s="287" t="n">
        <v>6.18039564557812E-007</v>
      </c>
      <c r="G253" s="287" t="n">
        <v>9.7945182522388E-012</v>
      </c>
      <c r="H253" s="287" t="n">
        <v>7.30787418870611E-007</v>
      </c>
      <c r="I253" s="287" t="n">
        <v>3.79996708414692E-007</v>
      </c>
      <c r="J253" s="287" t="n">
        <v>5.57245049378412E-008</v>
      </c>
      <c r="K253" s="287" t="n">
        <v>3.61288267486793E-008</v>
      </c>
      <c r="L253" s="287" t="n">
        <v>2.5952047310106E-007</v>
      </c>
      <c r="M253" s="287" t="n">
        <v>8.27091816090622E-007</v>
      </c>
      <c r="N253" s="287" t="n">
        <v>5.65420601412154E-007</v>
      </c>
      <c r="O253" s="287" t="n">
        <v>7.21581299965534E-008</v>
      </c>
      <c r="P253" s="287" t="n">
        <v>1.15467604006966E-007</v>
      </c>
      <c r="Q253" s="287" t="n">
        <v>5.86077156941521E-007</v>
      </c>
      <c r="R253" s="287" t="n">
        <v>1.79320763389123E-008</v>
      </c>
      <c r="S253" s="287" t="n">
        <v>6.43633772333513E-008</v>
      </c>
      <c r="T253" s="287" t="n">
        <v>2.23024552956448E-007</v>
      </c>
      <c r="U253" s="287" t="n">
        <v>6.40515485778184E-008</v>
      </c>
      <c r="V253" s="287" t="n">
        <v>1.99496814280996E-007</v>
      </c>
      <c r="W253" s="287" t="n">
        <v>2.16510736064606E-007</v>
      </c>
      <c r="X253" s="287" t="n">
        <v>2.30452333108599E-009</v>
      </c>
      <c r="Y253" s="287" t="n">
        <v>1.70445443975063E-007</v>
      </c>
      <c r="Z253" s="287" t="n">
        <v>2.14575741626411E-007</v>
      </c>
      <c r="AA253" s="287" t="n">
        <v>1.05813934184632E-007</v>
      </c>
      <c r="AB253" s="287" t="n">
        <v>1.43702630489252E-007</v>
      </c>
      <c r="AC253" s="287" t="n">
        <v>7.13526139338255E-007</v>
      </c>
      <c r="AD253" s="287" t="n">
        <v>5.78349221314126E-008</v>
      </c>
      <c r="AE253" s="287" t="n">
        <v>4.55283697897388E-007</v>
      </c>
      <c r="AF253" s="287" t="n">
        <v>1.4631072238219E-012</v>
      </c>
      <c r="AG253" s="287" t="n">
        <v>8.90634162582962E-007</v>
      </c>
      <c r="AH253" s="287" t="n">
        <v>9.95236494024349E-008</v>
      </c>
      <c r="AI253" s="287" t="n">
        <v>4.39854052739937E-007</v>
      </c>
      <c r="AJ253" s="287" t="n">
        <v>1.54705102206599E-006</v>
      </c>
      <c r="AK253" s="287" t="n">
        <v>1.67290094289979E-007</v>
      </c>
      <c r="AL253" s="287" t="n">
        <v>4.80047702366887E-008</v>
      </c>
      <c r="AM253" s="287" t="n">
        <v>2.43605175777352E-007</v>
      </c>
      <c r="AN253" s="287" t="n">
        <v>2.14930417487574E-007</v>
      </c>
      <c r="AO253" s="287" t="n">
        <v>5.2163583308111E-007</v>
      </c>
      <c r="AP253" s="287" t="n">
        <v>4.57953895527142E-008</v>
      </c>
      <c r="AQ253" s="287" t="n">
        <v>2.21076614024649E-007</v>
      </c>
      <c r="AR253" s="287" t="n">
        <v>7.17335252429736E-007</v>
      </c>
      <c r="AS253" s="287" t="n">
        <v>2.29855691026717E-007</v>
      </c>
      <c r="AT253" s="287" t="n">
        <v>3.59353945637237E-007</v>
      </c>
      <c r="AU253" s="287" t="n">
        <v>5.55277486818566E-008</v>
      </c>
      <c r="AV253" s="287" t="n">
        <v>2.76146559048761E-007</v>
      </c>
      <c r="AW253" s="287" t="n">
        <v>1.2478451666421E-007</v>
      </c>
      <c r="AX253" s="287" t="n">
        <v>7.90194845804216E-007</v>
      </c>
      <c r="AY253" s="287" t="n">
        <v>1.76720754271825E-007</v>
      </c>
      <c r="AZ253" s="287" t="n">
        <v>2.83769321539764E-007</v>
      </c>
    </row>
    <row r="254" customFormat="false" ht="16.4" hidden="false" customHeight="false" outlineLevel="0" collapsed="false">
      <c r="A254" s="286" t="s">
        <v>375</v>
      </c>
      <c r="B254" s="286"/>
      <c r="C254" s="287" t="n">
        <v>2.96516881270739E-007</v>
      </c>
      <c r="D254" s="287" t="n">
        <v>8.10772503054704E-008</v>
      </c>
      <c r="E254" s="287" t="n">
        <v>7.89829863900569E-008</v>
      </c>
      <c r="F254" s="287" t="n">
        <v>6.20388803050883E-008</v>
      </c>
      <c r="G254" s="287" t="n">
        <v>0</v>
      </c>
      <c r="H254" s="287" t="n">
        <v>4.7908817149566E-007</v>
      </c>
      <c r="I254" s="287" t="n">
        <v>3.57502383554569E-007</v>
      </c>
      <c r="J254" s="287" t="n">
        <v>1.06554192034763E-008</v>
      </c>
      <c r="K254" s="287" t="n">
        <v>7.99584554772683E-010</v>
      </c>
      <c r="L254" s="287" t="n">
        <v>8.52185138273226E-008</v>
      </c>
      <c r="M254" s="287" t="n">
        <v>2.14852762100774E-007</v>
      </c>
      <c r="N254" s="287" t="n">
        <v>1.10895766402122E-007</v>
      </c>
      <c r="O254" s="287" t="n">
        <v>1.39506978647443E-008</v>
      </c>
      <c r="P254" s="287" t="n">
        <v>1.51103032914926E-010</v>
      </c>
      <c r="Q254" s="287" t="n">
        <v>1.10118569158592E-007</v>
      </c>
      <c r="R254" s="287" t="n">
        <v>1.80174543212224E-008</v>
      </c>
      <c r="S254" s="287" t="n">
        <v>2.71629176508381E-008</v>
      </c>
      <c r="T254" s="287" t="n">
        <v>3.77721969217409E-008</v>
      </c>
      <c r="U254" s="287" t="n">
        <v>1.76200452781978E-008</v>
      </c>
      <c r="V254" s="287" t="n">
        <v>2.19715555458601E-011</v>
      </c>
      <c r="W254" s="287" t="n">
        <v>1.58704076568663E-008</v>
      </c>
      <c r="X254" s="287" t="n">
        <v>3.74917296314513E-011</v>
      </c>
      <c r="Y254" s="287" t="n">
        <v>1.34122216941754E-008</v>
      </c>
      <c r="Z254" s="287" t="n">
        <v>4.03874291054144E-008</v>
      </c>
      <c r="AA254" s="287" t="n">
        <v>8.53530814195144E-009</v>
      </c>
      <c r="AB254" s="287" t="n">
        <v>2.66228149798063E-008</v>
      </c>
      <c r="AC254" s="287" t="n">
        <v>4.70114190176689E-008</v>
      </c>
      <c r="AD254" s="287" t="n">
        <v>7.65154022401153E-009</v>
      </c>
      <c r="AE254" s="287" t="n">
        <v>1.32331150029219E-007</v>
      </c>
      <c r="AF254" s="287" t="n">
        <v>6.39098839548138E-013</v>
      </c>
      <c r="AG254" s="287" t="n">
        <v>5.12692740849996E-008</v>
      </c>
      <c r="AH254" s="287" t="n">
        <v>1.54183260641453E-008</v>
      </c>
      <c r="AI254" s="287" t="n">
        <v>5.08338935291531E-008</v>
      </c>
      <c r="AJ254" s="287" t="n">
        <v>4.53503147387902E-007</v>
      </c>
      <c r="AK254" s="287" t="n">
        <v>2.39586561887609E-008</v>
      </c>
      <c r="AL254" s="287" t="n">
        <v>3.50964702072094E-010</v>
      </c>
      <c r="AM254" s="287" t="n">
        <v>5.11551738455244E-008</v>
      </c>
      <c r="AN254" s="287" t="n">
        <v>5.09548143847647E-008</v>
      </c>
      <c r="AO254" s="287" t="n">
        <v>6.64316566547081E-008</v>
      </c>
      <c r="AP254" s="287" t="n">
        <v>1.18680324465321E-008</v>
      </c>
      <c r="AQ254" s="287" t="n">
        <v>2.72388475655604E-008</v>
      </c>
      <c r="AR254" s="287" t="n">
        <v>1.19222167639975E-007</v>
      </c>
      <c r="AS254" s="287" t="n">
        <v>4.49207481195052E-008</v>
      </c>
      <c r="AT254" s="287" t="n">
        <v>5.30722949091413E-008</v>
      </c>
      <c r="AU254" s="287" t="n">
        <v>9.59470293662527E-009</v>
      </c>
      <c r="AV254" s="287" t="n">
        <v>3.42310884882536E-008</v>
      </c>
      <c r="AW254" s="287" t="n">
        <v>2.95967932048111E-008</v>
      </c>
      <c r="AX254" s="287" t="n">
        <v>2.02052307354887E-007</v>
      </c>
      <c r="AY254" s="287" t="n">
        <v>3.54878329047639E-008</v>
      </c>
      <c r="AZ254" s="287" t="n">
        <v>9.76491392770843E-008</v>
      </c>
    </row>
    <row r="255" customFormat="false" ht="16.4" hidden="false" customHeight="false" outlineLevel="0" collapsed="false">
      <c r="A255" s="286" t="s">
        <v>376</v>
      </c>
      <c r="B255" s="286"/>
      <c r="C255" s="287" t="n">
        <v>1.03985060477212E-007</v>
      </c>
      <c r="D255" s="287" t="n">
        <v>1.05816095143156E-008</v>
      </c>
      <c r="E255" s="287" t="n">
        <v>8.62963840675025E-009</v>
      </c>
      <c r="F255" s="287" t="n">
        <v>6.39515827658307E-007</v>
      </c>
      <c r="G255" s="287" t="n">
        <v>2.59538869563096E-006</v>
      </c>
      <c r="H255" s="287" t="n">
        <v>1.45063395572007E-007</v>
      </c>
      <c r="I255" s="287" t="n">
        <v>7.71028297251538E-007</v>
      </c>
      <c r="J255" s="287" t="n">
        <v>4.84240843028939E-009</v>
      </c>
      <c r="K255" s="287" t="n">
        <v>3.11908643205391E-008</v>
      </c>
      <c r="L255" s="287" t="n">
        <v>7.14265826479656E-009</v>
      </c>
      <c r="M255" s="287" t="n">
        <v>3.56275094935266E-009</v>
      </c>
      <c r="N255" s="287" t="n">
        <v>5.24606565118125E-008</v>
      </c>
      <c r="O255" s="287" t="n">
        <v>4.64960103230333E-009</v>
      </c>
      <c r="P255" s="287" t="n">
        <v>6.18316953439596E-007</v>
      </c>
      <c r="Q255" s="287" t="n">
        <v>2.62773167010878E-008</v>
      </c>
      <c r="R255" s="287" t="n">
        <v>9.57826879928728E-008</v>
      </c>
      <c r="S255" s="287" t="n">
        <v>2.65813949416685E-009</v>
      </c>
      <c r="T255" s="287" t="n">
        <v>6.98132192781577E-009</v>
      </c>
      <c r="U255" s="287" t="n">
        <v>7.59936250316163E-009</v>
      </c>
      <c r="V255" s="287" t="n">
        <v>0</v>
      </c>
      <c r="W255" s="287" t="n">
        <v>7.51070502157832E-009</v>
      </c>
      <c r="X255" s="287" t="n">
        <v>0</v>
      </c>
      <c r="Y255" s="287" t="n">
        <v>4.05931896677906E-009</v>
      </c>
      <c r="Z255" s="287" t="n">
        <v>0</v>
      </c>
      <c r="AA255" s="287" t="n">
        <v>0</v>
      </c>
      <c r="AB255" s="287" t="n">
        <v>0</v>
      </c>
      <c r="AC255" s="287" t="n">
        <v>0</v>
      </c>
      <c r="AD255" s="287" t="n">
        <v>0</v>
      </c>
      <c r="AE255" s="287" t="n">
        <v>0</v>
      </c>
      <c r="AF255" s="287" t="n">
        <v>1.86869684099419E-006</v>
      </c>
      <c r="AG255" s="287" t="n">
        <v>1.61004890655885E-008</v>
      </c>
      <c r="AH255" s="287" t="n">
        <v>1.02044014948275E-008</v>
      </c>
      <c r="AI255" s="287" t="n">
        <v>2.24791935659965E-008</v>
      </c>
      <c r="AJ255" s="287" t="n">
        <v>2.75313261448201E-008</v>
      </c>
      <c r="AK255" s="287" t="n">
        <v>7.35478089435239E-009</v>
      </c>
      <c r="AL255" s="287" t="n">
        <v>3.13860550502194E-009</v>
      </c>
      <c r="AM255" s="287" t="n">
        <v>1.42818807900209E-008</v>
      </c>
      <c r="AN255" s="287" t="n">
        <v>4.29677219161295E-009</v>
      </c>
      <c r="AO255" s="287" t="n">
        <v>9.58563143408979E-009</v>
      </c>
      <c r="AP255" s="287" t="n">
        <v>1.62907973119895E-008</v>
      </c>
      <c r="AQ255" s="287" t="n">
        <v>1.12366081406735E-008</v>
      </c>
      <c r="AR255" s="287" t="n">
        <v>3.0619441960548E-008</v>
      </c>
      <c r="AS255" s="287" t="n">
        <v>2.18427314304282E-008</v>
      </c>
      <c r="AT255" s="287" t="n">
        <v>2.11221032080138E-008</v>
      </c>
      <c r="AU255" s="287" t="n">
        <v>6.35867131517186E-009</v>
      </c>
      <c r="AV255" s="287" t="n">
        <v>7.51800346755243E-009</v>
      </c>
      <c r="AW255" s="287" t="n">
        <v>8.26424165067171E-009</v>
      </c>
      <c r="AX255" s="287" t="n">
        <v>1.32083817894127E-008</v>
      </c>
      <c r="AY255" s="287" t="n">
        <v>1.98862491171199E-008</v>
      </c>
      <c r="AZ255" s="287" t="n">
        <v>8.93467073806494E-009</v>
      </c>
    </row>
    <row r="256" customFormat="false" ht="16.4" hidden="false" customHeight="false" outlineLevel="0" collapsed="false">
      <c r="A256" s="286" t="s">
        <v>377</v>
      </c>
      <c r="B256" s="286"/>
      <c r="C256" s="287" t="n">
        <v>2.37805242084638E-007</v>
      </c>
      <c r="D256" s="287" t="n">
        <v>2.41590751071734E-008</v>
      </c>
      <c r="E256" s="287" t="n">
        <v>1.64535942486436E-007</v>
      </c>
      <c r="F256" s="287" t="n">
        <v>1.6366374270558E-007</v>
      </c>
      <c r="G256" s="287" t="n">
        <v>1.23252359463612E-013</v>
      </c>
      <c r="H256" s="287" t="n">
        <v>2.12205292907869E-007</v>
      </c>
      <c r="I256" s="287" t="n">
        <v>3.0042902981562E-007</v>
      </c>
      <c r="J256" s="287" t="n">
        <v>2.06433622855199E-009</v>
      </c>
      <c r="K256" s="287" t="n">
        <v>8.02757779372753E-009</v>
      </c>
      <c r="L256" s="287" t="n">
        <v>5.1665115339739E-008</v>
      </c>
      <c r="M256" s="287" t="n">
        <v>3.09001090236525E-008</v>
      </c>
      <c r="N256" s="287" t="n">
        <v>1.52742359319682E-007</v>
      </c>
      <c r="O256" s="287" t="n">
        <v>9.39539928774511E-009</v>
      </c>
      <c r="P256" s="287" t="n">
        <v>1.73427341625118E-010</v>
      </c>
      <c r="Q256" s="287" t="n">
        <v>2.03760195363012E-007</v>
      </c>
      <c r="R256" s="287" t="n">
        <v>4.45075967337456E-009</v>
      </c>
      <c r="S256" s="287" t="n">
        <v>1.44876128952679E-008</v>
      </c>
      <c r="T256" s="287" t="n">
        <v>3.62943782334155E-008</v>
      </c>
      <c r="U256" s="287" t="n">
        <v>1.83385587676844E-008</v>
      </c>
      <c r="V256" s="287" t="n">
        <v>0</v>
      </c>
      <c r="W256" s="287" t="n">
        <v>4.24162858292576E-008</v>
      </c>
      <c r="X256" s="287" t="n">
        <v>0</v>
      </c>
      <c r="Y256" s="287" t="n">
        <v>2.81370479987201E-008</v>
      </c>
      <c r="Z256" s="287" t="n">
        <v>0</v>
      </c>
      <c r="AA256" s="287" t="n">
        <v>0</v>
      </c>
      <c r="AB256" s="287" t="n">
        <v>0</v>
      </c>
      <c r="AC256" s="287" t="n">
        <v>0</v>
      </c>
      <c r="AD256" s="287" t="n">
        <v>0</v>
      </c>
      <c r="AE256" s="287" t="n">
        <v>0</v>
      </c>
      <c r="AF256" s="287" t="n">
        <v>4.998673491132E-011</v>
      </c>
      <c r="AG256" s="287" t="n">
        <v>2.53513941095283E-007</v>
      </c>
      <c r="AH256" s="287" t="n">
        <v>7.55867901348769E-009</v>
      </c>
      <c r="AI256" s="287" t="n">
        <v>2.78354650919815E-008</v>
      </c>
      <c r="AJ256" s="287" t="n">
        <v>2.67083013381304E-007</v>
      </c>
      <c r="AK256" s="287" t="n">
        <v>4.15935189990369E-009</v>
      </c>
      <c r="AL256" s="287" t="n">
        <v>7.72133429019673E-007</v>
      </c>
      <c r="AM256" s="287" t="n">
        <v>1.58984479678419E-007</v>
      </c>
      <c r="AN256" s="287" t="n">
        <v>3.0208541449537E-009</v>
      </c>
      <c r="AO256" s="287" t="n">
        <v>7.62737548565083E-009</v>
      </c>
      <c r="AP256" s="287" t="n">
        <v>5.46632593848939E-009</v>
      </c>
      <c r="AQ256" s="287" t="n">
        <v>2.79167899693875E-008</v>
      </c>
      <c r="AR256" s="287" t="n">
        <v>2.83142259225388E-008</v>
      </c>
      <c r="AS256" s="287" t="n">
        <v>1.40315060224337E-008</v>
      </c>
      <c r="AT256" s="287" t="n">
        <v>4.08162195231356E-008</v>
      </c>
      <c r="AU256" s="287" t="n">
        <v>2.9850469705488E-008</v>
      </c>
      <c r="AV256" s="287" t="n">
        <v>8.10993964528122E-008</v>
      </c>
      <c r="AW256" s="287" t="n">
        <v>5.37079390876278E-009</v>
      </c>
      <c r="AX256" s="287" t="n">
        <v>9.51620164224819E-009</v>
      </c>
      <c r="AY256" s="287" t="n">
        <v>1.75384761655157E-008</v>
      </c>
      <c r="AZ256" s="287" t="n">
        <v>1.50128470573686E-008</v>
      </c>
    </row>
    <row r="257" customFormat="false" ht="16.4" hidden="false" customHeight="false" outlineLevel="0" collapsed="false">
      <c r="A257" s="288" t="s">
        <v>378</v>
      </c>
      <c r="B257" s="288"/>
      <c r="C257" s="287" t="n">
        <v>3.55254103935776E-007</v>
      </c>
      <c r="D257" s="287" t="n">
        <v>2.293184615359E-008</v>
      </c>
      <c r="E257" s="287" t="n">
        <v>6.11663711445528E-009</v>
      </c>
      <c r="F257" s="287" t="n">
        <v>1.72830341553575E-007</v>
      </c>
      <c r="G257" s="287" t="n">
        <v>4.23282798205905E-013</v>
      </c>
      <c r="H257" s="287" t="n">
        <v>1.02715463588318E-007</v>
      </c>
      <c r="I257" s="287" t="n">
        <v>2.54317389315155E-008</v>
      </c>
      <c r="J257" s="287" t="n">
        <v>1.44538316904563E-009</v>
      </c>
      <c r="K257" s="287" t="n">
        <v>8.27837885813566E-010</v>
      </c>
      <c r="L257" s="287" t="n">
        <v>7.32648755899637E-009</v>
      </c>
      <c r="M257" s="287" t="n">
        <v>1.32935668929863E-009</v>
      </c>
      <c r="N257" s="287" t="n">
        <v>6.48770648693752E-008</v>
      </c>
      <c r="O257" s="287" t="n">
        <v>2.19454217543183E-009</v>
      </c>
      <c r="P257" s="287" t="n">
        <v>1.59725642227265E-010</v>
      </c>
      <c r="Q257" s="287" t="n">
        <v>7.79524843134575E-008</v>
      </c>
      <c r="R257" s="287" t="n">
        <v>1.33218730349096E-007</v>
      </c>
      <c r="S257" s="287" t="n">
        <v>1.05842679959771E-008</v>
      </c>
      <c r="T257" s="287" t="n">
        <v>6.79219205852576E-009</v>
      </c>
      <c r="U257" s="287" t="n">
        <v>3.66888073402148E-009</v>
      </c>
      <c r="V257" s="287" t="n">
        <v>0</v>
      </c>
      <c r="W257" s="287" t="n">
        <v>4.06295820779553E-009</v>
      </c>
      <c r="X257" s="287" t="n">
        <v>0</v>
      </c>
      <c r="Y257" s="287" t="n">
        <v>1.74158675806592E-009</v>
      </c>
      <c r="Z257" s="287" t="n">
        <v>0</v>
      </c>
      <c r="AA257" s="287" t="n">
        <v>0</v>
      </c>
      <c r="AB257" s="287" t="n">
        <v>0</v>
      </c>
      <c r="AC257" s="287" t="n">
        <v>0</v>
      </c>
      <c r="AD257" s="287" t="n">
        <v>0</v>
      </c>
      <c r="AE257" s="287" t="n">
        <v>0</v>
      </c>
      <c r="AF257" s="287" t="n">
        <v>1.45230268881311E-013</v>
      </c>
      <c r="AG257" s="287" t="n">
        <v>1.7072629561898E-007</v>
      </c>
      <c r="AH257" s="287" t="n">
        <v>1.29452428734285E-008</v>
      </c>
      <c r="AI257" s="287" t="n">
        <v>1.52206927646019E-008</v>
      </c>
      <c r="AJ257" s="287" t="n">
        <v>1.74492038373036E-006</v>
      </c>
      <c r="AK257" s="287" t="n">
        <v>1.26760646242401E-009</v>
      </c>
      <c r="AL257" s="287" t="n">
        <v>3.50321801908544E-008</v>
      </c>
      <c r="AM257" s="287" t="n">
        <v>1.09165823370552E-008</v>
      </c>
      <c r="AN257" s="287" t="n">
        <v>7.03100193637215E-009</v>
      </c>
      <c r="AO257" s="287" t="n">
        <v>1.22885410104119E-008</v>
      </c>
      <c r="AP257" s="287" t="n">
        <v>2.93787471176384E-009</v>
      </c>
      <c r="AQ257" s="287" t="n">
        <v>1.3604627215381E-008</v>
      </c>
      <c r="AR257" s="287" t="n">
        <v>8.4049425998585E-009</v>
      </c>
      <c r="AS257" s="287" t="n">
        <v>7.25992206017063E-009</v>
      </c>
      <c r="AT257" s="287" t="n">
        <v>3.53340067381558E-008</v>
      </c>
      <c r="AU257" s="287" t="n">
        <v>3.52975990925663E-009</v>
      </c>
      <c r="AV257" s="287" t="n">
        <v>6.55218761879912E-009</v>
      </c>
      <c r="AW257" s="287" t="n">
        <v>3.41862512974805E-009</v>
      </c>
      <c r="AX257" s="287" t="n">
        <v>1.66424261223756E-008</v>
      </c>
      <c r="AY257" s="287" t="n">
        <v>9.60120680639634E-009</v>
      </c>
      <c r="AZ257" s="287" t="n">
        <v>4.02920443706696E-007</v>
      </c>
    </row>
    <row r="258" customFormat="false" ht="17.35" hidden="false" customHeight="false" outlineLevel="0" collapsed="false">
      <c r="A258" s="200" t="s">
        <v>397</v>
      </c>
      <c r="B258" s="200"/>
      <c r="C258" s="200"/>
    </row>
    <row r="259" customFormat="false" ht="31.3" hidden="false" customHeight="false" outlineLevel="0" collapsed="false">
      <c r="A259" s="289" t="s">
        <v>398</v>
      </c>
      <c r="B259" s="280" t="s">
        <v>36</v>
      </c>
      <c r="C259" s="204" t="n">
        <v>2020</v>
      </c>
    </row>
    <row r="260" customFormat="false" ht="31.3" hidden="false" customHeight="false" outlineLevel="0" collapsed="false">
      <c r="A260" s="272" t="s">
        <v>399</v>
      </c>
      <c r="B260" s="290" t="s">
        <v>327</v>
      </c>
      <c r="C260" s="244" t="n">
        <v>-0.3</v>
      </c>
    </row>
    <row r="262" customFormat="false" ht="14.25" hidden="false" customHeight="true" outlineLevel="0" collapsed="false">
      <c r="A262" s="200" t="s">
        <v>400</v>
      </c>
      <c r="B262" s="200"/>
      <c r="C262" s="200"/>
    </row>
    <row r="263" customFormat="false" ht="28.5" hidden="false" customHeight="true" outlineLevel="0" collapsed="false">
      <c r="A263" s="291" t="s">
        <v>401</v>
      </c>
      <c r="B263" s="280" t="s">
        <v>28</v>
      </c>
      <c r="C263" s="281" t="n">
        <v>1</v>
      </c>
    </row>
    <row r="264" customFormat="false" ht="14.25" hidden="false" customHeight="true" outlineLevel="0" collapsed="false">
      <c r="A264" s="292" t="s">
        <v>403</v>
      </c>
      <c r="B264" s="280" t="s">
        <v>404</v>
      </c>
      <c r="C264" s="293" t="n">
        <v>1</v>
      </c>
    </row>
    <row r="265" customFormat="false" ht="15" hidden="false" customHeight="false" outlineLevel="0" collapsed="false">
      <c r="A265" s="292"/>
      <c r="B265" s="280" t="s">
        <v>408</v>
      </c>
      <c r="C265" s="293"/>
    </row>
    <row r="266" customFormat="false" ht="15" hidden="false" customHeight="false" outlineLevel="0" collapsed="false">
      <c r="A266" s="292"/>
      <c r="B266" s="280" t="s">
        <v>409</v>
      </c>
      <c r="C266" s="293"/>
    </row>
    <row r="267" customFormat="false" ht="16.4" hidden="false" customHeight="false" outlineLevel="0" collapsed="false">
      <c r="A267" s="291" t="s">
        <v>650</v>
      </c>
      <c r="B267" s="280" t="s">
        <v>651</v>
      </c>
      <c r="C267" s="204" t="n">
        <v>0.1</v>
      </c>
    </row>
    <row r="268" customFormat="false" ht="15" hidden="false" customHeight="true" outlineLevel="0" collapsed="false">
      <c r="A268" s="292" t="s">
        <v>406</v>
      </c>
      <c r="B268" s="280" t="s">
        <v>404</v>
      </c>
      <c r="C268" s="293" t="n">
        <v>1</v>
      </c>
    </row>
    <row r="269" customFormat="false" ht="15" hidden="false" customHeight="false" outlineLevel="0" collapsed="false">
      <c r="A269" s="292"/>
      <c r="B269" s="280" t="s">
        <v>408</v>
      </c>
      <c r="C269" s="293"/>
    </row>
    <row r="270" customFormat="false" ht="15" hidden="false" customHeight="false" outlineLevel="0" collapsed="false">
      <c r="A270" s="292"/>
      <c r="B270" s="280" t="s">
        <v>409</v>
      </c>
      <c r="C270" s="293"/>
    </row>
    <row r="271" customFormat="false" ht="16.4" hidden="false" customHeight="false" outlineLevel="0" collapsed="false">
      <c r="A271" s="294" t="s">
        <v>413</v>
      </c>
      <c r="B271" s="290" t="s">
        <v>651</v>
      </c>
      <c r="C271" s="244" t="n">
        <v>0.1</v>
      </c>
    </row>
    <row r="274" customFormat="false" ht="24.45" hidden="false" customHeight="false" outlineLevel="0" collapsed="false">
      <c r="A274" s="199" t="s">
        <v>652</v>
      </c>
    </row>
    <row r="275" customFormat="false" ht="15.75" hidden="false" customHeight="true" outlineLevel="0" collapsed="false">
      <c r="A275" s="200" t="s">
        <v>429</v>
      </c>
      <c r="B275" s="200"/>
      <c r="C275" s="200"/>
      <c r="D275" s="200"/>
    </row>
    <row r="276" customFormat="false" ht="15.75" hidden="false" customHeight="true" outlineLevel="0" collapsed="false">
      <c r="A276" s="295" t="s">
        <v>430</v>
      </c>
      <c r="B276" s="295"/>
      <c r="C276" s="295"/>
      <c r="D276" s="295"/>
    </row>
    <row r="277" customFormat="false" ht="15" hidden="false" customHeight="true" outlineLevel="0" collapsed="false">
      <c r="A277" s="291" t="s">
        <v>431</v>
      </c>
      <c r="B277" s="291"/>
      <c r="C277" s="291"/>
      <c r="D277" s="296" t="n">
        <v>2</v>
      </c>
    </row>
    <row r="278" customFormat="false" ht="16.4" hidden="false" customHeight="false" outlineLevel="0" collapsed="false">
      <c r="A278" s="297" t="s">
        <v>432</v>
      </c>
      <c r="B278" s="298"/>
      <c r="C278" s="298"/>
      <c r="D278" s="299"/>
    </row>
    <row r="279" customFormat="false" ht="15" hidden="false" customHeight="false" outlineLevel="0" collapsed="false">
      <c r="A279" s="300" t="s">
        <v>433</v>
      </c>
      <c r="B279" s="301" t="n">
        <v>2050</v>
      </c>
      <c r="C279" s="302"/>
      <c r="D279" s="302"/>
      <c r="E279" s="302"/>
    </row>
    <row r="280" customFormat="false" ht="16.4" hidden="false" customHeight="false" outlineLevel="0" collapsed="false">
      <c r="A280" s="303" t="s">
        <v>435</v>
      </c>
      <c r="B280" s="304" t="n">
        <v>2020</v>
      </c>
      <c r="C280" s="203"/>
      <c r="D280" s="305" t="s">
        <v>437</v>
      </c>
      <c r="E280" s="306" t="s">
        <v>438</v>
      </c>
    </row>
    <row r="281" customFormat="false" ht="13.5" hidden="false" customHeight="true" outlineLevel="0" collapsed="false">
      <c r="A281" s="307" t="s">
        <v>439</v>
      </c>
      <c r="B281" s="308" t="s">
        <v>440</v>
      </c>
      <c r="C281" s="280" t="s">
        <v>653</v>
      </c>
      <c r="D281" s="259" t="n">
        <v>0.201666666666667</v>
      </c>
      <c r="E281" s="226" t="n">
        <v>0.605</v>
      </c>
    </row>
    <row r="282" customFormat="false" ht="15" hidden="false" customHeight="false" outlineLevel="0" collapsed="false">
      <c r="A282" s="307"/>
      <c r="B282" s="308" t="s">
        <v>443</v>
      </c>
      <c r="C282" s="280" t="s">
        <v>653</v>
      </c>
      <c r="D282" s="259" t="n">
        <v>0.05</v>
      </c>
      <c r="E282" s="226" t="n">
        <v>0.15</v>
      </c>
    </row>
    <row r="283" customFormat="false" ht="15" hidden="false" customHeight="false" outlineLevel="0" collapsed="false">
      <c r="A283" s="307"/>
      <c r="B283" s="308" t="s">
        <v>444</v>
      </c>
      <c r="C283" s="280" t="s">
        <v>653</v>
      </c>
      <c r="D283" s="259" t="n">
        <v>0.196666666666667</v>
      </c>
      <c r="E283" s="226" t="n">
        <v>0.59</v>
      </c>
    </row>
    <row r="284" customFormat="false" ht="15" hidden="false" customHeight="false" outlineLevel="0" collapsed="false">
      <c r="A284" s="307"/>
      <c r="B284" s="308" t="s">
        <v>445</v>
      </c>
      <c r="C284" s="280" t="s">
        <v>653</v>
      </c>
      <c r="D284" s="259" t="n">
        <v>0.163333333333333</v>
      </c>
      <c r="E284" s="226" t="n">
        <v>0.49</v>
      </c>
    </row>
    <row r="285" customFormat="false" ht="15" hidden="false" customHeight="false" outlineLevel="0" collapsed="false">
      <c r="A285" s="307"/>
      <c r="B285" s="308" t="s">
        <v>446</v>
      </c>
      <c r="C285" s="280" t="s">
        <v>653</v>
      </c>
      <c r="D285" s="259" t="n">
        <v>0.00166666666666667</v>
      </c>
      <c r="E285" s="226" t="n">
        <v>0.005</v>
      </c>
    </row>
    <row r="286" customFormat="false" ht="15" hidden="false" customHeight="false" outlineLevel="0" collapsed="false">
      <c r="A286" s="307"/>
      <c r="B286" s="308" t="s">
        <v>447</v>
      </c>
      <c r="C286" s="280" t="s">
        <v>653</v>
      </c>
      <c r="D286" s="259" t="n">
        <v>0.0633333333333333</v>
      </c>
      <c r="E286" s="226" t="n">
        <v>0.19</v>
      </c>
    </row>
    <row r="287" customFormat="false" ht="15" hidden="false" customHeight="false" outlineLevel="0" collapsed="false">
      <c r="A287" s="307"/>
      <c r="B287" s="308" t="s">
        <v>448</v>
      </c>
      <c r="C287" s="280" t="s">
        <v>653</v>
      </c>
      <c r="D287" s="259" t="n">
        <v>0.253333333333333</v>
      </c>
      <c r="E287" s="226" t="n">
        <v>0.76</v>
      </c>
    </row>
    <row r="288" customFormat="false" ht="15" hidden="false" customHeight="false" outlineLevel="0" collapsed="false">
      <c r="A288" s="307"/>
      <c r="B288" s="308" t="s">
        <v>449</v>
      </c>
      <c r="C288" s="280" t="s">
        <v>653</v>
      </c>
      <c r="D288" s="259" t="n">
        <v>0.00166666666666667</v>
      </c>
      <c r="E288" s="226" t="n">
        <v>0.005</v>
      </c>
    </row>
    <row r="289" customFormat="false" ht="15" hidden="false" customHeight="false" outlineLevel="0" collapsed="false">
      <c r="A289" s="307"/>
      <c r="B289" s="308" t="s">
        <v>450</v>
      </c>
      <c r="C289" s="280" t="s">
        <v>653</v>
      </c>
      <c r="D289" s="259" t="n">
        <v>0.13</v>
      </c>
      <c r="E289" s="226" t="n">
        <v>0.39</v>
      </c>
    </row>
    <row r="290" customFormat="false" ht="15" hidden="false" customHeight="false" outlineLevel="0" collapsed="false">
      <c r="A290" s="307"/>
      <c r="B290" s="308" t="s">
        <v>451</v>
      </c>
      <c r="C290" s="280" t="s">
        <v>653</v>
      </c>
      <c r="D290" s="259" t="n">
        <v>0.176666666666667</v>
      </c>
      <c r="E290" s="226" t="n">
        <v>0.53</v>
      </c>
    </row>
    <row r="291" customFormat="false" ht="15" hidden="false" customHeight="false" outlineLevel="0" collapsed="false">
      <c r="A291" s="307"/>
      <c r="B291" s="308" t="s">
        <v>452</v>
      </c>
      <c r="C291" s="280" t="s">
        <v>653</v>
      </c>
      <c r="D291" s="259" t="n">
        <v>0.116666666666667</v>
      </c>
      <c r="E291" s="226" t="n">
        <v>0.35</v>
      </c>
    </row>
    <row r="292" customFormat="false" ht="15" hidden="false" customHeight="false" outlineLevel="0" collapsed="false">
      <c r="A292" s="307"/>
      <c r="B292" s="308" t="s">
        <v>453</v>
      </c>
      <c r="C292" s="280" t="s">
        <v>653</v>
      </c>
      <c r="D292" s="259" t="n">
        <v>0.188333333333333</v>
      </c>
      <c r="E292" s="226" t="n">
        <v>0.565</v>
      </c>
    </row>
    <row r="293" customFormat="false" ht="15" hidden="false" customHeight="false" outlineLevel="0" collapsed="false">
      <c r="A293" s="307"/>
      <c r="B293" s="308" t="s">
        <v>454</v>
      </c>
      <c r="C293" s="280" t="s">
        <v>653</v>
      </c>
      <c r="D293" s="259" t="n">
        <v>0.245</v>
      </c>
      <c r="E293" s="226" t="n">
        <v>0.735</v>
      </c>
    </row>
    <row r="294" customFormat="false" ht="15" hidden="false" customHeight="false" outlineLevel="0" collapsed="false">
      <c r="A294" s="307"/>
      <c r="B294" s="308" t="s">
        <v>455</v>
      </c>
      <c r="C294" s="280" t="s">
        <v>653</v>
      </c>
      <c r="D294" s="259" t="n">
        <v>0.191666666666667</v>
      </c>
      <c r="E294" s="226" t="n">
        <v>0.575</v>
      </c>
    </row>
    <row r="295" customFormat="false" ht="15" hidden="false" customHeight="false" outlineLevel="0" collapsed="false">
      <c r="A295" s="307"/>
      <c r="B295" s="308" t="s">
        <v>456</v>
      </c>
      <c r="C295" s="280" t="s">
        <v>653</v>
      </c>
      <c r="D295" s="259" t="n">
        <v>0.101666666666667</v>
      </c>
      <c r="E295" s="226" t="n">
        <v>0.305</v>
      </c>
    </row>
    <row r="296" customFormat="false" ht="15" hidden="false" customHeight="false" outlineLevel="0" collapsed="false">
      <c r="A296" s="307"/>
      <c r="B296" s="308" t="s">
        <v>457</v>
      </c>
      <c r="C296" s="280" t="s">
        <v>653</v>
      </c>
      <c r="D296" s="259" t="n">
        <v>0.00166666666666667</v>
      </c>
      <c r="E296" s="226" t="n">
        <v>0.005</v>
      </c>
    </row>
    <row r="297" customFormat="false" ht="15" hidden="false" customHeight="false" outlineLevel="0" collapsed="false">
      <c r="A297" s="307"/>
      <c r="B297" s="308" t="s">
        <v>458</v>
      </c>
      <c r="C297" s="280" t="s">
        <v>653</v>
      </c>
      <c r="D297" s="259" t="n">
        <v>0.303333333333333</v>
      </c>
      <c r="E297" s="226" t="n">
        <v>0.91</v>
      </c>
    </row>
    <row r="298" customFormat="false" ht="15" hidden="false" customHeight="false" outlineLevel="0" collapsed="false">
      <c r="A298" s="307"/>
      <c r="B298" s="308" t="s">
        <v>459</v>
      </c>
      <c r="C298" s="280" t="s">
        <v>653</v>
      </c>
      <c r="D298" s="259" t="n">
        <v>0.00166666666666667</v>
      </c>
      <c r="E298" s="226" t="n">
        <v>0.005</v>
      </c>
    </row>
    <row r="299" customFormat="false" ht="15" hidden="false" customHeight="false" outlineLevel="0" collapsed="false">
      <c r="A299" s="307"/>
      <c r="B299" s="309" t="s">
        <v>460</v>
      </c>
      <c r="C299" s="290" t="s">
        <v>653</v>
      </c>
      <c r="D299" s="206" t="n">
        <v>0.183333333333333</v>
      </c>
      <c r="E299" s="207" t="n">
        <v>0.55</v>
      </c>
    </row>
    <row r="300" customFormat="false" ht="15" hidden="false" customHeight="true" outlineLevel="0" collapsed="false">
      <c r="A300" s="310" t="s">
        <v>461</v>
      </c>
      <c r="B300" s="310"/>
      <c r="C300" s="310"/>
    </row>
    <row r="301" customFormat="false" ht="31.3" hidden="false" customHeight="false" outlineLevel="0" collapsed="false">
      <c r="A301" s="291" t="s">
        <v>654</v>
      </c>
      <c r="B301" s="280" t="s">
        <v>655</v>
      </c>
      <c r="C301" s="311" t="n">
        <v>0.014</v>
      </c>
    </row>
    <row r="302" customFormat="false" ht="16.4" hidden="false" customHeight="false" outlineLevel="0" collapsed="false">
      <c r="A302" s="291" t="s">
        <v>656</v>
      </c>
      <c r="B302" s="280" t="s">
        <v>423</v>
      </c>
      <c r="C302" s="204" t="n">
        <v>2020</v>
      </c>
    </row>
    <row r="303" customFormat="false" ht="16.4" hidden="false" customHeight="false" outlineLevel="0" collapsed="false">
      <c r="A303" s="291" t="s">
        <v>657</v>
      </c>
      <c r="B303" s="280" t="s">
        <v>655</v>
      </c>
      <c r="C303" s="311" t="n">
        <v>0.014</v>
      </c>
    </row>
    <row r="304" customFormat="false" ht="16.4" hidden="false" customHeight="false" outlineLevel="0" collapsed="false">
      <c r="A304" s="294" t="s">
        <v>658</v>
      </c>
      <c r="B304" s="290" t="s">
        <v>423</v>
      </c>
      <c r="C304" s="244" t="n">
        <v>2020</v>
      </c>
    </row>
    <row r="306" customFormat="false" ht="17.35" hidden="false" customHeight="false" outlineLevel="0" collapsed="false">
      <c r="A306" s="200" t="s">
        <v>232</v>
      </c>
      <c r="B306" s="200"/>
      <c r="C306" s="200"/>
    </row>
    <row r="307" customFormat="false" ht="15" hidden="false" customHeight="false" outlineLevel="0" collapsed="false">
      <c r="A307" s="312" t="s">
        <v>233</v>
      </c>
      <c r="B307" s="312"/>
      <c r="C307" s="312"/>
      <c r="H307" s="54"/>
      <c r="J307" s="57"/>
    </row>
    <row r="308" customFormat="false" ht="16.4" hidden="false" customHeight="false" outlineLevel="0" collapsed="false">
      <c r="A308" s="291" t="s">
        <v>234</v>
      </c>
      <c r="B308" s="203" t="s">
        <v>28</v>
      </c>
      <c r="C308" s="313" t="n">
        <v>1</v>
      </c>
      <c r="H308" s="54"/>
      <c r="J308" s="57"/>
    </row>
    <row r="309" customFormat="false" ht="15" hidden="false" customHeight="false" outlineLevel="0" collapsed="false">
      <c r="A309" s="312" t="s">
        <v>659</v>
      </c>
      <c r="B309" s="312"/>
      <c r="C309" s="312"/>
      <c r="H309" s="54"/>
      <c r="J309" s="57"/>
    </row>
    <row r="310" customFormat="false" ht="15" hidden="false" customHeight="true" outlineLevel="0" collapsed="false">
      <c r="A310" s="307" t="s">
        <v>660</v>
      </c>
      <c r="B310" s="280" t="s">
        <v>661</v>
      </c>
      <c r="C310" s="314" t="n">
        <v>4</v>
      </c>
      <c r="H310" s="54"/>
      <c r="J310" s="57"/>
    </row>
    <row r="311" customFormat="false" ht="15" hidden="false" customHeight="false" outlineLevel="0" collapsed="false">
      <c r="A311" s="307"/>
      <c r="B311" s="280" t="s">
        <v>662</v>
      </c>
      <c r="C311" s="314"/>
      <c r="H311" s="54"/>
      <c r="J311" s="57"/>
    </row>
    <row r="312" customFormat="false" ht="15" hidden="false" customHeight="false" outlineLevel="0" collapsed="false">
      <c r="A312" s="307"/>
      <c r="B312" s="280" t="s">
        <v>663</v>
      </c>
      <c r="C312" s="314"/>
      <c r="H312" s="54"/>
      <c r="J312" s="57"/>
    </row>
    <row r="313" customFormat="false" ht="15" hidden="false" customHeight="false" outlineLevel="0" collapsed="false">
      <c r="A313" s="307"/>
      <c r="B313" s="290" t="s">
        <v>664</v>
      </c>
      <c r="C313" s="314"/>
      <c r="H313" s="54"/>
      <c r="J313" s="57"/>
    </row>
    <row r="314" customFormat="false" ht="15" hidden="false" customHeight="false" outlineLevel="0" collapsed="false">
      <c r="H314" s="54"/>
      <c r="J314" s="57"/>
    </row>
    <row r="315" customFormat="false" ht="15" hidden="false" customHeight="false" outlineLevel="0" collapsed="false">
      <c r="A315" s="315" t="s">
        <v>164</v>
      </c>
      <c r="B315" s="316"/>
      <c r="H315" s="54"/>
      <c r="J315" s="57"/>
    </row>
    <row r="316" customFormat="false" ht="15" hidden="false" customHeight="false" outlineLevel="0" collapsed="false">
      <c r="A316" s="317" t="s">
        <v>165</v>
      </c>
      <c r="B316" s="318" t="n">
        <v>1</v>
      </c>
      <c r="H316" s="54"/>
      <c r="J316" s="57"/>
    </row>
    <row r="317" customFormat="false" ht="15" hidden="false" customHeight="false" outlineLevel="0" collapsed="false">
      <c r="H317" s="54"/>
      <c r="J317" s="57"/>
    </row>
    <row r="318" customFormat="false" ht="17.35" hidden="false" customHeight="false" outlineLevel="0" collapsed="false">
      <c r="A318" s="200" t="s">
        <v>665</v>
      </c>
      <c r="B318" s="200"/>
      <c r="C318" s="200"/>
      <c r="D318" s="200"/>
      <c r="E318" s="200"/>
      <c r="F318" s="200"/>
      <c r="G318" s="200"/>
      <c r="H318" s="200"/>
      <c r="I318" s="200"/>
      <c r="J318" s="57"/>
    </row>
    <row r="319" customFormat="false" ht="15" hidden="false" customHeight="false" outlineLevel="0" collapsed="false">
      <c r="A319" s="319" t="s">
        <v>666</v>
      </c>
      <c r="B319" s="202" t="s">
        <v>36</v>
      </c>
      <c r="C319" s="203" t="n">
        <v>2020</v>
      </c>
      <c r="D319" s="203" t="n">
        <v>2025</v>
      </c>
      <c r="E319" s="203" t="n">
        <v>2030</v>
      </c>
      <c r="F319" s="203" t="n">
        <v>2035</v>
      </c>
      <c r="G319" s="203" t="n">
        <v>2040</v>
      </c>
      <c r="H319" s="203" t="n">
        <v>2045</v>
      </c>
      <c r="I319" s="204" t="n">
        <v>2050</v>
      </c>
      <c r="J319" s="57"/>
    </row>
    <row r="320" customFormat="false" ht="15" hidden="false" customHeight="false" outlineLevel="0" collapsed="false">
      <c r="A320" s="319" t="s">
        <v>580</v>
      </c>
      <c r="B320" s="202" t="s">
        <v>499</v>
      </c>
      <c r="C320" s="203" t="n">
        <v>0</v>
      </c>
      <c r="D320" s="203" t="n">
        <v>0</v>
      </c>
      <c r="E320" s="203" t="n">
        <v>0</v>
      </c>
      <c r="F320" s="203" t="n">
        <v>0</v>
      </c>
      <c r="G320" s="203" t="n">
        <v>0</v>
      </c>
      <c r="H320" s="203" t="n">
        <v>0</v>
      </c>
      <c r="I320" s="204" t="n">
        <v>0</v>
      </c>
      <c r="J320" s="57"/>
    </row>
    <row r="321" customFormat="false" ht="15" hidden="false" customHeight="false" outlineLevel="0" collapsed="false">
      <c r="A321" s="319" t="s">
        <v>597</v>
      </c>
      <c r="B321" s="202"/>
      <c r="C321" s="203" t="n">
        <v>0</v>
      </c>
      <c r="D321" s="203" t="n">
        <v>0</v>
      </c>
      <c r="E321" s="203" t="n">
        <v>0</v>
      </c>
      <c r="F321" s="203" t="n">
        <v>0</v>
      </c>
      <c r="G321" s="203" t="n">
        <v>0</v>
      </c>
      <c r="H321" s="203" t="n">
        <v>0</v>
      </c>
      <c r="I321" s="204" t="n">
        <v>0</v>
      </c>
      <c r="J321" s="57"/>
    </row>
    <row r="322" customFormat="false" ht="15" hidden="false" customHeight="false" outlineLevel="0" collapsed="false">
      <c r="A322" s="319" t="s">
        <v>598</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19" t="s">
        <v>599</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19" t="s">
        <v>600</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19" t="s">
        <v>601</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19" t="s">
        <v>602</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19" t="s">
        <v>603</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19" t="s">
        <v>354</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19" t="s">
        <v>369</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19" t="s">
        <v>604</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19" t="s">
        <v>605</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19" t="s">
        <v>606</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19" t="s">
        <v>607</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19" t="s">
        <v>608</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19" t="s">
        <v>609</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19" t="s">
        <v>610</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19" t="s">
        <v>611</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19" t="s">
        <v>612</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19" t="s">
        <v>613</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19" t="s">
        <v>614</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19" t="s">
        <v>615</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19" t="s">
        <v>616</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19" t="s">
        <v>617</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19" t="s">
        <v>618</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19" t="s">
        <v>619</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19" t="s">
        <v>620</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19" t="s">
        <v>621</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19" t="s">
        <v>622</v>
      </c>
      <c r="B348" s="202" t="s">
        <v>499</v>
      </c>
      <c r="C348" s="203" t="n">
        <v>0</v>
      </c>
      <c r="D348" s="203" t="n">
        <v>0</v>
      </c>
      <c r="E348" s="203" t="n">
        <v>0</v>
      </c>
      <c r="F348" s="203" t="n">
        <v>0</v>
      </c>
      <c r="G348" s="203" t="n">
        <v>0</v>
      </c>
      <c r="H348" s="203" t="n">
        <v>0</v>
      </c>
      <c r="I348" s="204" t="n">
        <v>0</v>
      </c>
      <c r="J348" s="57"/>
    </row>
    <row r="349" customFormat="false" ht="15" hidden="false" customHeight="false" outlineLevel="0" collapsed="false">
      <c r="A349" s="319" t="s">
        <v>623</v>
      </c>
      <c r="B349" s="202" t="s">
        <v>499</v>
      </c>
      <c r="C349" s="203" t="n">
        <v>0</v>
      </c>
      <c r="D349" s="203" t="n">
        <v>0</v>
      </c>
      <c r="E349" s="203" t="n">
        <v>0</v>
      </c>
      <c r="F349" s="203" t="n">
        <v>0</v>
      </c>
      <c r="G349" s="203" t="n">
        <v>0</v>
      </c>
      <c r="H349" s="203" t="n">
        <v>0</v>
      </c>
      <c r="I349" s="204" t="n">
        <v>0</v>
      </c>
      <c r="J349" s="57"/>
    </row>
    <row r="350" customFormat="false" ht="15" hidden="false" customHeight="false" outlineLevel="0" collapsed="false">
      <c r="A350" s="319" t="s">
        <v>624</v>
      </c>
      <c r="B350" s="202" t="s">
        <v>499</v>
      </c>
      <c r="C350" s="203" t="n">
        <v>0</v>
      </c>
      <c r="D350" s="203" t="n">
        <v>0</v>
      </c>
      <c r="E350" s="203" t="n">
        <v>0.00086013</v>
      </c>
      <c r="F350" s="203" t="n">
        <v>0.001453609</v>
      </c>
      <c r="G350" s="203" t="n">
        <v>0.002036738</v>
      </c>
      <c r="H350" s="203" t="n">
        <v>0.002500292</v>
      </c>
      <c r="I350" s="204" t="n">
        <v>0.002963845</v>
      </c>
      <c r="J350" s="57"/>
    </row>
    <row r="351" customFormat="false" ht="15" hidden="false" customHeight="false" outlineLevel="0" collapsed="false">
      <c r="A351" s="319" t="s">
        <v>625</v>
      </c>
      <c r="B351" s="202" t="s">
        <v>499</v>
      </c>
      <c r="C351" s="203" t="n">
        <v>0</v>
      </c>
      <c r="D351" s="203" t="n">
        <v>0</v>
      </c>
      <c r="E351" s="203" t="n">
        <v>0</v>
      </c>
      <c r="F351" s="203" t="n">
        <v>0</v>
      </c>
      <c r="G351" s="203" t="n">
        <v>0</v>
      </c>
      <c r="H351" s="203" t="n">
        <v>0</v>
      </c>
      <c r="I351" s="204" t="n">
        <v>0</v>
      </c>
      <c r="J351" s="57"/>
    </row>
    <row r="352" customFormat="false" ht="15" hidden="false" customHeight="false" outlineLevel="0" collapsed="false">
      <c r="A352" s="319" t="s">
        <v>626</v>
      </c>
      <c r="B352" s="202" t="s">
        <v>499</v>
      </c>
      <c r="C352" s="203" t="n">
        <v>0</v>
      </c>
      <c r="D352" s="203" t="n">
        <v>0</v>
      </c>
      <c r="E352" s="203" t="n">
        <v>0.00086013</v>
      </c>
      <c r="F352" s="203" t="n">
        <v>0.001453609</v>
      </c>
      <c r="G352" s="203" t="n">
        <v>0.002036738</v>
      </c>
      <c r="H352" s="203" t="n">
        <v>0.002500292</v>
      </c>
      <c r="I352" s="204" t="n">
        <v>0.002963845</v>
      </c>
      <c r="J352" s="57"/>
    </row>
    <row r="353" customFormat="false" ht="15" hidden="false" customHeight="false" outlineLevel="0" collapsed="false">
      <c r="A353" s="319" t="s">
        <v>627</v>
      </c>
      <c r="B353" s="202" t="s">
        <v>499</v>
      </c>
      <c r="C353" s="203" t="n">
        <v>0</v>
      </c>
      <c r="D353" s="203" t="n">
        <v>0</v>
      </c>
      <c r="E353" s="203" t="n">
        <v>0</v>
      </c>
      <c r="F353" s="203" t="n">
        <v>0</v>
      </c>
      <c r="G353" s="203" t="n">
        <v>0</v>
      </c>
      <c r="H353" s="203" t="n">
        <v>0</v>
      </c>
      <c r="I353" s="204" t="n">
        <v>0</v>
      </c>
      <c r="J353" s="57"/>
    </row>
    <row r="354" customFormat="false" ht="15" hidden="false" customHeight="false" outlineLevel="0" collapsed="false">
      <c r="A354" s="319" t="s">
        <v>628</v>
      </c>
      <c r="B354" s="202" t="s">
        <v>499</v>
      </c>
      <c r="C354" s="203" t="n">
        <v>0</v>
      </c>
      <c r="D354" s="203" t="n">
        <v>0</v>
      </c>
      <c r="E354" s="203" t="n">
        <v>0</v>
      </c>
      <c r="F354" s="203" t="n">
        <v>0</v>
      </c>
      <c r="G354" s="203" t="n">
        <v>0</v>
      </c>
      <c r="H354" s="203" t="n">
        <v>0</v>
      </c>
      <c r="I354" s="204" t="n">
        <v>0</v>
      </c>
      <c r="J354" s="57"/>
    </row>
    <row r="355" customFormat="false" ht="15" hidden="false" customHeight="false" outlineLevel="0" collapsed="false">
      <c r="A355" s="319" t="s">
        <v>629</v>
      </c>
      <c r="B355" s="202" t="s">
        <v>499</v>
      </c>
      <c r="C355" s="203" t="n">
        <v>0</v>
      </c>
      <c r="D355" s="203" t="n">
        <v>0</v>
      </c>
      <c r="E355" s="203" t="n">
        <v>0.001290195</v>
      </c>
      <c r="F355" s="203" t="n">
        <v>0.002180414</v>
      </c>
      <c r="G355" s="203" t="n">
        <v>0.003055107</v>
      </c>
      <c r="H355" s="203" t="n">
        <v>0.003750438</v>
      </c>
      <c r="I355" s="204" t="n">
        <v>0.004445768</v>
      </c>
      <c r="J355" s="57"/>
    </row>
    <row r="356" customFormat="false" ht="15" hidden="false" customHeight="false" outlineLevel="0" collapsed="false">
      <c r="A356" s="319" t="s">
        <v>630</v>
      </c>
      <c r="B356" s="202" t="s">
        <v>499</v>
      </c>
      <c r="C356" s="203" t="n">
        <v>0</v>
      </c>
      <c r="D356" s="203" t="n">
        <v>0</v>
      </c>
      <c r="E356" s="203" t="n">
        <v>0</v>
      </c>
      <c r="F356" s="203" t="n">
        <v>0</v>
      </c>
      <c r="G356" s="203" t="n">
        <v>0</v>
      </c>
      <c r="H356" s="203" t="n">
        <v>0</v>
      </c>
      <c r="I356" s="204" t="n">
        <v>0</v>
      </c>
      <c r="J356" s="57"/>
    </row>
    <row r="357" customFormat="false" ht="15" hidden="false" customHeight="false" outlineLevel="0" collapsed="false">
      <c r="A357" s="319" t="s">
        <v>631</v>
      </c>
      <c r="B357" s="202" t="s">
        <v>499</v>
      </c>
      <c r="C357" s="203" t="n">
        <v>0</v>
      </c>
      <c r="D357" s="203" t="n">
        <v>0</v>
      </c>
      <c r="E357" s="203" t="n">
        <v>0</v>
      </c>
      <c r="F357" s="203" t="n">
        <v>0</v>
      </c>
      <c r="G357" s="203" t="n">
        <v>0</v>
      </c>
      <c r="H357" s="203" t="n">
        <v>0</v>
      </c>
      <c r="I357" s="204" t="n">
        <v>0</v>
      </c>
      <c r="J357" s="57"/>
    </row>
    <row r="358" customFormat="false" ht="15" hidden="false" customHeight="false" outlineLevel="0" collapsed="false">
      <c r="A358" s="319" t="s">
        <v>632</v>
      </c>
      <c r="B358" s="202" t="s">
        <v>499</v>
      </c>
      <c r="C358" s="203" t="n">
        <v>0</v>
      </c>
      <c r="D358" s="203" t="n">
        <v>0</v>
      </c>
      <c r="E358" s="203" t="n">
        <v>0.001290195</v>
      </c>
      <c r="F358" s="203" t="n">
        <v>0.002180414</v>
      </c>
      <c r="G358" s="203" t="n">
        <v>0.003055107</v>
      </c>
      <c r="H358" s="203" t="n">
        <v>0.003750438</v>
      </c>
      <c r="I358" s="204" t="n">
        <v>0.004445768</v>
      </c>
      <c r="J358" s="57"/>
    </row>
    <row r="359" customFormat="false" ht="15" hidden="false" customHeight="false" outlineLevel="0" collapsed="false">
      <c r="A359" s="319" t="s">
        <v>633</v>
      </c>
      <c r="B359" s="202" t="s">
        <v>499</v>
      </c>
      <c r="C359" s="203" t="n">
        <v>0</v>
      </c>
      <c r="D359" s="203" t="n">
        <v>0</v>
      </c>
      <c r="E359" s="203" t="n">
        <v>0</v>
      </c>
      <c r="F359" s="203" t="n">
        <v>0</v>
      </c>
      <c r="G359" s="203" t="n">
        <v>0</v>
      </c>
      <c r="H359" s="203" t="n">
        <v>0</v>
      </c>
      <c r="I359" s="204" t="n">
        <v>0</v>
      </c>
      <c r="J359" s="57"/>
    </row>
    <row r="360" customFormat="false" ht="15" hidden="false" customHeight="false" outlineLevel="0" collapsed="false">
      <c r="A360" s="319" t="s">
        <v>634</v>
      </c>
      <c r="B360" s="202" t="s">
        <v>499</v>
      </c>
      <c r="C360" s="203" t="n">
        <v>0</v>
      </c>
      <c r="D360" s="203" t="n">
        <v>0</v>
      </c>
      <c r="E360" s="203" t="n">
        <v>0</v>
      </c>
      <c r="F360" s="203" t="n">
        <v>0</v>
      </c>
      <c r="G360" s="203" t="n">
        <v>0</v>
      </c>
      <c r="H360" s="203" t="n">
        <v>0</v>
      </c>
      <c r="I360" s="204" t="n">
        <v>0</v>
      </c>
      <c r="J360" s="57"/>
    </row>
    <row r="361" customFormat="false" ht="15" hidden="false" customHeight="false" outlineLevel="0" collapsed="false">
      <c r="A361" s="319" t="s">
        <v>635</v>
      </c>
      <c r="B361" s="202" t="s">
        <v>499</v>
      </c>
      <c r="C361" s="203" t="n">
        <v>0</v>
      </c>
      <c r="D361" s="203" t="n">
        <v>0</v>
      </c>
      <c r="E361" s="203" t="n">
        <v>0.00086013</v>
      </c>
      <c r="F361" s="203" t="n">
        <v>0.001453609</v>
      </c>
      <c r="G361" s="203" t="n">
        <v>0.002036738</v>
      </c>
      <c r="H361" s="203" t="n">
        <v>0.002500292</v>
      </c>
      <c r="I361" s="204" t="n">
        <v>0.002963845</v>
      </c>
      <c r="J361" s="57"/>
    </row>
    <row r="362" customFormat="false" ht="15" hidden="false" customHeight="false" outlineLevel="0" collapsed="false">
      <c r="A362" s="319" t="s">
        <v>636</v>
      </c>
      <c r="B362" s="202" t="s">
        <v>499</v>
      </c>
      <c r="C362" s="203" t="n">
        <v>0</v>
      </c>
      <c r="D362" s="203" t="n">
        <v>0</v>
      </c>
      <c r="E362" s="203" t="n">
        <v>0</v>
      </c>
      <c r="F362" s="203" t="n">
        <v>0</v>
      </c>
      <c r="G362" s="203" t="n">
        <v>0</v>
      </c>
      <c r="H362" s="203" t="n">
        <v>0</v>
      </c>
      <c r="I362" s="204" t="n">
        <v>0</v>
      </c>
      <c r="J362" s="57"/>
    </row>
    <row r="363" customFormat="false" ht="15" hidden="false" customHeight="false" outlineLevel="0" collapsed="false">
      <c r="A363" s="319" t="s">
        <v>637</v>
      </c>
      <c r="B363" s="202" t="s">
        <v>499</v>
      </c>
      <c r="C363" s="203" t="n">
        <v>0</v>
      </c>
      <c r="D363" s="203" t="n">
        <v>0</v>
      </c>
      <c r="E363" s="203" t="n">
        <v>0.000430065</v>
      </c>
      <c r="F363" s="203" t="n">
        <v>0.000726805</v>
      </c>
      <c r="G363" s="203" t="n">
        <v>0.001018369</v>
      </c>
      <c r="H363" s="203" t="n">
        <v>0.001250146</v>
      </c>
      <c r="I363" s="204" t="n">
        <v>0.001481923</v>
      </c>
      <c r="J363" s="57"/>
    </row>
    <row r="364" customFormat="false" ht="15" hidden="false" customHeight="false" outlineLevel="0" collapsed="false">
      <c r="A364" s="319" t="s">
        <v>638</v>
      </c>
      <c r="B364" s="202" t="s">
        <v>499</v>
      </c>
      <c r="C364" s="203" t="n">
        <v>0</v>
      </c>
      <c r="D364" s="203" t="n">
        <v>0</v>
      </c>
      <c r="E364" s="203" t="n">
        <v>0.001290195</v>
      </c>
      <c r="F364" s="203" t="n">
        <v>0.002180414</v>
      </c>
      <c r="G364" s="203" t="n">
        <v>0.003055107</v>
      </c>
      <c r="H364" s="203" t="n">
        <v>0.003750438</v>
      </c>
      <c r="I364" s="204" t="n">
        <v>0.004445768</v>
      </c>
      <c r="J364" s="57"/>
    </row>
    <row r="365" customFormat="false" ht="15" hidden="false" customHeight="false" outlineLevel="0" collapsed="false">
      <c r="A365" s="319" t="s">
        <v>639</v>
      </c>
      <c r="B365" s="202" t="s">
        <v>499</v>
      </c>
      <c r="C365" s="203" t="n">
        <v>0</v>
      </c>
      <c r="D365" s="203" t="n">
        <v>0</v>
      </c>
      <c r="E365" s="203" t="n">
        <v>0</v>
      </c>
      <c r="F365" s="203" t="n">
        <v>0</v>
      </c>
      <c r="G365" s="203" t="n">
        <v>0</v>
      </c>
      <c r="H365" s="203" t="n">
        <v>0</v>
      </c>
      <c r="I365" s="204" t="n">
        <v>0</v>
      </c>
      <c r="J365" s="57"/>
    </row>
    <row r="366" customFormat="false" ht="15" hidden="false" customHeight="false" outlineLevel="0" collapsed="false">
      <c r="A366" s="319" t="s">
        <v>640</v>
      </c>
      <c r="B366" s="202" t="s">
        <v>499</v>
      </c>
      <c r="C366" s="203" t="n">
        <v>0</v>
      </c>
      <c r="D366" s="203" t="n">
        <v>0</v>
      </c>
      <c r="E366" s="203" t="n">
        <v>0.00086013</v>
      </c>
      <c r="F366" s="203" t="n">
        <v>0.001453609</v>
      </c>
      <c r="G366" s="203" t="n">
        <v>0.002036738</v>
      </c>
      <c r="H366" s="203" t="n">
        <v>0.002500292</v>
      </c>
      <c r="I366" s="204" t="n">
        <v>0.002963845</v>
      </c>
      <c r="J366" s="57"/>
    </row>
    <row r="367" customFormat="false" ht="15" hidden="false" customHeight="false" outlineLevel="0" collapsed="false">
      <c r="A367" s="319" t="s">
        <v>641</v>
      </c>
      <c r="B367" s="202" t="s">
        <v>499</v>
      </c>
      <c r="C367" s="203" t="n">
        <v>0</v>
      </c>
      <c r="D367" s="203" t="n">
        <v>0</v>
      </c>
      <c r="E367" s="203" t="n">
        <v>0</v>
      </c>
      <c r="F367" s="203" t="n">
        <v>0</v>
      </c>
      <c r="G367" s="203" t="n">
        <v>0</v>
      </c>
      <c r="H367" s="203" t="n">
        <v>0</v>
      </c>
      <c r="I367" s="204" t="n">
        <v>0</v>
      </c>
      <c r="J367" s="57"/>
    </row>
    <row r="368" customFormat="false" ht="15" hidden="false" customHeight="false" outlineLevel="0" collapsed="false">
      <c r="A368" s="319" t="s">
        <v>642</v>
      </c>
      <c r="B368" s="202" t="s">
        <v>499</v>
      </c>
      <c r="C368" s="203" t="n">
        <v>0</v>
      </c>
      <c r="D368" s="203" t="n">
        <v>0</v>
      </c>
      <c r="E368" s="203" t="n">
        <v>0.00086013</v>
      </c>
      <c r="F368" s="203" t="n">
        <v>0.001453609</v>
      </c>
      <c r="G368" s="203" t="n">
        <v>0.002036738</v>
      </c>
      <c r="H368" s="203" t="n">
        <v>0.002500292</v>
      </c>
      <c r="I368" s="204" t="n">
        <v>0.002963845</v>
      </c>
      <c r="J368" s="57"/>
    </row>
    <row r="369" customFormat="false" ht="15" hidden="false" customHeight="false" outlineLevel="0" collapsed="false">
      <c r="A369" s="319" t="s">
        <v>643</v>
      </c>
      <c r="B369" s="202" t="s">
        <v>499</v>
      </c>
      <c r="C369" s="203" t="n">
        <v>0</v>
      </c>
      <c r="D369" s="203" t="n">
        <v>0</v>
      </c>
      <c r="E369" s="203" t="n">
        <v>0</v>
      </c>
      <c r="F369" s="203" t="n">
        <v>0</v>
      </c>
      <c r="G369" s="203" t="n">
        <v>0</v>
      </c>
      <c r="H369" s="203" t="n">
        <v>0</v>
      </c>
      <c r="I369" s="204" t="n">
        <v>0</v>
      </c>
      <c r="J369" s="57"/>
    </row>
    <row r="370" customFormat="false" ht="15" hidden="false" customHeight="false" outlineLevel="0" collapsed="false">
      <c r="A370" s="320" t="s">
        <v>667</v>
      </c>
      <c r="B370" s="321"/>
      <c r="C370" s="321"/>
      <c r="D370" s="321"/>
      <c r="E370" s="321"/>
      <c r="F370" s="321"/>
      <c r="G370" s="321"/>
      <c r="H370" s="322"/>
      <c r="I370" s="321"/>
      <c r="J370" s="57"/>
    </row>
    <row r="371" customFormat="false" ht="15" hidden="false" customHeight="false" outlineLevel="0" collapsed="false">
      <c r="A371" s="319" t="s">
        <v>580</v>
      </c>
      <c r="B371" s="202" t="s">
        <v>28</v>
      </c>
      <c r="C371" s="203" t="n">
        <v>0.189349112426035</v>
      </c>
      <c r="D371" s="203" t="n">
        <v>0.189349112426035</v>
      </c>
      <c r="E371" s="203" t="n">
        <v>0.189349112426035</v>
      </c>
      <c r="F371" s="203" t="n">
        <v>0.189349112426035</v>
      </c>
      <c r="G371" s="203" t="n">
        <v>0.189349112426035</v>
      </c>
      <c r="H371" s="203" t="n">
        <f aca="false">G371+(I371-G371)/2</f>
        <v>0.238653613804641</v>
      </c>
      <c r="I371" s="203" t="n">
        <v>0.287958115183246</v>
      </c>
      <c r="J371" s="57"/>
    </row>
    <row r="372" customFormat="false" ht="15" hidden="false" customHeight="false" outlineLevel="0" collapsed="false">
      <c r="A372" s="319" t="s">
        <v>597</v>
      </c>
      <c r="B372" s="202" t="s">
        <v>28</v>
      </c>
      <c r="C372" s="203" t="n">
        <v>0.189349112</v>
      </c>
      <c r="D372" s="203" t="n">
        <v>0.189349112</v>
      </c>
      <c r="E372" s="203" t="n">
        <v>0.189349112</v>
      </c>
      <c r="F372" s="203" t="n">
        <v>0.189349112</v>
      </c>
      <c r="G372" s="203" t="n">
        <v>0.189349112</v>
      </c>
      <c r="H372" s="203" t="n">
        <v>0.238653614</v>
      </c>
      <c r="I372" s="203" t="n">
        <v>0.287958115</v>
      </c>
      <c r="J372" s="57"/>
    </row>
    <row r="373" customFormat="false" ht="15" hidden="false" customHeight="false" outlineLevel="0" collapsed="false">
      <c r="A373" s="319" t="s">
        <v>598</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19" t="s">
        <v>599</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19" t="s">
        <v>600</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19" t="s">
        <v>601</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19" t="s">
        <v>602</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19" t="s">
        <v>603</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19" t="s">
        <v>354</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19" t="s">
        <v>369</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19" t="s">
        <v>604</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19" t="s">
        <v>605</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19" t="s">
        <v>606</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19" t="s">
        <v>607</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19" t="s">
        <v>608</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19" t="s">
        <v>609</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19" t="s">
        <v>610</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19" t="s">
        <v>611</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19" t="s">
        <v>612</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19" t="s">
        <v>613</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19" t="s">
        <v>614</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19" t="s">
        <v>615</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19" t="s">
        <v>616</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19" t="s">
        <v>617</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19" t="s">
        <v>618</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19" t="s">
        <v>619</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19" t="s">
        <v>620</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19" t="s">
        <v>621</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19" t="s">
        <v>622</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19" t="s">
        <v>623</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19" t="s">
        <v>624</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19" t="s">
        <v>625</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19" t="s">
        <v>626</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19" t="s">
        <v>627</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19" t="s">
        <v>628</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19" t="s">
        <v>629</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19" t="s">
        <v>630</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19" t="s">
        <v>631</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19" t="s">
        <v>632</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19" t="s">
        <v>633</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19" t="s">
        <v>634</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19" t="s">
        <v>635</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19" t="s">
        <v>636</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19" t="s">
        <v>637</v>
      </c>
      <c r="B414" s="202" t="s">
        <v>28</v>
      </c>
      <c r="C414" s="203" t="n">
        <v>0.189349112</v>
      </c>
      <c r="D414" s="203" t="n">
        <v>0.189349112</v>
      </c>
      <c r="E414" s="203" t="n">
        <v>0.189349112</v>
      </c>
      <c r="F414" s="203" t="n">
        <v>0.189349112</v>
      </c>
      <c r="G414" s="203" t="n">
        <v>0.189349112</v>
      </c>
      <c r="H414" s="203" t="n">
        <v>0.169674556</v>
      </c>
      <c r="I414" s="203" t="n">
        <v>0.15</v>
      </c>
      <c r="J414" s="57"/>
    </row>
    <row r="415" customFormat="false" ht="15" hidden="false" customHeight="false" outlineLevel="0" collapsed="false">
      <c r="A415" s="319" t="s">
        <v>638</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19" t="s">
        <v>639</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19" t="s">
        <v>640</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19" t="s">
        <v>641</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19" t="s">
        <v>642</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19" t="s">
        <v>643</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8" hidden="false" customHeight="true" outlineLevel="0" collapsed="false">
      <c r="A421" s="200" t="s">
        <v>668</v>
      </c>
      <c r="B421" s="200"/>
      <c r="C421" s="200"/>
      <c r="D421" s="200"/>
      <c r="E421" s="200"/>
      <c r="F421" s="200"/>
      <c r="G421" s="200"/>
      <c r="H421" s="200"/>
      <c r="I421" s="200"/>
    </row>
    <row r="422" customFormat="false" ht="15" hidden="false" customHeight="false" outlineLevel="0" collapsed="false">
      <c r="A422" s="319" t="s">
        <v>669</v>
      </c>
      <c r="B422" s="219" t="s">
        <v>499</v>
      </c>
      <c r="C422" s="203" t="n">
        <v>0</v>
      </c>
      <c r="D422" s="203" t="n">
        <v>0.00625343327625571</v>
      </c>
      <c r="E422" s="203" t="n">
        <v>0.0125068665525114</v>
      </c>
      <c r="F422" s="203" t="n">
        <v>0.0135108581335616</v>
      </c>
      <c r="G422" s="203" t="n">
        <v>0.0145148497146119</v>
      </c>
      <c r="H422" s="203" t="n">
        <v>0.0155188412956621</v>
      </c>
      <c r="I422" s="203" t="n">
        <v>0.0165228328767123</v>
      </c>
    </row>
    <row r="423" customFormat="false" ht="15" hidden="false" customHeight="false" outlineLevel="0" collapsed="false">
      <c r="H423" s="54"/>
      <c r="J423" s="57"/>
    </row>
    <row r="424" customFormat="false" ht="17.35" hidden="false" customHeight="false" outlineLevel="0" collapsed="false">
      <c r="A424" s="323" t="s">
        <v>670</v>
      </c>
      <c r="B424" s="324"/>
      <c r="C424" s="325"/>
    </row>
    <row r="425" customFormat="false" ht="15" hidden="false" customHeight="false" outlineLevel="0" collapsed="false">
      <c r="A425" s="319" t="s">
        <v>434</v>
      </c>
      <c r="B425" s="202" t="s">
        <v>36</v>
      </c>
      <c r="C425" s="204" t="n">
        <v>2050</v>
      </c>
    </row>
    <row r="426" customFormat="false" ht="15" hidden="false" customHeight="false" outlineLevel="0" collapsed="false">
      <c r="A426" s="326" t="s">
        <v>671</v>
      </c>
      <c r="B426" s="205" t="s">
        <v>327</v>
      </c>
      <c r="C426" s="327" t="n">
        <v>0.05</v>
      </c>
    </row>
    <row r="428" customFormat="false" ht="17.35" hidden="false" customHeight="false" outlineLevel="0" collapsed="false">
      <c r="A428" s="323" t="s">
        <v>672</v>
      </c>
      <c r="B428" s="323"/>
      <c r="C428" s="323"/>
      <c r="D428" s="323"/>
      <c r="E428" s="323"/>
      <c r="F428" s="323"/>
      <c r="G428" s="323"/>
      <c r="H428" s="323"/>
      <c r="I428" s="323"/>
    </row>
    <row r="429" customFormat="false" ht="15" hidden="false" customHeight="false" outlineLevel="0" collapsed="false">
      <c r="A429" s="319" t="s">
        <v>673</v>
      </c>
      <c r="B429" s="202" t="s">
        <v>36</v>
      </c>
      <c r="C429" s="203" t="n">
        <v>2020</v>
      </c>
      <c r="D429" s="203" t="n">
        <f aca="false">C429+5</f>
        <v>2025</v>
      </c>
      <c r="E429" s="203" t="n">
        <f aca="false">D429+5</f>
        <v>2030</v>
      </c>
      <c r="F429" s="203" t="n">
        <f aca="false">E429+5</f>
        <v>2035</v>
      </c>
      <c r="G429" s="203" t="n">
        <f aca="false">F429+5</f>
        <v>2040</v>
      </c>
      <c r="H429" s="203" t="n">
        <f aca="false">G429+5</f>
        <v>2045</v>
      </c>
      <c r="I429" s="203" t="n">
        <f aca="false">H429+5</f>
        <v>2050</v>
      </c>
    </row>
    <row r="430" customFormat="false" ht="15" hidden="false" customHeight="false" outlineLevel="0" collapsed="false">
      <c r="A430" s="319" t="s">
        <v>674</v>
      </c>
      <c r="B430" s="202" t="s">
        <v>675</v>
      </c>
      <c r="C430" s="203" t="n">
        <v>0</v>
      </c>
      <c r="D430" s="203" t="n">
        <v>0</v>
      </c>
      <c r="E430" s="203" t="n">
        <v>0</v>
      </c>
      <c r="F430" s="203" t="n">
        <v>0</v>
      </c>
      <c r="G430" s="203" t="n">
        <v>0</v>
      </c>
      <c r="H430" s="203" t="n">
        <v>0</v>
      </c>
      <c r="I430" s="203" t="n">
        <v>0</v>
      </c>
      <c r="M430" s="198"/>
      <c r="Q430" s="198"/>
      <c r="U430" s="198"/>
    </row>
    <row r="432" customFormat="false" ht="17.35" hidden="false" customHeight="false" outlineLevel="0" collapsed="false">
      <c r="A432" s="323" t="s">
        <v>676</v>
      </c>
      <c r="B432" s="323"/>
      <c r="C432" s="323"/>
      <c r="D432" s="323"/>
      <c r="E432" s="323"/>
      <c r="F432" s="323"/>
      <c r="G432" s="323"/>
      <c r="H432" s="323"/>
      <c r="I432" s="323"/>
      <c r="J432" s="323"/>
      <c r="K432" s="323"/>
      <c r="L432" s="323"/>
      <c r="M432" s="323"/>
      <c r="N432" s="323"/>
      <c r="O432" s="323"/>
      <c r="P432" s="323"/>
      <c r="Q432" s="323"/>
      <c r="R432" s="323"/>
      <c r="S432" s="323"/>
      <c r="T432" s="323"/>
      <c r="U432" s="323"/>
      <c r="V432" s="323"/>
      <c r="W432" s="323"/>
      <c r="X432" s="323"/>
    </row>
    <row r="433" customFormat="false" ht="15" hidden="false" customHeight="false" outlineLevel="0" collapsed="false">
      <c r="A433" s="319" t="s">
        <v>673</v>
      </c>
      <c r="B433" s="202" t="s">
        <v>36</v>
      </c>
      <c r="C433" s="203" t="n">
        <v>1980</v>
      </c>
      <c r="D433" s="203" t="n">
        <v>2020</v>
      </c>
      <c r="E433" s="203" t="n">
        <f aca="false">D433+5</f>
        <v>2025</v>
      </c>
      <c r="F433" s="203" t="n">
        <f aca="false">E433+5</f>
        <v>2030</v>
      </c>
      <c r="G433" s="203" t="n">
        <f aca="false">F433+5</f>
        <v>2035</v>
      </c>
      <c r="H433" s="203" t="n">
        <f aca="false">G433+5</f>
        <v>2040</v>
      </c>
      <c r="I433" s="203" t="n">
        <f aca="false">H433+5</f>
        <v>2045</v>
      </c>
      <c r="J433" s="203" t="n">
        <f aca="false">I433+5</f>
        <v>2050</v>
      </c>
      <c r="K433" s="203" t="n">
        <f aca="false">J433+5</f>
        <v>2055</v>
      </c>
      <c r="L433" s="203" t="n">
        <f aca="false">K433+5</f>
        <v>2060</v>
      </c>
      <c r="M433" s="203" t="n">
        <f aca="false">L433+5</f>
        <v>2065</v>
      </c>
      <c r="N433" s="203" t="n">
        <f aca="false">M433+5</f>
        <v>2070</v>
      </c>
      <c r="O433" s="203" t="n">
        <f aca="false">N433+5</f>
        <v>2075</v>
      </c>
      <c r="P433" s="203" t="n">
        <f aca="false">O433+5</f>
        <v>2080</v>
      </c>
      <c r="Q433" s="203" t="n">
        <f aca="false">P433+5</f>
        <v>2085</v>
      </c>
      <c r="R433" s="203" t="n">
        <f aca="false">Q433+5</f>
        <v>2090</v>
      </c>
      <c r="S433" s="203" t="n">
        <f aca="false">R433+5</f>
        <v>2095</v>
      </c>
      <c r="T433" s="203" t="n">
        <f aca="false">S433+5</f>
        <v>2100</v>
      </c>
      <c r="U433" s="203" t="n">
        <f aca="false">T433+5</f>
        <v>2105</v>
      </c>
      <c r="V433" s="203" t="n">
        <f aca="false">U433+5</f>
        <v>2110</v>
      </c>
      <c r="W433" s="203" t="n">
        <f aca="false">V433+5</f>
        <v>2115</v>
      </c>
      <c r="X433" s="203" t="n">
        <f aca="false">W433+5</f>
        <v>2120</v>
      </c>
    </row>
    <row r="434" customFormat="false" ht="15" hidden="false" customHeight="false" outlineLevel="0" collapsed="false">
      <c r="A434" s="319" t="s">
        <v>676</v>
      </c>
      <c r="B434" s="202" t="s">
        <v>677</v>
      </c>
      <c r="C434" s="203"/>
      <c r="D434" s="203" t="n">
        <v>345</v>
      </c>
      <c r="E434" s="203"/>
      <c r="F434" s="203" t="n">
        <v>345</v>
      </c>
      <c r="G434" s="203"/>
      <c r="H434" s="203" t="n">
        <v>298</v>
      </c>
      <c r="I434" s="203"/>
      <c r="J434" s="203" t="n">
        <v>333</v>
      </c>
      <c r="K434" s="203"/>
      <c r="L434" s="203"/>
      <c r="M434" s="203"/>
      <c r="N434" s="203"/>
      <c r="O434" s="203"/>
      <c r="P434" s="203"/>
      <c r="Q434" s="203"/>
      <c r="R434" s="203"/>
      <c r="S434" s="203"/>
      <c r="T434" s="203"/>
      <c r="U434" s="203"/>
      <c r="V434" s="203"/>
      <c r="W434" s="203"/>
      <c r="X434" s="203"/>
    </row>
    <row r="435" customFormat="false" ht="15" hidden="false" customHeight="false" outlineLevel="0" collapsed="false">
      <c r="H435" s="54"/>
      <c r="J435" s="57"/>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24.45" hidden="false" customHeight="false" outlineLevel="0" collapsed="false">
      <c r="A440" s="199" t="s">
        <v>678</v>
      </c>
    </row>
    <row r="443" customFormat="false" ht="15" hidden="false" customHeight="false" outlineLevel="0" collapsed="false">
      <c r="H443" s="328"/>
    </row>
    <row r="444" customFormat="false" ht="15" hidden="false" customHeight="false" outlineLevel="0" collapsed="false">
      <c r="H444" s="328"/>
    </row>
    <row r="445" customFormat="false" ht="17.35" hidden="false" customHeight="false" outlineLevel="0" collapsed="false">
      <c r="A445" s="200" t="s">
        <v>679</v>
      </c>
      <c r="B445" s="200"/>
      <c r="C445" s="200"/>
      <c r="D445" s="200"/>
      <c r="E445" s="200"/>
      <c r="F445" s="200"/>
      <c r="G445" s="200"/>
      <c r="H445" s="200"/>
    </row>
    <row r="446" customFormat="false" ht="15" hidden="false" customHeight="false" outlineLevel="0" collapsed="false">
      <c r="A446" s="329" t="s">
        <v>36</v>
      </c>
      <c r="B446" s="203" t="n">
        <v>2020</v>
      </c>
      <c r="C446" s="203" t="n">
        <v>2025</v>
      </c>
      <c r="D446" s="203" t="n">
        <v>2030</v>
      </c>
      <c r="E446" s="203" t="n">
        <v>2035</v>
      </c>
      <c r="F446" s="203" t="n">
        <v>2040</v>
      </c>
      <c r="G446" s="203" t="n">
        <v>2045</v>
      </c>
      <c r="H446" s="204" t="n">
        <v>2050</v>
      </c>
    </row>
    <row r="447" customFormat="false" ht="15" hidden="false" customHeight="false" outlineLevel="0" collapsed="false">
      <c r="A447" s="312" t="s">
        <v>472</v>
      </c>
      <c r="B447" s="312"/>
      <c r="C447" s="312"/>
      <c r="D447" s="312"/>
      <c r="E447" s="312"/>
      <c r="F447" s="312"/>
      <c r="G447" s="312"/>
      <c r="H447" s="312"/>
    </row>
    <row r="448" customFormat="false" ht="15" hidden="false" customHeight="false" outlineLevel="0" collapsed="false">
      <c r="A448" s="330" t="s">
        <v>680</v>
      </c>
      <c r="B448" s="203" t="n">
        <v>18.8</v>
      </c>
      <c r="C448" s="203" t="n">
        <v>16.1316315</v>
      </c>
      <c r="D448" s="203" t="n">
        <v>13.486491</v>
      </c>
      <c r="E448" s="203" t="n">
        <v>10.8413505</v>
      </c>
      <c r="F448" s="203" t="n">
        <v>8.19621</v>
      </c>
      <c r="G448" s="203" t="n">
        <v>5.5510695</v>
      </c>
      <c r="H448" s="204" t="n">
        <v>2.9</v>
      </c>
    </row>
    <row r="449" customFormat="false" ht="15" hidden="false" customHeight="false" outlineLevel="0" collapsed="false">
      <c r="A449" s="312" t="s">
        <v>479</v>
      </c>
      <c r="B449" s="312"/>
      <c r="C449" s="312"/>
      <c r="D449" s="312"/>
      <c r="E449" s="312"/>
      <c r="F449" s="312"/>
      <c r="G449" s="312"/>
      <c r="H449" s="312"/>
      <c r="I449" s="57"/>
    </row>
    <row r="450" customFormat="false" ht="15" hidden="false" customHeight="false" outlineLevel="0" collapsed="false">
      <c r="A450" s="330" t="s">
        <v>680</v>
      </c>
      <c r="B450" s="203" t="n">
        <v>13.3</v>
      </c>
      <c r="C450" s="203" t="n">
        <v>11.39042</v>
      </c>
      <c r="D450" s="203" t="n">
        <v>9.52904</v>
      </c>
      <c r="E450" s="203" t="n">
        <v>7.66766</v>
      </c>
      <c r="F450" s="203" t="n">
        <v>5.80628</v>
      </c>
      <c r="G450" s="203" t="n">
        <v>3.9449</v>
      </c>
      <c r="H450" s="204" t="n">
        <v>2.1</v>
      </c>
    </row>
    <row r="451" customFormat="false" ht="15" hidden="false" customHeight="false" outlineLevel="0" collapsed="false">
      <c r="A451" s="312" t="s">
        <v>485</v>
      </c>
      <c r="B451" s="312"/>
      <c r="C451" s="312"/>
      <c r="D451" s="312"/>
      <c r="E451" s="312"/>
      <c r="F451" s="312"/>
      <c r="G451" s="312"/>
      <c r="H451" s="312"/>
      <c r="I451" s="57"/>
    </row>
    <row r="452" customFormat="false" ht="15" hidden="false" customHeight="false" outlineLevel="0" collapsed="false">
      <c r="A452" s="331" t="s">
        <v>680</v>
      </c>
      <c r="B452" s="332" t="n">
        <v>2.4</v>
      </c>
      <c r="C452" s="332" t="n">
        <v>2.083</v>
      </c>
      <c r="D452" s="332" t="n">
        <v>1.769</v>
      </c>
      <c r="E452" s="332" t="n">
        <v>1.455</v>
      </c>
      <c r="F452" s="332" t="n">
        <v>3</v>
      </c>
      <c r="G452" s="332" t="n">
        <v>3</v>
      </c>
      <c r="H452" s="332" t="n">
        <v>1.141</v>
      </c>
    </row>
    <row r="453" customFormat="false" ht="15" hidden="false" customHeight="false" outlineLevel="0" collapsed="false">
      <c r="F453" s="332" t="n">
        <v>1.141</v>
      </c>
      <c r="G453" s="332" t="n">
        <v>0.827</v>
      </c>
      <c r="H453" s="244" t="n">
        <v>0.5</v>
      </c>
    </row>
    <row r="454" customFormat="false" ht="17.35" hidden="false" customHeight="false" outlineLevel="0" collapsed="false">
      <c r="A454" s="200" t="s">
        <v>681</v>
      </c>
      <c r="B454" s="200"/>
      <c r="C454" s="200"/>
      <c r="D454" s="200"/>
      <c r="E454" s="200"/>
      <c r="F454" s="200"/>
      <c r="G454" s="200"/>
      <c r="H454" s="200"/>
      <c r="I454" s="200"/>
    </row>
    <row r="455" customFormat="false" ht="15" hidden="false" customHeight="false" outlineLevel="0" collapsed="false">
      <c r="A455" s="333"/>
      <c r="B455" s="202" t="s">
        <v>36</v>
      </c>
      <c r="C455" s="203" t="n">
        <v>2020</v>
      </c>
      <c r="D455" s="203" t="n">
        <v>2025</v>
      </c>
      <c r="E455" s="203" t="n">
        <v>2030</v>
      </c>
      <c r="F455" s="203" t="n">
        <v>2035</v>
      </c>
      <c r="G455" s="203" t="n">
        <v>2040</v>
      </c>
      <c r="H455" s="203" t="n">
        <v>2045</v>
      </c>
      <c r="I455" s="204" t="n">
        <v>2050</v>
      </c>
    </row>
    <row r="456" customFormat="false" ht="15" hidden="false" customHeight="false" outlineLevel="0" collapsed="false">
      <c r="A456" s="319" t="s">
        <v>682</v>
      </c>
      <c r="B456" s="202" t="s">
        <v>146</v>
      </c>
      <c r="C456" s="204" t="n">
        <v>-0.01</v>
      </c>
      <c r="D456" s="204" t="n">
        <v>-0.013</v>
      </c>
      <c r="E456" s="204" t="n">
        <v>-0.016</v>
      </c>
      <c r="F456" s="204" t="n">
        <v>-0.019</v>
      </c>
      <c r="G456" s="204" t="n">
        <v>-0.023</v>
      </c>
      <c r="H456" s="204" t="n">
        <v>-0.026</v>
      </c>
      <c r="I456" s="204" t="n">
        <v>-0.029</v>
      </c>
    </row>
    <row r="457" customFormat="false" ht="15" hidden="false" customHeight="false" outlineLevel="0" collapsed="false">
      <c r="A457" s="326" t="s">
        <v>683</v>
      </c>
      <c r="B457" s="205" t="s">
        <v>327</v>
      </c>
      <c r="C457" s="311" t="n">
        <v>0</v>
      </c>
      <c r="D457" s="311" t="n">
        <v>0</v>
      </c>
      <c r="E457" s="311" t="n">
        <v>0</v>
      </c>
      <c r="F457" s="311" t="n">
        <v>0</v>
      </c>
      <c r="G457" s="311" t="n">
        <v>0</v>
      </c>
      <c r="H457" s="311" t="n">
        <v>0</v>
      </c>
      <c r="I457" s="311" t="n">
        <v>0</v>
      </c>
    </row>
    <row r="461" customFormat="false" ht="24.45" hidden="false" customHeight="false" outlineLevel="0" collapsed="false">
      <c r="A461" s="199" t="s">
        <v>684</v>
      </c>
      <c r="H461" s="54"/>
      <c r="J461" s="57"/>
    </row>
    <row r="462" customFormat="false" ht="17.35" hidden="false" customHeight="false" outlineLevel="0" collapsed="false">
      <c r="A462" s="200" t="s">
        <v>685</v>
      </c>
      <c r="B462" s="200"/>
      <c r="C462" s="200"/>
      <c r="H462" s="54"/>
      <c r="J462" s="57"/>
    </row>
    <row r="463" customFormat="false" ht="15" hidden="false" customHeight="false" outlineLevel="0" collapsed="false">
      <c r="A463" s="319" t="s">
        <v>416</v>
      </c>
      <c r="B463" s="202" t="s">
        <v>28</v>
      </c>
      <c r="C463" s="204" t="n">
        <v>0</v>
      </c>
    </row>
    <row r="464" customFormat="false" ht="15" hidden="false" customHeight="false" outlineLevel="0" collapsed="false">
      <c r="A464" s="319" t="s">
        <v>418</v>
      </c>
      <c r="B464" s="202" t="s">
        <v>125</v>
      </c>
      <c r="C464" s="204" t="n">
        <v>200</v>
      </c>
    </row>
    <row r="465" customFormat="false" ht="15" hidden="false" customHeight="false" outlineLevel="0" collapsed="false">
      <c r="A465" s="319" t="s">
        <v>420</v>
      </c>
      <c r="B465" s="202" t="s">
        <v>686</v>
      </c>
      <c r="C465" s="258" t="n">
        <v>0.0074</v>
      </c>
    </row>
    <row r="466" customFormat="false" ht="15" hidden="false" customHeight="false" outlineLevel="0" collapsed="false">
      <c r="A466" s="319" t="s">
        <v>687</v>
      </c>
      <c r="B466" s="202" t="s">
        <v>36</v>
      </c>
      <c r="C466" s="204" t="n">
        <v>2020</v>
      </c>
    </row>
    <row r="467" customFormat="false" ht="15" hidden="false" customHeight="false" outlineLevel="0" collapsed="false">
      <c r="A467" s="319" t="s">
        <v>424</v>
      </c>
      <c r="B467" s="202" t="s">
        <v>688</v>
      </c>
      <c r="C467" s="204" t="n">
        <v>185</v>
      </c>
    </row>
    <row r="468" customFormat="false" ht="15" hidden="false" customHeight="false" outlineLevel="0" collapsed="false">
      <c r="A468" s="319" t="s">
        <v>427</v>
      </c>
      <c r="B468" s="202" t="s">
        <v>36</v>
      </c>
      <c r="C468" s="204" t="n">
        <v>2020</v>
      </c>
    </row>
    <row r="469" customFormat="false" ht="15" hidden="false" customHeight="false" outlineLevel="0" collapsed="false">
      <c r="A469" s="326" t="s">
        <v>428</v>
      </c>
      <c r="B469" s="205" t="s">
        <v>36</v>
      </c>
      <c r="C469" s="244" t="n">
        <v>2050</v>
      </c>
    </row>
    <row r="471" customFormat="false" ht="14.25" hidden="false" customHeight="true" outlineLevel="0" collapsed="false">
      <c r="A471" s="334" t="s">
        <v>70</v>
      </c>
      <c r="B471" s="334"/>
      <c r="C471" s="334"/>
      <c r="F471" s="328"/>
      <c r="G471" s="328"/>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c r="AD471" s="328"/>
      <c r="AE471" s="328"/>
      <c r="AF471" s="328"/>
      <c r="AG471" s="328"/>
      <c r="AH471" s="328"/>
      <c r="AI471" s="328"/>
      <c r="AJ471" s="328"/>
      <c r="AK471" s="328"/>
      <c r="AL471" s="328"/>
    </row>
    <row r="472" customFormat="false" ht="15" hidden="false" customHeight="false" outlineLevel="0" collapsed="false">
      <c r="A472" s="335" t="s">
        <v>75</v>
      </c>
      <c r="B472" s="270" t="s">
        <v>76</v>
      </c>
      <c r="C472" s="336" t="n">
        <v>135</v>
      </c>
      <c r="F472" s="328"/>
      <c r="G472" s="328"/>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c r="AD472" s="328"/>
      <c r="AE472" s="328"/>
      <c r="AF472" s="328"/>
      <c r="AG472" s="328"/>
      <c r="AH472" s="328"/>
      <c r="AI472" s="328"/>
      <c r="AJ472" s="328"/>
      <c r="AK472" s="328"/>
      <c r="AL472" s="328"/>
    </row>
    <row r="473" customFormat="false" ht="15" hidden="false" customHeight="false" outlineLevel="0" collapsed="false">
      <c r="A473" s="319" t="s">
        <v>74</v>
      </c>
      <c r="B473" s="202" t="s">
        <v>28</v>
      </c>
      <c r="C473" s="204" t="n">
        <v>0.2</v>
      </c>
      <c r="F473" s="328"/>
      <c r="G473" s="328"/>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c r="AD473" s="328"/>
      <c r="AE473" s="328"/>
      <c r="AF473" s="328"/>
      <c r="AG473" s="328"/>
      <c r="AH473" s="328"/>
      <c r="AI473" s="328"/>
      <c r="AJ473" s="328"/>
      <c r="AK473" s="328"/>
      <c r="AL473" s="328"/>
    </row>
    <row r="474" customFormat="false" ht="15" hidden="false" customHeight="false" outlineLevel="0" collapsed="false">
      <c r="A474" s="319" t="s">
        <v>80</v>
      </c>
      <c r="B474" s="202" t="s">
        <v>28</v>
      </c>
      <c r="C474" s="204" t="n">
        <v>2020</v>
      </c>
      <c r="F474" s="328"/>
      <c r="G474" s="328"/>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c r="AD474" s="328"/>
      <c r="AE474" s="328"/>
      <c r="AF474" s="328"/>
      <c r="AG474" s="328"/>
      <c r="AH474" s="328"/>
      <c r="AI474" s="328"/>
      <c r="AJ474" s="328"/>
      <c r="AK474" s="328"/>
      <c r="AL474" s="328"/>
    </row>
    <row r="475" customFormat="false" ht="15" hidden="false" customHeight="false" outlineLevel="0" collapsed="false">
      <c r="A475" s="326" t="s">
        <v>83</v>
      </c>
      <c r="B475" s="205" t="s">
        <v>28</v>
      </c>
      <c r="C475" s="244" t="n">
        <v>2050</v>
      </c>
      <c r="F475" s="328"/>
      <c r="G475" s="328"/>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c r="AD475" s="328"/>
      <c r="AE475" s="328"/>
      <c r="AF475" s="328"/>
      <c r="AG475" s="328"/>
      <c r="AH475" s="328"/>
      <c r="AI475" s="328"/>
      <c r="AJ475" s="328"/>
      <c r="AK475" s="328"/>
      <c r="AL475" s="328"/>
    </row>
    <row r="478" customFormat="false" ht="17.35" hidden="false" customHeight="false" outlineLevel="0" collapsed="false">
      <c r="A478" s="334" t="s">
        <v>86</v>
      </c>
      <c r="B478" s="334"/>
      <c r="C478" s="334"/>
    </row>
    <row r="479" customFormat="false" ht="15" hidden="false" customHeight="false" outlineLevel="0" collapsed="false">
      <c r="A479" s="319" t="s">
        <v>89</v>
      </c>
      <c r="B479" s="202" t="s">
        <v>28</v>
      </c>
      <c r="C479" s="311" t="n">
        <v>0.5</v>
      </c>
    </row>
    <row r="480" customFormat="false" ht="15" hidden="false" customHeight="false" outlineLevel="0" collapsed="false">
      <c r="A480" s="319" t="s">
        <v>92</v>
      </c>
      <c r="B480" s="202" t="s">
        <v>28</v>
      </c>
      <c r="C480" s="311" t="n">
        <v>0.5</v>
      </c>
    </row>
    <row r="481" customFormat="false" ht="15" hidden="false" customHeight="false" outlineLevel="0" collapsed="false">
      <c r="A481" s="319" t="s">
        <v>93</v>
      </c>
      <c r="B481" s="202" t="s">
        <v>28</v>
      </c>
      <c r="C481" s="311" t="n">
        <v>0.5</v>
      </c>
    </row>
    <row r="482" customFormat="false" ht="15" hidden="false" customHeight="false" outlineLevel="0" collapsed="false">
      <c r="A482" s="326" t="s">
        <v>118</v>
      </c>
      <c r="B482" s="205" t="s">
        <v>28</v>
      </c>
      <c r="C482" s="337" t="n">
        <v>0.5</v>
      </c>
    </row>
    <row r="484" customFormat="false" ht="15.75" hidden="false" customHeight="true" outlineLevel="0" collapsed="false">
      <c r="A484" s="334" t="s">
        <v>689</v>
      </c>
      <c r="B484" s="334"/>
      <c r="C484" s="338" t="s">
        <v>580</v>
      </c>
      <c r="D484" s="339" t="s">
        <v>690</v>
      </c>
      <c r="E484" s="339" t="s">
        <v>691</v>
      </c>
      <c r="F484" s="339" t="s">
        <v>692</v>
      </c>
      <c r="G484" s="339" t="s">
        <v>693</v>
      </c>
      <c r="H484" s="339" t="s">
        <v>694</v>
      </c>
      <c r="I484" s="339" t="s">
        <v>695</v>
      </c>
      <c r="J484" s="339" t="s">
        <v>696</v>
      </c>
      <c r="K484" s="339" t="s">
        <v>354</v>
      </c>
      <c r="L484" s="339" t="s">
        <v>697</v>
      </c>
      <c r="M484" s="339" t="s">
        <v>698</v>
      </c>
      <c r="N484" s="339" t="s">
        <v>699</v>
      </c>
      <c r="O484" s="339" t="s">
        <v>700</v>
      </c>
      <c r="P484" s="339" t="s">
        <v>701</v>
      </c>
      <c r="Q484" s="340" t="s">
        <v>702</v>
      </c>
    </row>
    <row r="485" customFormat="false" ht="15" hidden="false" customHeight="false" outlineLevel="0" collapsed="false">
      <c r="A485" s="319" t="s">
        <v>703</v>
      </c>
      <c r="B485" s="341" t="s">
        <v>374</v>
      </c>
      <c r="C485" s="204" t="s">
        <v>704</v>
      </c>
      <c r="D485" s="204" t="s">
        <v>704</v>
      </c>
      <c r="E485" s="204" t="s">
        <v>704</v>
      </c>
      <c r="F485" s="204" t="s">
        <v>704</v>
      </c>
      <c r="G485" s="204" t="s">
        <v>704</v>
      </c>
      <c r="H485" s="204" t="s">
        <v>704</v>
      </c>
      <c r="I485" s="204" t="s">
        <v>704</v>
      </c>
      <c r="J485" s="204" t="s">
        <v>704</v>
      </c>
      <c r="K485" s="204" t="s">
        <v>704</v>
      </c>
      <c r="L485" s="204" t="s">
        <v>704</v>
      </c>
      <c r="M485" s="204" t="s">
        <v>704</v>
      </c>
      <c r="N485" s="204" t="s">
        <v>704</v>
      </c>
      <c r="O485" s="204" t="s">
        <v>704</v>
      </c>
      <c r="P485" s="204" t="s">
        <v>704</v>
      </c>
      <c r="Q485" s="204" t="s">
        <v>704</v>
      </c>
    </row>
    <row r="486" customFormat="false" ht="15" hidden="false" customHeight="false" outlineLevel="0" collapsed="false">
      <c r="A486" s="319" t="s">
        <v>705</v>
      </c>
      <c r="B486" s="341"/>
      <c r="C486" s="204" t="s">
        <v>704</v>
      </c>
      <c r="D486" s="204" t="s">
        <v>704</v>
      </c>
      <c r="E486" s="204" t="s">
        <v>704</v>
      </c>
      <c r="F486" s="204" t="s">
        <v>704</v>
      </c>
      <c r="G486" s="204" t="s">
        <v>704</v>
      </c>
      <c r="H486" s="204" t="s">
        <v>704</v>
      </c>
      <c r="I486" s="204" t="s">
        <v>704</v>
      </c>
      <c r="J486" s="204" t="s">
        <v>704</v>
      </c>
      <c r="K486" s="204" t="s">
        <v>704</v>
      </c>
      <c r="L486" s="204" t="s">
        <v>704</v>
      </c>
      <c r="M486" s="204" t="s">
        <v>704</v>
      </c>
      <c r="N486" s="204" t="s">
        <v>704</v>
      </c>
      <c r="O486" s="204" t="s">
        <v>704</v>
      </c>
      <c r="P486" s="204" t="s">
        <v>704</v>
      </c>
      <c r="Q486" s="204" t="s">
        <v>704</v>
      </c>
    </row>
    <row r="487" customFormat="false" ht="15" hidden="false" customHeight="false" outlineLevel="0" collapsed="false">
      <c r="A487" s="319" t="s">
        <v>706</v>
      </c>
      <c r="B487" s="341"/>
      <c r="C487" s="204" t="s">
        <v>704</v>
      </c>
      <c r="D487" s="204" t="s">
        <v>704</v>
      </c>
      <c r="E487" s="204" t="s">
        <v>704</v>
      </c>
      <c r="F487" s="204" t="s">
        <v>704</v>
      </c>
      <c r="G487" s="204" t="s">
        <v>704</v>
      </c>
      <c r="H487" s="204" t="s">
        <v>704</v>
      </c>
      <c r="I487" s="204" t="s">
        <v>704</v>
      </c>
      <c r="J487" s="204" t="s">
        <v>704</v>
      </c>
      <c r="K487" s="204" t="s">
        <v>704</v>
      </c>
      <c r="L487" s="204" t="s">
        <v>704</v>
      </c>
      <c r="M487" s="204" t="s">
        <v>704</v>
      </c>
      <c r="N487" s="204" t="s">
        <v>704</v>
      </c>
      <c r="O487" s="204" t="s">
        <v>704</v>
      </c>
      <c r="P487" s="204" t="s">
        <v>704</v>
      </c>
      <c r="Q487" s="204" t="s">
        <v>704</v>
      </c>
    </row>
    <row r="488" customFormat="false" ht="15" hidden="false" customHeight="false" outlineLevel="0" collapsed="false">
      <c r="A488" s="319" t="s">
        <v>707</v>
      </c>
      <c r="B488" s="341"/>
      <c r="C488" s="204" t="s">
        <v>704</v>
      </c>
      <c r="D488" s="204" t="s">
        <v>704</v>
      </c>
      <c r="E488" s="204" t="s">
        <v>704</v>
      </c>
      <c r="F488" s="204" t="s">
        <v>704</v>
      </c>
      <c r="G488" s="204" t="s">
        <v>704</v>
      </c>
      <c r="H488" s="204" t="s">
        <v>704</v>
      </c>
      <c r="I488" s="204" t="s">
        <v>704</v>
      </c>
      <c r="J488" s="204" t="s">
        <v>704</v>
      </c>
      <c r="K488" s="204" t="s">
        <v>704</v>
      </c>
      <c r="L488" s="204" t="s">
        <v>704</v>
      </c>
      <c r="M488" s="204" t="s">
        <v>704</v>
      </c>
      <c r="N488" s="204" t="s">
        <v>704</v>
      </c>
      <c r="O488" s="204" t="s">
        <v>704</v>
      </c>
      <c r="P488" s="204" t="s">
        <v>704</v>
      </c>
      <c r="Q488" s="204" t="s">
        <v>704</v>
      </c>
    </row>
    <row r="489" customFormat="false" ht="15" hidden="false" customHeight="false" outlineLevel="0" collapsed="false">
      <c r="A489" s="319" t="s">
        <v>708</v>
      </c>
      <c r="B489" s="341"/>
      <c r="C489" s="204" t="s">
        <v>704</v>
      </c>
      <c r="D489" s="204" t="s">
        <v>704</v>
      </c>
      <c r="E489" s="204" t="s">
        <v>704</v>
      </c>
      <c r="F489" s="204" t="s">
        <v>704</v>
      </c>
      <c r="G489" s="204" t="s">
        <v>704</v>
      </c>
      <c r="H489" s="204" t="s">
        <v>704</v>
      </c>
      <c r="I489" s="204" t="s">
        <v>704</v>
      </c>
      <c r="J489" s="204" t="s">
        <v>704</v>
      </c>
      <c r="K489" s="204" t="s">
        <v>704</v>
      </c>
      <c r="L489" s="204" t="s">
        <v>704</v>
      </c>
      <c r="M489" s="204" t="s">
        <v>704</v>
      </c>
      <c r="N489" s="204" t="s">
        <v>704</v>
      </c>
      <c r="O489" s="204" t="s">
        <v>704</v>
      </c>
      <c r="P489" s="204" t="s">
        <v>704</v>
      </c>
      <c r="Q489" s="204" t="s">
        <v>704</v>
      </c>
    </row>
    <row r="490" customFormat="false" ht="15" hidden="false" customHeight="false" outlineLevel="0" collapsed="false">
      <c r="A490" s="319" t="s">
        <v>703</v>
      </c>
      <c r="B490" s="341" t="s">
        <v>375</v>
      </c>
      <c r="C490" s="204" t="s">
        <v>704</v>
      </c>
      <c r="D490" s="204" t="s">
        <v>704</v>
      </c>
      <c r="E490" s="204" t="s">
        <v>704</v>
      </c>
      <c r="F490" s="204" t="s">
        <v>704</v>
      </c>
      <c r="G490" s="204" t="s">
        <v>704</v>
      </c>
      <c r="H490" s="204" t="s">
        <v>704</v>
      </c>
      <c r="I490" s="204" t="s">
        <v>704</v>
      </c>
      <c r="J490" s="204" t="s">
        <v>704</v>
      </c>
      <c r="K490" s="204" t="s">
        <v>704</v>
      </c>
      <c r="L490" s="204" t="s">
        <v>704</v>
      </c>
      <c r="M490" s="204" t="s">
        <v>704</v>
      </c>
      <c r="N490" s="204" t="s">
        <v>704</v>
      </c>
      <c r="O490" s="204" t="s">
        <v>704</v>
      </c>
      <c r="P490" s="204" t="s">
        <v>704</v>
      </c>
      <c r="Q490" s="204" t="s">
        <v>704</v>
      </c>
    </row>
    <row r="491" customFormat="false" ht="15" hidden="false" customHeight="false" outlineLevel="0" collapsed="false">
      <c r="A491" s="319" t="s">
        <v>705</v>
      </c>
      <c r="B491" s="341"/>
      <c r="C491" s="204" t="s">
        <v>704</v>
      </c>
      <c r="D491" s="204" t="s">
        <v>704</v>
      </c>
      <c r="E491" s="204" t="s">
        <v>704</v>
      </c>
      <c r="F491" s="204" t="s">
        <v>704</v>
      </c>
      <c r="G491" s="204" t="s">
        <v>704</v>
      </c>
      <c r="H491" s="204" t="s">
        <v>704</v>
      </c>
      <c r="I491" s="204" t="s">
        <v>704</v>
      </c>
      <c r="J491" s="204" t="s">
        <v>704</v>
      </c>
      <c r="K491" s="204" t="s">
        <v>704</v>
      </c>
      <c r="L491" s="204" t="s">
        <v>704</v>
      </c>
      <c r="M491" s="204" t="s">
        <v>704</v>
      </c>
      <c r="N491" s="204" t="s">
        <v>704</v>
      </c>
      <c r="O491" s="204" t="s">
        <v>704</v>
      </c>
      <c r="P491" s="204" t="s">
        <v>704</v>
      </c>
      <c r="Q491" s="204" t="s">
        <v>704</v>
      </c>
    </row>
    <row r="492" customFormat="false" ht="15" hidden="false" customHeight="false" outlineLevel="0" collapsed="false">
      <c r="A492" s="319" t="s">
        <v>706</v>
      </c>
      <c r="B492" s="341"/>
      <c r="C492" s="204" t="s">
        <v>704</v>
      </c>
      <c r="D492" s="204" t="s">
        <v>704</v>
      </c>
      <c r="E492" s="204" t="s">
        <v>704</v>
      </c>
      <c r="F492" s="204" t="s">
        <v>704</v>
      </c>
      <c r="G492" s="204" t="s">
        <v>704</v>
      </c>
      <c r="H492" s="204" t="s">
        <v>704</v>
      </c>
      <c r="I492" s="204" t="s">
        <v>704</v>
      </c>
      <c r="J492" s="204" t="s">
        <v>704</v>
      </c>
      <c r="K492" s="204" t="s">
        <v>704</v>
      </c>
      <c r="L492" s="204" t="s">
        <v>704</v>
      </c>
      <c r="M492" s="204" t="s">
        <v>704</v>
      </c>
      <c r="N492" s="204" t="s">
        <v>704</v>
      </c>
      <c r="O492" s="204" t="s">
        <v>704</v>
      </c>
      <c r="P492" s="204" t="s">
        <v>704</v>
      </c>
      <c r="Q492" s="204" t="s">
        <v>704</v>
      </c>
    </row>
    <row r="493" customFormat="false" ht="15" hidden="false" customHeight="false" outlineLevel="0" collapsed="false">
      <c r="A493" s="319" t="s">
        <v>707</v>
      </c>
      <c r="B493" s="341"/>
      <c r="C493" s="204" t="s">
        <v>704</v>
      </c>
      <c r="D493" s="204" t="s">
        <v>704</v>
      </c>
      <c r="E493" s="204" t="s">
        <v>704</v>
      </c>
      <c r="F493" s="204" t="s">
        <v>704</v>
      </c>
      <c r="G493" s="204" t="s">
        <v>704</v>
      </c>
      <c r="H493" s="204" t="s">
        <v>704</v>
      </c>
      <c r="I493" s="204" t="s">
        <v>704</v>
      </c>
      <c r="J493" s="204" t="s">
        <v>704</v>
      </c>
      <c r="K493" s="204" t="s">
        <v>704</v>
      </c>
      <c r="L493" s="204" t="s">
        <v>704</v>
      </c>
      <c r="M493" s="204" t="s">
        <v>704</v>
      </c>
      <c r="N493" s="204" t="s">
        <v>704</v>
      </c>
      <c r="O493" s="204" t="s">
        <v>704</v>
      </c>
      <c r="P493" s="204" t="s">
        <v>704</v>
      </c>
      <c r="Q493" s="204" t="s">
        <v>704</v>
      </c>
    </row>
    <row r="494" customFormat="false" ht="15" hidden="false" customHeight="false" outlineLevel="0" collapsed="false">
      <c r="A494" s="319" t="s">
        <v>708</v>
      </c>
      <c r="B494" s="341"/>
      <c r="C494" s="204" t="s">
        <v>704</v>
      </c>
      <c r="D494" s="204" t="s">
        <v>704</v>
      </c>
      <c r="E494" s="204" t="s">
        <v>704</v>
      </c>
      <c r="F494" s="204" t="s">
        <v>704</v>
      </c>
      <c r="G494" s="204" t="s">
        <v>704</v>
      </c>
      <c r="H494" s="204" t="s">
        <v>704</v>
      </c>
      <c r="I494" s="204" t="s">
        <v>704</v>
      </c>
      <c r="J494" s="204" t="s">
        <v>704</v>
      </c>
      <c r="K494" s="204" t="s">
        <v>704</v>
      </c>
      <c r="L494" s="204" t="s">
        <v>704</v>
      </c>
      <c r="M494" s="204" t="s">
        <v>704</v>
      </c>
      <c r="N494" s="204" t="s">
        <v>704</v>
      </c>
      <c r="O494" s="204" t="s">
        <v>704</v>
      </c>
      <c r="P494" s="204" t="s">
        <v>704</v>
      </c>
      <c r="Q494" s="204" t="s">
        <v>704</v>
      </c>
    </row>
    <row r="495" customFormat="false" ht="15" hidden="false" customHeight="false" outlineLevel="0" collapsed="false">
      <c r="A495" s="319" t="s">
        <v>709</v>
      </c>
      <c r="B495" s="341" t="s">
        <v>376</v>
      </c>
      <c r="C495" s="204" t="s">
        <v>704</v>
      </c>
      <c r="D495" s="204" t="s">
        <v>704</v>
      </c>
      <c r="E495" s="204" t="s">
        <v>704</v>
      </c>
      <c r="F495" s="204" t="s">
        <v>704</v>
      </c>
      <c r="G495" s="204" t="s">
        <v>704</v>
      </c>
      <c r="H495" s="204" t="s">
        <v>704</v>
      </c>
      <c r="I495" s="204" t="s">
        <v>704</v>
      </c>
      <c r="J495" s="204" t="s">
        <v>704</v>
      </c>
      <c r="K495" s="204" t="s">
        <v>704</v>
      </c>
      <c r="L495" s="204" t="s">
        <v>704</v>
      </c>
      <c r="M495" s="204" t="s">
        <v>704</v>
      </c>
      <c r="N495" s="204" t="s">
        <v>704</v>
      </c>
      <c r="O495" s="204" t="s">
        <v>704</v>
      </c>
      <c r="P495" s="204" t="s">
        <v>704</v>
      </c>
      <c r="Q495" s="204" t="s">
        <v>704</v>
      </c>
    </row>
    <row r="496" customFormat="false" ht="15" hidden="false" customHeight="false" outlineLevel="0" collapsed="false">
      <c r="A496" s="319" t="s">
        <v>705</v>
      </c>
      <c r="B496" s="341"/>
      <c r="C496" s="204" t="s">
        <v>704</v>
      </c>
      <c r="D496" s="204" t="s">
        <v>704</v>
      </c>
      <c r="E496" s="204" t="s">
        <v>704</v>
      </c>
      <c r="F496" s="204" t="s">
        <v>704</v>
      </c>
      <c r="G496" s="204" t="s">
        <v>704</v>
      </c>
      <c r="H496" s="204" t="s">
        <v>704</v>
      </c>
      <c r="I496" s="204" t="s">
        <v>704</v>
      </c>
      <c r="J496" s="204" t="s">
        <v>704</v>
      </c>
      <c r="K496" s="204" t="s">
        <v>704</v>
      </c>
      <c r="L496" s="204" t="s">
        <v>704</v>
      </c>
      <c r="M496" s="204" t="s">
        <v>704</v>
      </c>
      <c r="N496" s="204" t="s">
        <v>704</v>
      </c>
      <c r="O496" s="204" t="s">
        <v>704</v>
      </c>
      <c r="P496" s="204" t="s">
        <v>704</v>
      </c>
      <c r="Q496" s="204" t="s">
        <v>704</v>
      </c>
    </row>
    <row r="497" customFormat="false" ht="15" hidden="false" customHeight="false" outlineLevel="0" collapsed="false">
      <c r="A497" s="319" t="s">
        <v>706</v>
      </c>
      <c r="B497" s="341"/>
      <c r="C497" s="204" t="s">
        <v>704</v>
      </c>
      <c r="D497" s="204" t="s">
        <v>704</v>
      </c>
      <c r="E497" s="204" t="s">
        <v>704</v>
      </c>
      <c r="F497" s="204" t="s">
        <v>704</v>
      </c>
      <c r="G497" s="204" t="s">
        <v>704</v>
      </c>
      <c r="H497" s="204" t="s">
        <v>704</v>
      </c>
      <c r="I497" s="204" t="s">
        <v>704</v>
      </c>
      <c r="J497" s="204" t="s">
        <v>704</v>
      </c>
      <c r="K497" s="204" t="s">
        <v>704</v>
      </c>
      <c r="L497" s="204" t="s">
        <v>704</v>
      </c>
      <c r="M497" s="204" t="s">
        <v>704</v>
      </c>
      <c r="N497" s="204" t="s">
        <v>704</v>
      </c>
      <c r="O497" s="204" t="s">
        <v>704</v>
      </c>
      <c r="P497" s="204" t="s">
        <v>704</v>
      </c>
      <c r="Q497" s="204" t="s">
        <v>704</v>
      </c>
    </row>
    <row r="498" customFormat="false" ht="15" hidden="false" customHeight="false" outlineLevel="0" collapsed="false">
      <c r="A498" s="319" t="s">
        <v>707</v>
      </c>
      <c r="B498" s="341"/>
      <c r="C498" s="204" t="s">
        <v>704</v>
      </c>
      <c r="D498" s="204" t="s">
        <v>704</v>
      </c>
      <c r="E498" s="204" t="s">
        <v>704</v>
      </c>
      <c r="F498" s="204" t="s">
        <v>704</v>
      </c>
      <c r="G498" s="204" t="s">
        <v>704</v>
      </c>
      <c r="H498" s="204" t="s">
        <v>704</v>
      </c>
      <c r="I498" s="204" t="s">
        <v>704</v>
      </c>
      <c r="J498" s="204" t="s">
        <v>704</v>
      </c>
      <c r="K498" s="204" t="s">
        <v>704</v>
      </c>
      <c r="L498" s="204" t="s">
        <v>704</v>
      </c>
      <c r="M498" s="204" t="s">
        <v>704</v>
      </c>
      <c r="N498" s="204" t="s">
        <v>704</v>
      </c>
      <c r="O498" s="204" t="s">
        <v>704</v>
      </c>
      <c r="P498" s="204" t="s">
        <v>704</v>
      </c>
      <c r="Q498" s="204" t="s">
        <v>704</v>
      </c>
    </row>
    <row r="499" customFormat="false" ht="15" hidden="false" customHeight="false" outlineLevel="0" collapsed="false">
      <c r="A499" s="319" t="s">
        <v>708</v>
      </c>
      <c r="B499" s="341"/>
      <c r="C499" s="204" t="s">
        <v>704</v>
      </c>
      <c r="D499" s="204" t="s">
        <v>704</v>
      </c>
      <c r="E499" s="204" t="s">
        <v>704</v>
      </c>
      <c r="F499" s="204" t="s">
        <v>704</v>
      </c>
      <c r="G499" s="204" t="s">
        <v>704</v>
      </c>
      <c r="H499" s="204" t="s">
        <v>704</v>
      </c>
      <c r="I499" s="204" t="s">
        <v>704</v>
      </c>
      <c r="J499" s="204" t="s">
        <v>704</v>
      </c>
      <c r="K499" s="204" t="s">
        <v>704</v>
      </c>
      <c r="L499" s="204" t="s">
        <v>704</v>
      </c>
      <c r="M499" s="204" t="s">
        <v>704</v>
      </c>
      <c r="N499" s="204" t="s">
        <v>704</v>
      </c>
      <c r="O499" s="204" t="s">
        <v>704</v>
      </c>
      <c r="P499" s="204" t="s">
        <v>704</v>
      </c>
      <c r="Q499" s="204" t="s">
        <v>704</v>
      </c>
    </row>
    <row r="500" customFormat="false" ht="15" hidden="false" customHeight="false" outlineLevel="0" collapsed="false">
      <c r="A500" s="319" t="s">
        <v>703</v>
      </c>
      <c r="B500" s="341" t="s">
        <v>377</v>
      </c>
      <c r="C500" s="204" t="s">
        <v>704</v>
      </c>
      <c r="D500" s="204" t="s">
        <v>704</v>
      </c>
      <c r="E500" s="204" t="s">
        <v>704</v>
      </c>
      <c r="F500" s="204" t="s">
        <v>704</v>
      </c>
      <c r="G500" s="204" t="s">
        <v>704</v>
      </c>
      <c r="H500" s="204" t="s">
        <v>704</v>
      </c>
      <c r="I500" s="204" t="s">
        <v>704</v>
      </c>
      <c r="J500" s="204" t="s">
        <v>704</v>
      </c>
      <c r="K500" s="204" t="s">
        <v>704</v>
      </c>
      <c r="L500" s="204" t="s">
        <v>704</v>
      </c>
      <c r="M500" s="204" t="s">
        <v>704</v>
      </c>
      <c r="N500" s="204" t="s">
        <v>704</v>
      </c>
      <c r="O500" s="204" t="s">
        <v>704</v>
      </c>
      <c r="P500" s="204" t="s">
        <v>704</v>
      </c>
      <c r="Q500" s="204" t="s">
        <v>704</v>
      </c>
    </row>
    <row r="501" customFormat="false" ht="15" hidden="false" customHeight="false" outlineLevel="0" collapsed="false">
      <c r="A501" s="319" t="s">
        <v>705</v>
      </c>
      <c r="B501" s="341"/>
      <c r="C501" s="204" t="s">
        <v>704</v>
      </c>
      <c r="D501" s="204" t="s">
        <v>704</v>
      </c>
      <c r="E501" s="204" t="s">
        <v>704</v>
      </c>
      <c r="F501" s="204" t="s">
        <v>704</v>
      </c>
      <c r="G501" s="204" t="s">
        <v>704</v>
      </c>
      <c r="H501" s="204" t="s">
        <v>704</v>
      </c>
      <c r="I501" s="204" t="s">
        <v>704</v>
      </c>
      <c r="J501" s="204" t="s">
        <v>704</v>
      </c>
      <c r="K501" s="204" t="s">
        <v>704</v>
      </c>
      <c r="L501" s="204" t="s">
        <v>704</v>
      </c>
      <c r="M501" s="204" t="s">
        <v>704</v>
      </c>
      <c r="N501" s="204" t="s">
        <v>704</v>
      </c>
      <c r="O501" s="204" t="s">
        <v>704</v>
      </c>
      <c r="P501" s="204" t="s">
        <v>704</v>
      </c>
      <c r="Q501" s="204" t="s">
        <v>704</v>
      </c>
    </row>
    <row r="502" customFormat="false" ht="15" hidden="false" customHeight="false" outlineLevel="0" collapsed="false">
      <c r="A502" s="319" t="s">
        <v>706</v>
      </c>
      <c r="B502" s="341"/>
      <c r="C502" s="204" t="s">
        <v>704</v>
      </c>
      <c r="D502" s="204" t="s">
        <v>704</v>
      </c>
      <c r="E502" s="204" t="s">
        <v>704</v>
      </c>
      <c r="F502" s="204" t="s">
        <v>704</v>
      </c>
      <c r="G502" s="204" t="s">
        <v>704</v>
      </c>
      <c r="H502" s="204" t="s">
        <v>704</v>
      </c>
      <c r="I502" s="204" t="s">
        <v>704</v>
      </c>
      <c r="J502" s="204" t="s">
        <v>704</v>
      </c>
      <c r="K502" s="204" t="s">
        <v>704</v>
      </c>
      <c r="L502" s="204" t="s">
        <v>704</v>
      </c>
      <c r="M502" s="204" t="s">
        <v>704</v>
      </c>
      <c r="N502" s="204" t="s">
        <v>704</v>
      </c>
      <c r="O502" s="204" t="s">
        <v>704</v>
      </c>
      <c r="P502" s="204" t="s">
        <v>704</v>
      </c>
      <c r="Q502" s="204" t="s">
        <v>704</v>
      </c>
    </row>
    <row r="503" customFormat="false" ht="15" hidden="false" customHeight="false" outlineLevel="0" collapsed="false">
      <c r="A503" s="319" t="s">
        <v>707</v>
      </c>
      <c r="B503" s="341"/>
      <c r="C503" s="204" t="s">
        <v>704</v>
      </c>
      <c r="D503" s="204" t="s">
        <v>704</v>
      </c>
      <c r="E503" s="204" t="s">
        <v>704</v>
      </c>
      <c r="F503" s="204" t="s">
        <v>704</v>
      </c>
      <c r="G503" s="204" t="s">
        <v>704</v>
      </c>
      <c r="H503" s="204" t="s">
        <v>704</v>
      </c>
      <c r="I503" s="204" t="s">
        <v>704</v>
      </c>
      <c r="J503" s="204" t="s">
        <v>704</v>
      </c>
      <c r="K503" s="204" t="s">
        <v>704</v>
      </c>
      <c r="L503" s="204" t="s">
        <v>704</v>
      </c>
      <c r="M503" s="204" t="s">
        <v>704</v>
      </c>
      <c r="N503" s="204" t="s">
        <v>704</v>
      </c>
      <c r="O503" s="204" t="s">
        <v>704</v>
      </c>
      <c r="P503" s="204" t="s">
        <v>704</v>
      </c>
      <c r="Q503" s="204" t="s">
        <v>704</v>
      </c>
    </row>
    <row r="504" customFormat="false" ht="15" hidden="false" customHeight="false" outlineLevel="0" collapsed="false">
      <c r="A504" s="319" t="s">
        <v>708</v>
      </c>
      <c r="B504" s="341"/>
      <c r="C504" s="204" t="s">
        <v>704</v>
      </c>
      <c r="D504" s="204" t="s">
        <v>704</v>
      </c>
      <c r="E504" s="204" t="s">
        <v>704</v>
      </c>
      <c r="F504" s="204" t="s">
        <v>704</v>
      </c>
      <c r="G504" s="204" t="s">
        <v>704</v>
      </c>
      <c r="H504" s="204" t="s">
        <v>704</v>
      </c>
      <c r="I504" s="204" t="s">
        <v>704</v>
      </c>
      <c r="J504" s="204" t="s">
        <v>704</v>
      </c>
      <c r="K504" s="204" t="s">
        <v>704</v>
      </c>
      <c r="L504" s="204" t="s">
        <v>704</v>
      </c>
      <c r="M504" s="204" t="s">
        <v>704</v>
      </c>
      <c r="N504" s="204" t="s">
        <v>704</v>
      </c>
      <c r="O504" s="204" t="s">
        <v>704</v>
      </c>
      <c r="P504" s="204" t="s">
        <v>704</v>
      </c>
      <c r="Q504" s="204" t="s">
        <v>704</v>
      </c>
    </row>
    <row r="505" customFormat="false" ht="15" hidden="false" customHeight="false" outlineLevel="0" collapsed="false">
      <c r="A505" s="319" t="s">
        <v>703</v>
      </c>
      <c r="B505" s="341" t="s">
        <v>378</v>
      </c>
      <c r="C505" s="204" t="s">
        <v>704</v>
      </c>
      <c r="D505" s="204" t="s">
        <v>704</v>
      </c>
      <c r="E505" s="204" t="s">
        <v>704</v>
      </c>
      <c r="F505" s="204" t="s">
        <v>704</v>
      </c>
      <c r="G505" s="204" t="s">
        <v>704</v>
      </c>
      <c r="H505" s="204" t="s">
        <v>704</v>
      </c>
      <c r="I505" s="204" t="s">
        <v>704</v>
      </c>
      <c r="J505" s="204" t="s">
        <v>704</v>
      </c>
      <c r="K505" s="204" t="s">
        <v>704</v>
      </c>
      <c r="L505" s="204" t="s">
        <v>704</v>
      </c>
      <c r="M505" s="204" t="s">
        <v>704</v>
      </c>
      <c r="N505" s="204" t="s">
        <v>704</v>
      </c>
      <c r="O505" s="204" t="s">
        <v>704</v>
      </c>
      <c r="P505" s="204" t="s">
        <v>704</v>
      </c>
      <c r="Q505" s="204" t="s">
        <v>704</v>
      </c>
    </row>
    <row r="506" customFormat="false" ht="15" hidden="false" customHeight="false" outlineLevel="0" collapsed="false">
      <c r="A506" s="319" t="s">
        <v>705</v>
      </c>
      <c r="B506" s="341"/>
      <c r="C506" s="204" t="s">
        <v>704</v>
      </c>
      <c r="D506" s="204" t="s">
        <v>704</v>
      </c>
      <c r="E506" s="204" t="s">
        <v>704</v>
      </c>
      <c r="F506" s="204" t="s">
        <v>704</v>
      </c>
      <c r="G506" s="204" t="s">
        <v>704</v>
      </c>
      <c r="H506" s="204" t="s">
        <v>704</v>
      </c>
      <c r="I506" s="204" t="s">
        <v>704</v>
      </c>
      <c r="J506" s="204" t="s">
        <v>704</v>
      </c>
      <c r="K506" s="204" t="s">
        <v>704</v>
      </c>
      <c r="L506" s="204" t="s">
        <v>704</v>
      </c>
      <c r="M506" s="204" t="s">
        <v>704</v>
      </c>
      <c r="N506" s="204" t="s">
        <v>704</v>
      </c>
      <c r="O506" s="204" t="s">
        <v>704</v>
      </c>
      <c r="P506" s="204" t="s">
        <v>704</v>
      </c>
      <c r="Q506" s="204" t="s">
        <v>704</v>
      </c>
    </row>
    <row r="507" customFormat="false" ht="15" hidden="false" customHeight="false" outlineLevel="0" collapsed="false">
      <c r="A507" s="319" t="s">
        <v>706</v>
      </c>
      <c r="B507" s="341"/>
      <c r="C507" s="204" t="s">
        <v>704</v>
      </c>
      <c r="D507" s="204" t="s">
        <v>704</v>
      </c>
      <c r="E507" s="204" t="s">
        <v>704</v>
      </c>
      <c r="F507" s="204" t="s">
        <v>704</v>
      </c>
      <c r="G507" s="204" t="s">
        <v>704</v>
      </c>
      <c r="H507" s="204" t="s">
        <v>704</v>
      </c>
      <c r="I507" s="204" t="s">
        <v>704</v>
      </c>
      <c r="J507" s="204" t="s">
        <v>704</v>
      </c>
      <c r="K507" s="204" t="s">
        <v>704</v>
      </c>
      <c r="L507" s="204" t="s">
        <v>704</v>
      </c>
      <c r="M507" s="204" t="s">
        <v>704</v>
      </c>
      <c r="N507" s="204" t="s">
        <v>704</v>
      </c>
      <c r="O507" s="204" t="s">
        <v>704</v>
      </c>
      <c r="P507" s="204" t="s">
        <v>704</v>
      </c>
      <c r="Q507" s="204" t="s">
        <v>704</v>
      </c>
    </row>
    <row r="508" customFormat="false" ht="15" hidden="false" customHeight="false" outlineLevel="0" collapsed="false">
      <c r="A508" s="319" t="s">
        <v>707</v>
      </c>
      <c r="B508" s="341"/>
      <c r="C508" s="204" t="s">
        <v>704</v>
      </c>
      <c r="D508" s="204" t="s">
        <v>704</v>
      </c>
      <c r="E508" s="204" t="s">
        <v>704</v>
      </c>
      <c r="F508" s="204" t="s">
        <v>704</v>
      </c>
      <c r="G508" s="204" t="s">
        <v>704</v>
      </c>
      <c r="H508" s="204" t="s">
        <v>704</v>
      </c>
      <c r="I508" s="204" t="s">
        <v>704</v>
      </c>
      <c r="J508" s="204" t="s">
        <v>704</v>
      </c>
      <c r="K508" s="204" t="s">
        <v>704</v>
      </c>
      <c r="L508" s="204" t="s">
        <v>704</v>
      </c>
      <c r="M508" s="204" t="s">
        <v>704</v>
      </c>
      <c r="N508" s="204" t="s">
        <v>704</v>
      </c>
      <c r="O508" s="204" t="s">
        <v>704</v>
      </c>
      <c r="P508" s="204" t="s">
        <v>704</v>
      </c>
      <c r="Q508" s="204" t="s">
        <v>704</v>
      </c>
    </row>
    <row r="509" customFormat="false" ht="15" hidden="false" customHeight="false" outlineLevel="0" collapsed="false">
      <c r="A509" s="326" t="s">
        <v>708</v>
      </c>
      <c r="B509" s="341"/>
      <c r="C509" s="244" t="s">
        <v>704</v>
      </c>
      <c r="D509" s="244" t="s">
        <v>704</v>
      </c>
      <c r="E509" s="244" t="s">
        <v>704</v>
      </c>
      <c r="F509" s="244" t="s">
        <v>704</v>
      </c>
      <c r="G509" s="244" t="s">
        <v>704</v>
      </c>
      <c r="H509" s="244" t="s">
        <v>704</v>
      </c>
      <c r="I509" s="244" t="s">
        <v>704</v>
      </c>
      <c r="J509" s="244" t="s">
        <v>704</v>
      </c>
      <c r="K509" s="244" t="s">
        <v>704</v>
      </c>
      <c r="L509" s="244" t="s">
        <v>704</v>
      </c>
      <c r="M509" s="244" t="s">
        <v>704</v>
      </c>
      <c r="N509" s="244" t="s">
        <v>704</v>
      </c>
      <c r="O509" s="244" t="s">
        <v>704</v>
      </c>
      <c r="P509" s="244" t="s">
        <v>704</v>
      </c>
      <c r="Q509" s="244" t="s">
        <v>704</v>
      </c>
    </row>
  </sheetData>
  <mergeCells count="133">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7"/>
    <mergeCell ref="A128:A132"/>
    <mergeCell ref="A136:H136"/>
    <mergeCell ref="A138:A141"/>
    <mergeCell ref="A142:A145"/>
    <mergeCell ref="A146:A149"/>
    <mergeCell ref="A150:A153"/>
    <mergeCell ref="A154:A157"/>
    <mergeCell ref="A158:H158"/>
    <mergeCell ref="A160:A163"/>
    <mergeCell ref="A164:A167"/>
    <mergeCell ref="A168:A171"/>
    <mergeCell ref="A172:A175"/>
    <mergeCell ref="A176:A179"/>
    <mergeCell ref="A181:H181"/>
    <mergeCell ref="A183:A187"/>
    <mergeCell ref="A188:A192"/>
    <mergeCell ref="A193:A197"/>
    <mergeCell ref="A198:A202"/>
    <mergeCell ref="A205:E205"/>
    <mergeCell ref="A206:E206"/>
    <mergeCell ref="A208:A210"/>
    <mergeCell ref="C208:C210"/>
    <mergeCell ref="A212:C212"/>
    <mergeCell ref="A215:B215"/>
    <mergeCell ref="A216:B216"/>
    <mergeCell ref="A217:B217"/>
    <mergeCell ref="A218:B218"/>
    <mergeCell ref="A219:B219"/>
    <mergeCell ref="A220:B220"/>
    <mergeCell ref="A221:Q221"/>
    <mergeCell ref="A222:B222"/>
    <mergeCell ref="A223:B223"/>
    <mergeCell ref="A224:B224"/>
    <mergeCell ref="A225:B225"/>
    <mergeCell ref="A226:B226"/>
    <mergeCell ref="A227:Q227"/>
    <mergeCell ref="A228:B228"/>
    <mergeCell ref="A229:B229"/>
    <mergeCell ref="A230:B230"/>
    <mergeCell ref="A231:B231"/>
    <mergeCell ref="A232:B232"/>
    <mergeCell ref="A233:Q233"/>
    <mergeCell ref="A234:B234"/>
    <mergeCell ref="A235:B235"/>
    <mergeCell ref="A236:B236"/>
    <mergeCell ref="A237:B237"/>
    <mergeCell ref="A238:B238"/>
    <mergeCell ref="A239:Q239"/>
    <mergeCell ref="A240:B240"/>
    <mergeCell ref="A241:B241"/>
    <mergeCell ref="A242:B242"/>
    <mergeCell ref="A243:B243"/>
    <mergeCell ref="A244:B244"/>
    <mergeCell ref="A246:C246"/>
    <mergeCell ref="A247:A248"/>
    <mergeCell ref="C247:C248"/>
    <mergeCell ref="A251:Q251"/>
    <mergeCell ref="A252:B252"/>
    <mergeCell ref="A253:B253"/>
    <mergeCell ref="A254:B254"/>
    <mergeCell ref="A255:B255"/>
    <mergeCell ref="A256:B256"/>
    <mergeCell ref="A257:B257"/>
    <mergeCell ref="A258:C258"/>
    <mergeCell ref="A262:C262"/>
    <mergeCell ref="A264:A266"/>
    <mergeCell ref="C264:C266"/>
    <mergeCell ref="A268:A270"/>
    <mergeCell ref="C268:C270"/>
    <mergeCell ref="A275:D275"/>
    <mergeCell ref="A276:D276"/>
    <mergeCell ref="A277:C277"/>
    <mergeCell ref="C279:E279"/>
    <mergeCell ref="A281:A299"/>
    <mergeCell ref="A300:C300"/>
    <mergeCell ref="A306:C306"/>
    <mergeCell ref="A307:C307"/>
    <mergeCell ref="A309:C309"/>
    <mergeCell ref="A310:A313"/>
    <mergeCell ref="C310:C313"/>
    <mergeCell ref="A318:I318"/>
    <mergeCell ref="A421:I421"/>
    <mergeCell ref="A445:H445"/>
    <mergeCell ref="A447:H447"/>
    <mergeCell ref="A449:H449"/>
    <mergeCell ref="A451:H451"/>
    <mergeCell ref="A454:I454"/>
    <mergeCell ref="A462:C462"/>
    <mergeCell ref="A471:C471"/>
    <mergeCell ref="A478:C478"/>
    <mergeCell ref="A484:B484"/>
    <mergeCell ref="B485:B489"/>
    <mergeCell ref="B490:B494"/>
    <mergeCell ref="B495:B499"/>
    <mergeCell ref="B500:B504"/>
    <mergeCell ref="B505:B509"/>
  </mergeCells>
  <conditionalFormatting sqref="C253:AZ257">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Z509"/>
  <sheetViews>
    <sheetView showFormulas="false" showGridLines="true" showRowColHeaders="true" showZeros="true" rightToLeft="false" tabSelected="false" showOutlineSymbols="true" defaultGridColor="true" view="normal" topLeftCell="A9" colorId="64" zoomScale="85" zoomScaleNormal="85" zoomScalePageLayoutView="100" workbookViewId="0">
      <selection pane="topLeft" activeCell="A27" activeCellId="0" sqref="A27"/>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v>
      </c>
      <c r="N10" s="206"/>
      <c r="O10" s="206"/>
      <c r="P10" s="206"/>
      <c r="Q10" s="206"/>
      <c r="R10" s="206" t="n">
        <v>0.011</v>
      </c>
      <c r="S10" s="206"/>
      <c r="T10" s="206"/>
      <c r="U10" s="206"/>
      <c r="V10" s="206"/>
      <c r="W10" s="206" t="n">
        <v>0.011</v>
      </c>
      <c r="X10" s="206"/>
      <c r="Y10" s="206"/>
      <c r="Z10" s="206"/>
      <c r="AA10" s="206"/>
      <c r="AB10" s="206" t="n">
        <v>0.011</v>
      </c>
      <c r="AC10" s="206"/>
      <c r="AD10" s="206"/>
      <c r="AE10" s="206"/>
      <c r="AF10" s="206"/>
      <c r="AG10" s="206" t="n">
        <v>0.011</v>
      </c>
      <c r="AH10" s="206"/>
      <c r="AI10" s="206"/>
      <c r="AJ10" s="206"/>
      <c r="AK10" s="206"/>
      <c r="AL10" s="206" t="n">
        <v>0.011</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498</v>
      </c>
      <c r="B16" s="202" t="s">
        <v>499</v>
      </c>
      <c r="C16" s="212" t="n">
        <v>0.117609721833719</v>
      </c>
      <c r="D16" s="212" t="n">
        <v>0.126664781007908</v>
      </c>
      <c r="E16" s="212" t="n">
        <v>0.1268050283133</v>
      </c>
      <c r="F16" s="212" t="n">
        <v>0.135126859489025</v>
      </c>
      <c r="G16" s="212" t="n">
        <v>0.140282729162163</v>
      </c>
      <c r="H16" s="212" t="n">
        <v>0.146916832301251</v>
      </c>
      <c r="I16" s="213" t="n">
        <v>0.148630915135189</v>
      </c>
      <c r="J16" s="81"/>
      <c r="K16" s="160"/>
      <c r="L16" s="81"/>
    </row>
    <row r="17" customFormat="false" ht="1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5" hidden="false" customHeight="false" outlineLevel="0" collapsed="false">
      <c r="A18" s="211" t="s">
        <v>501</v>
      </c>
      <c r="B18" s="202" t="s">
        <v>499</v>
      </c>
      <c r="C18" s="212" t="n">
        <v>0.0374522</v>
      </c>
      <c r="D18" s="212" t="n">
        <v>0.043388</v>
      </c>
      <c r="E18" s="212" t="n">
        <v>0.06069115</v>
      </c>
      <c r="F18" s="214" t="n">
        <v>0.08975165</v>
      </c>
      <c r="G18" s="214" t="n">
        <v>0.12725</v>
      </c>
      <c r="H18" s="214" t="n">
        <v>0.1769065</v>
      </c>
      <c r="I18" s="213" t="n">
        <v>0.2118585</v>
      </c>
      <c r="J18" s="81"/>
      <c r="K18" s="81"/>
      <c r="L18" s="81"/>
    </row>
    <row r="19" customFormat="false" ht="15" hidden="false" customHeight="false" outlineLevel="0" collapsed="false">
      <c r="A19" s="211" t="s">
        <v>502</v>
      </c>
      <c r="B19" s="202" t="s">
        <v>499</v>
      </c>
      <c r="C19" s="212" t="n">
        <v>0.0008299085</v>
      </c>
      <c r="D19" s="212" t="n">
        <v>0.00444725</v>
      </c>
      <c r="E19" s="212" t="n">
        <v>0.014096475</v>
      </c>
      <c r="F19" s="214" t="n">
        <v>0.02532925</v>
      </c>
      <c r="G19" s="214" t="n">
        <v>0.03581605</v>
      </c>
      <c r="H19" s="214" t="n">
        <v>0.04635715</v>
      </c>
      <c r="I19" s="213" t="n">
        <v>0.05620975</v>
      </c>
      <c r="J19" s="160"/>
      <c r="K19" s="81"/>
      <c r="L19" s="81"/>
    </row>
    <row r="20" customFormat="false" ht="15" hidden="false" customHeight="false" outlineLevel="0" collapsed="false">
      <c r="A20" s="211" t="s">
        <v>503</v>
      </c>
      <c r="B20" s="202" t="s">
        <v>499</v>
      </c>
      <c r="C20" s="212" t="n">
        <v>0.146914125126844</v>
      </c>
      <c r="D20" s="212" t="n">
        <v>0.252394063397019</v>
      </c>
      <c r="E20" s="212" t="n">
        <v>0.359162426436101</v>
      </c>
      <c r="F20" s="214" t="n">
        <v>0.526015222710319</v>
      </c>
      <c r="G20" s="214" t="n">
        <v>0.6707412377823</v>
      </c>
      <c r="H20" s="214" t="n">
        <v>0.895000988463177</v>
      </c>
      <c r="I20" s="213" t="n">
        <v>1.01362210322222</v>
      </c>
    </row>
    <row r="21" customFormat="false" ht="15" hidden="false" customHeight="false" outlineLevel="0" collapsed="false">
      <c r="A21" s="211" t="s">
        <v>504</v>
      </c>
      <c r="B21" s="202" t="s">
        <v>499</v>
      </c>
      <c r="C21" s="212" t="n">
        <v>0.0121029772625668</v>
      </c>
      <c r="D21" s="212" t="n">
        <v>0.0294920972654814</v>
      </c>
      <c r="E21" s="212" t="n">
        <v>0.0638937271994091</v>
      </c>
      <c r="F21" s="214" t="n">
        <v>0.105000218961605</v>
      </c>
      <c r="G21" s="214" t="n">
        <v>0.186851022344914</v>
      </c>
      <c r="H21" s="214" t="n">
        <v>0.324965157175987</v>
      </c>
      <c r="I21" s="213" t="n">
        <v>0.362987208788995</v>
      </c>
      <c r="K21" s="81"/>
      <c r="L21" s="81"/>
    </row>
    <row r="22" customFormat="false" ht="15" hidden="false" customHeight="false" outlineLevel="0" collapsed="false">
      <c r="A22" s="211" t="s">
        <v>505</v>
      </c>
      <c r="B22" s="202" t="s">
        <v>499</v>
      </c>
      <c r="C22" s="212" t="n">
        <v>0.125671151626567</v>
      </c>
      <c r="D22" s="212" t="n">
        <v>0.243542844662369</v>
      </c>
      <c r="E22" s="212" t="n">
        <v>0.389285836686693</v>
      </c>
      <c r="F22" s="214" t="n">
        <v>0.545212013431527</v>
      </c>
      <c r="G22" s="214" t="n">
        <v>0.755351384766724</v>
      </c>
      <c r="H22" s="214" t="n">
        <v>0.97004701873674</v>
      </c>
      <c r="I22" s="213" t="n">
        <v>1.15086859750692</v>
      </c>
      <c r="K22" s="81"/>
      <c r="L22" s="81"/>
    </row>
    <row r="23" customFormat="false" ht="1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c r="B27" s="200"/>
      <c r="C27" s="200"/>
      <c r="D27" s="200"/>
      <c r="E27" s="200"/>
      <c r="F27" s="200"/>
      <c r="G27" s="200"/>
      <c r="H27" s="200"/>
      <c r="I27" s="200"/>
    </row>
    <row r="28" customFormat="false" ht="15" hidden="false" customHeight="false" outlineLevel="0" collapsed="false">
      <c r="A28" s="218" t="s">
        <v>510</v>
      </c>
      <c r="B28" s="219" t="s">
        <v>146</v>
      </c>
      <c r="C28" s="220" t="n">
        <v>0</v>
      </c>
      <c r="D28" s="220" t="n">
        <v>0</v>
      </c>
      <c r="E28" s="220" t="n">
        <v>0</v>
      </c>
      <c r="F28" s="220" t="n">
        <v>0</v>
      </c>
      <c r="G28" s="220" t="n">
        <v>0</v>
      </c>
      <c r="H28" s="220" t="n">
        <v>0</v>
      </c>
      <c r="I28" s="220" t="n">
        <v>0</v>
      </c>
    </row>
    <row r="29" customFormat="false" ht="1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511</v>
      </c>
      <c r="B31" s="222"/>
      <c r="C31" s="222"/>
      <c r="E31" s="81"/>
      <c r="F31" s="81"/>
      <c r="G31" s="81"/>
      <c r="H31" s="160"/>
      <c r="I31" s="81"/>
      <c r="L31" s="75"/>
    </row>
    <row r="32" customFormat="false" ht="15" hidden="false" customHeight="false" outlineLevel="0" collapsed="false">
      <c r="A32" s="211" t="s">
        <v>512</v>
      </c>
      <c r="B32" s="202" t="s">
        <v>513</v>
      </c>
      <c r="C32" s="226" t="n">
        <v>0.1</v>
      </c>
      <c r="H32" s="160"/>
      <c r="K32" s="45"/>
      <c r="M32" s="81"/>
    </row>
    <row r="33" customFormat="false" ht="15" hidden="false" customHeight="false" outlineLevel="0" collapsed="false">
      <c r="A33" s="211" t="s">
        <v>514</v>
      </c>
      <c r="B33" s="202" t="s">
        <v>36</v>
      </c>
      <c r="C33" s="204" t="n">
        <v>2035</v>
      </c>
      <c r="E33" s="81"/>
      <c r="F33" s="81"/>
      <c r="G33" s="81"/>
      <c r="H33" s="160"/>
      <c r="I33" s="81"/>
      <c r="J33" s="62"/>
    </row>
    <row r="34" customFormat="false" ht="15" hidden="false" customHeight="false" outlineLevel="0" collapsed="false">
      <c r="A34" s="211" t="s">
        <v>515</v>
      </c>
      <c r="B34" s="202" t="s">
        <v>513</v>
      </c>
      <c r="C34" s="227"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516</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517</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518</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519</v>
      </c>
      <c r="B38" s="202" t="s">
        <v>513</v>
      </c>
      <c r="C38" s="227"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520</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521</v>
      </c>
      <c r="B40" s="202" t="s">
        <v>513</v>
      </c>
      <c r="C40" s="227"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16" t="s">
        <v>522</v>
      </c>
      <c r="B42" s="205" t="s">
        <v>513</v>
      </c>
      <c r="C42" s="228"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16" t="s">
        <v>523</v>
      </c>
      <c r="B45" s="205" t="s">
        <v>513</v>
      </c>
      <c r="C45" s="228"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524</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525</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526</v>
      </c>
      <c r="B50" s="202" t="s">
        <v>513</v>
      </c>
      <c r="C50" s="227"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527</v>
      </c>
      <c r="B51" s="202" t="s">
        <v>513</v>
      </c>
      <c r="C51" s="227"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6" t="s">
        <v>528</v>
      </c>
      <c r="B52" s="205" t="s">
        <v>513</v>
      </c>
      <c r="C52" s="229" t="n">
        <v>0.01</v>
      </c>
      <c r="D52" s="229"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529</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row>
    <row r="54" customFormat="false" ht="15" hidden="false" customHeight="false" outlineLevel="0" collapsed="false">
      <c r="A54" s="230" t="s">
        <v>530</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row>
    <row r="55" customFormat="false" ht="15" hidden="false" customHeight="false" outlineLevel="0" collapsed="false">
      <c r="A55" s="230" t="s">
        <v>531</v>
      </c>
      <c r="B55" s="202" t="s">
        <v>532</v>
      </c>
      <c r="C55" s="231"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row>
    <row r="56" customFormat="false" ht="15" hidden="false" customHeight="false" outlineLevel="0" collapsed="false">
      <c r="A56" s="230" t="s">
        <v>533</v>
      </c>
      <c r="B56" s="202" t="s">
        <v>532</v>
      </c>
      <c r="C56" s="231"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row>
    <row r="57" customFormat="false" ht="15" hidden="false" customHeight="false" outlineLevel="0" collapsed="false">
      <c r="A57" s="230" t="s">
        <v>534</v>
      </c>
      <c r="B57" s="202" t="s">
        <v>532</v>
      </c>
      <c r="C57" s="231"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row>
    <row r="58" customFormat="false" ht="15" hidden="false" customHeight="false" outlineLevel="0" collapsed="false">
      <c r="A58" s="230" t="s">
        <v>535</v>
      </c>
      <c r="B58" s="202" t="s">
        <v>532</v>
      </c>
      <c r="C58" s="231"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row>
    <row r="59" customFormat="false" ht="1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row>
    <row r="60" customFormat="false" ht="17.35" hidden="false" customHeight="false" outlineLevel="0" collapsed="false">
      <c r="A60" s="200" t="s">
        <v>536</v>
      </c>
      <c r="B60" s="200"/>
      <c r="C60" s="200"/>
      <c r="D60" s="200"/>
      <c r="E60" s="200"/>
      <c r="F60" s="200"/>
      <c r="G60" s="200"/>
      <c r="H60" s="200"/>
      <c r="I60" s="200"/>
    </row>
    <row r="61" customFormat="false" ht="15" hidden="false" customHeight="false" outlineLevel="0" collapsed="false">
      <c r="A61" s="230" t="s">
        <v>36</v>
      </c>
      <c r="B61" s="202" t="s">
        <v>36</v>
      </c>
      <c r="C61" s="232" t="n">
        <v>2020</v>
      </c>
      <c r="D61" s="232" t="n">
        <v>2025</v>
      </c>
      <c r="E61" s="232" t="n">
        <v>2030</v>
      </c>
      <c r="F61" s="232" t="n">
        <v>2035</v>
      </c>
      <c r="G61" s="232" t="n">
        <v>2040</v>
      </c>
      <c r="H61" s="232" t="n">
        <v>2045</v>
      </c>
      <c r="I61" s="233" t="n">
        <v>2050</v>
      </c>
    </row>
    <row r="62" customFormat="false" ht="15" hidden="false" customHeight="false" outlineLevel="0" collapsed="false">
      <c r="A62" s="230" t="s">
        <v>537</v>
      </c>
      <c r="B62" s="202" t="s">
        <v>146</v>
      </c>
      <c r="C62" s="234" t="n">
        <v>0</v>
      </c>
      <c r="D62" s="234" t="n">
        <v>0</v>
      </c>
      <c r="E62" s="234" t="n">
        <v>0</v>
      </c>
      <c r="F62" s="234" t="n">
        <v>0</v>
      </c>
      <c r="G62" s="234" t="n">
        <v>0</v>
      </c>
      <c r="H62" s="234" t="n">
        <v>0</v>
      </c>
      <c r="I62" s="234" t="n">
        <v>0</v>
      </c>
      <c r="J62" s="221"/>
      <c r="K62" s="221"/>
    </row>
    <row r="63" customFormat="false" ht="15" hidden="false" customHeight="false" outlineLevel="0" collapsed="false">
      <c r="A63" s="230" t="s">
        <v>538</v>
      </c>
      <c r="B63" s="202" t="s">
        <v>146</v>
      </c>
      <c r="C63" s="234" t="n">
        <v>0</v>
      </c>
      <c r="D63" s="234" t="n">
        <v>0</v>
      </c>
      <c r="E63" s="234" t="n">
        <v>0.00189148985353949</v>
      </c>
      <c r="F63" s="234" t="n">
        <v>0.482964256198595</v>
      </c>
      <c r="G63" s="234" t="n">
        <v>1.23853129255308</v>
      </c>
      <c r="H63" s="234" t="n">
        <v>2.86141754184028</v>
      </c>
      <c r="I63" s="234" t="n">
        <v>2.81340799792693</v>
      </c>
      <c r="J63" s="221"/>
      <c r="K63" s="221"/>
    </row>
    <row r="64" customFormat="false" ht="15" hidden="false" customHeight="false" outlineLevel="0" collapsed="false">
      <c r="A64" s="230" t="s">
        <v>539</v>
      </c>
      <c r="B64" s="202" t="s">
        <v>146</v>
      </c>
      <c r="C64" s="234" t="n">
        <v>4.41217077793692E-005</v>
      </c>
      <c r="D64" s="234" t="n">
        <v>0.000751828466159761</v>
      </c>
      <c r="E64" s="234" t="n">
        <v>0.0152316875119172</v>
      </c>
      <c r="F64" s="234" t="n">
        <v>0.138807762777472</v>
      </c>
      <c r="G64" s="234" t="n">
        <v>0.868480719185939</v>
      </c>
      <c r="H64" s="234" t="n">
        <v>1.87867682957348</v>
      </c>
      <c r="I64" s="234" t="n">
        <v>2.78389156693196</v>
      </c>
    </row>
    <row r="65" customFormat="false" ht="15" hidden="false" customHeight="false" outlineLevel="0" collapsed="false">
      <c r="A65" s="230" t="s">
        <v>540</v>
      </c>
      <c r="B65" s="202" t="s">
        <v>146</v>
      </c>
      <c r="C65" s="234" t="n">
        <v>0</v>
      </c>
      <c r="D65" s="234" t="n">
        <v>0</v>
      </c>
      <c r="E65" s="234" t="n">
        <v>0</v>
      </c>
      <c r="F65" s="234" t="n">
        <v>0</v>
      </c>
      <c r="G65" s="234" t="n">
        <v>0</v>
      </c>
      <c r="H65" s="234" t="n">
        <v>0</v>
      </c>
      <c r="I65" s="234" t="n">
        <v>0</v>
      </c>
    </row>
    <row r="66" customFormat="false" ht="1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row>
    <row r="68" customFormat="false" ht="24.45" hidden="false" customHeight="false" outlineLevel="0" collapsed="false">
      <c r="A68" s="199" t="s">
        <v>541</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5" t="s">
        <v>168</v>
      </c>
      <c r="B69" s="236"/>
      <c r="C69" s="237"/>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8"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38"/>
      <c r="B71" s="205" t="s">
        <v>542</v>
      </c>
      <c r="C71" s="229"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8"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38"/>
      <c r="B75" s="205" t="s">
        <v>543</v>
      </c>
      <c r="C75" s="229"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9" t="s">
        <v>228</v>
      </c>
      <c r="B77" s="239"/>
      <c r="C77" s="239"/>
      <c r="D77" s="240" t="s">
        <v>544</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545</v>
      </c>
      <c r="B78" s="202" t="s">
        <v>546</v>
      </c>
      <c r="C78" s="231"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1" t="s">
        <v>230</v>
      </c>
      <c r="B79" s="241"/>
      <c r="C79" s="241"/>
      <c r="D79" s="242" t="s">
        <v>547</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548</v>
      </c>
      <c r="B80" s="205" t="s">
        <v>546</v>
      </c>
      <c r="C80" s="243" t="n">
        <v>0.2</v>
      </c>
      <c r="D80" s="244"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row>
    <row r="82" customFormat="false" ht="17.35" hidden="false" customHeight="false" outlineLevel="0" collapsed="false">
      <c r="A82" s="200" t="s">
        <v>236</v>
      </c>
      <c r="B82" s="200"/>
      <c r="C82" s="200"/>
    </row>
    <row r="83" customFormat="false" ht="15" hidden="false" customHeight="false" outlineLevel="0" collapsed="false">
      <c r="A83" s="245" t="s">
        <v>549</v>
      </c>
      <c r="B83" s="202" t="s">
        <v>550</v>
      </c>
      <c r="C83" s="246" t="n">
        <v>0</v>
      </c>
    </row>
    <row r="84" customFormat="false" ht="15" hidden="false" customHeight="false" outlineLevel="0" collapsed="false">
      <c r="A84" s="245"/>
      <c r="B84" s="202" t="s">
        <v>551</v>
      </c>
      <c r="C84" s="246" t="n">
        <v>2023</v>
      </c>
    </row>
    <row r="85" customFormat="false" ht="15" hidden="false" customHeight="false" outlineLevel="0" collapsed="false">
      <c r="A85" s="245" t="s">
        <v>237</v>
      </c>
      <c r="B85" s="202" t="s">
        <v>238</v>
      </c>
      <c r="C85" s="246"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45"/>
      <c r="B86" s="202" t="s">
        <v>241</v>
      </c>
      <c r="C86" s="247"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45" t="s">
        <v>243</v>
      </c>
      <c r="B87" s="202" t="s">
        <v>238</v>
      </c>
      <c r="C87" s="246" t="n">
        <v>2015</v>
      </c>
    </row>
    <row r="88" customFormat="false" ht="15" hidden="false" customHeight="false" outlineLevel="0" collapsed="false">
      <c r="A88" s="245"/>
      <c r="B88" s="202" t="s">
        <v>241</v>
      </c>
      <c r="C88" s="247" t="n">
        <v>0</v>
      </c>
    </row>
    <row r="89" customFormat="false" ht="15" hidden="false" customHeight="false" outlineLevel="0" collapsed="false">
      <c r="A89" s="245" t="s">
        <v>244</v>
      </c>
      <c r="B89" s="202" t="s">
        <v>238</v>
      </c>
      <c r="C89" s="246" t="n">
        <v>2023</v>
      </c>
    </row>
    <row r="90" customFormat="false" ht="15" hidden="false" customHeight="false" outlineLevel="0" collapsed="false">
      <c r="A90" s="245"/>
      <c r="B90" s="202" t="s">
        <v>241</v>
      </c>
      <c r="C90" s="247" t="n">
        <v>0</v>
      </c>
    </row>
    <row r="91" customFormat="false" ht="15" hidden="false" customHeight="false" outlineLevel="0" collapsed="false">
      <c r="A91" s="245" t="s">
        <v>246</v>
      </c>
      <c r="B91" s="202" t="s">
        <v>238</v>
      </c>
      <c r="C91" s="246" t="n">
        <v>2023</v>
      </c>
      <c r="G91" s="138"/>
      <c r="I91" s="125"/>
      <c r="J91" s="125"/>
      <c r="K91" s="125"/>
      <c r="L91" s="125"/>
      <c r="M91" s="125"/>
      <c r="N91" s="125"/>
      <c r="O91" s="125"/>
      <c r="P91" s="125"/>
      <c r="Q91" s="125"/>
      <c r="R91" s="125"/>
      <c r="S91" s="125"/>
      <c r="T91" s="125"/>
    </row>
    <row r="92" customFormat="false" ht="15" hidden="false" customHeight="false" outlineLevel="0" collapsed="false">
      <c r="A92" s="245"/>
      <c r="B92" s="202" t="s">
        <v>241</v>
      </c>
      <c r="C92" s="247" t="n">
        <v>0</v>
      </c>
    </row>
    <row r="93" customFormat="false" ht="15" hidden="false" customHeight="false" outlineLevel="0" collapsed="false">
      <c r="A93" s="245" t="s">
        <v>211</v>
      </c>
      <c r="B93" s="202" t="s">
        <v>238</v>
      </c>
      <c r="C93" s="246" t="n">
        <v>2023</v>
      </c>
    </row>
    <row r="94" customFormat="false" ht="15" hidden="false" customHeight="false" outlineLevel="0" collapsed="false">
      <c r="A94" s="245"/>
      <c r="B94" s="202" t="s">
        <v>241</v>
      </c>
      <c r="C94" s="247" t="n">
        <v>0.97</v>
      </c>
    </row>
    <row r="95" customFormat="false" ht="15" hidden="false" customHeight="false" outlineLevel="0" collapsed="false">
      <c r="A95" s="245" t="s">
        <v>240</v>
      </c>
      <c r="B95" s="202" t="s">
        <v>238</v>
      </c>
      <c r="C95" s="246" t="n">
        <v>2023</v>
      </c>
    </row>
    <row r="96" customFormat="false" ht="15" hidden="false" customHeight="false" outlineLevel="0" collapsed="false">
      <c r="A96" s="245"/>
      <c r="B96" s="202" t="s">
        <v>241</v>
      </c>
      <c r="C96" s="247" t="n">
        <v>0.74</v>
      </c>
    </row>
    <row r="97" customFormat="false" ht="15" hidden="false" customHeight="false" outlineLevel="0" collapsed="false">
      <c r="A97" s="238" t="s">
        <v>245</v>
      </c>
      <c r="B97" s="202" t="s">
        <v>238</v>
      </c>
      <c r="C97" s="246" t="n">
        <v>2023</v>
      </c>
    </row>
    <row r="98" customFormat="false" ht="15" hidden="false" customHeight="false" outlineLevel="0" collapsed="false">
      <c r="A98" s="238"/>
      <c r="B98" s="205" t="s">
        <v>241</v>
      </c>
      <c r="C98" s="248" t="n">
        <v>0.87</v>
      </c>
    </row>
    <row r="99" customFormat="false" ht="15" hidden="false" customHeight="false" outlineLevel="0" collapsed="false">
      <c r="A99" s="139" t="s">
        <v>247</v>
      </c>
    </row>
    <row r="101" customFormat="false" ht="14.25" hidden="false" customHeight="true" outlineLevel="0" collapsed="false">
      <c r="A101" s="200" t="s">
        <v>248</v>
      </c>
      <c r="B101" s="200"/>
      <c r="C101" s="200"/>
    </row>
    <row r="102" customFormat="false" ht="15" hidden="false" customHeight="false" outlineLevel="0" collapsed="false">
      <c r="A102" s="211" t="s">
        <v>249</v>
      </c>
      <c r="B102" s="202" t="s">
        <v>28</v>
      </c>
      <c r="C102" s="246" t="n">
        <v>1</v>
      </c>
    </row>
    <row r="103" customFormat="false" ht="15" hidden="false" customHeight="false" outlineLevel="0" collapsed="false">
      <c r="A103" s="211" t="s">
        <v>256</v>
      </c>
      <c r="B103" s="202" t="s">
        <v>28</v>
      </c>
      <c r="C103" s="246" t="n">
        <v>1</v>
      </c>
    </row>
    <row r="104" customFormat="false" ht="15" hidden="false" customHeight="false" outlineLevel="0" collapsed="false">
      <c r="A104" s="211" t="s">
        <v>552</v>
      </c>
      <c r="B104" s="202" t="s">
        <v>36</v>
      </c>
      <c r="C104" s="246" t="n">
        <v>2020</v>
      </c>
    </row>
    <row r="105" customFormat="false" ht="15" hidden="false" customHeight="false" outlineLevel="0" collapsed="false">
      <c r="A105" s="211" t="s">
        <v>553</v>
      </c>
      <c r="B105" s="202" t="s">
        <v>36</v>
      </c>
      <c r="C105" s="246" t="n">
        <v>2025</v>
      </c>
    </row>
    <row r="106" customFormat="false" ht="15" hidden="false" customHeight="false" outlineLevel="0" collapsed="false">
      <c r="A106" s="211" t="s">
        <v>554</v>
      </c>
      <c r="B106" s="202" t="s">
        <v>36</v>
      </c>
      <c r="C106" s="246" t="n">
        <v>2035</v>
      </c>
    </row>
    <row r="107" customFormat="false" ht="15" hidden="false" customHeight="false" outlineLevel="0" collapsed="false">
      <c r="A107" s="211" t="s">
        <v>555</v>
      </c>
      <c r="B107" s="202" t="s">
        <v>36</v>
      </c>
      <c r="C107" s="246" t="n">
        <v>2050</v>
      </c>
    </row>
    <row r="108" customFormat="false" ht="15" hidden="false" customHeight="false" outlineLevel="0" collapsed="false">
      <c r="A108" s="211" t="s">
        <v>255</v>
      </c>
      <c r="B108" s="202" t="s">
        <v>28</v>
      </c>
      <c r="C108" s="246" t="n">
        <v>0</v>
      </c>
    </row>
    <row r="109" customFormat="false" ht="15" hidden="false" customHeight="false" outlineLevel="0" collapsed="false">
      <c r="A109" s="211" t="s">
        <v>261</v>
      </c>
      <c r="B109" s="202" t="s">
        <v>28</v>
      </c>
      <c r="C109" s="246" t="n">
        <v>0</v>
      </c>
    </row>
    <row r="110" customFormat="false" ht="16.4" hidden="false" customHeight="false" outlineLevel="0" collapsed="false">
      <c r="A110" s="211" t="s">
        <v>556</v>
      </c>
      <c r="B110" s="202"/>
      <c r="C110" s="204" t="n">
        <v>2050</v>
      </c>
      <c r="G110" s="249" t="n">
        <v>0.0853</v>
      </c>
      <c r="H110" s="249" t="n">
        <v>0.0916</v>
      </c>
      <c r="I110" s="249" t="n">
        <v>0.098</v>
      </c>
      <c r="J110" s="249" t="n">
        <v>0.1043</v>
      </c>
      <c r="K110" s="249" t="n">
        <v>0.1106</v>
      </c>
    </row>
    <row r="111" customFormat="false" ht="16.4" hidden="false" customHeight="false" outlineLevel="0" collapsed="false">
      <c r="A111" s="216" t="s">
        <v>557</v>
      </c>
      <c r="B111" s="205" t="s">
        <v>28</v>
      </c>
      <c r="C111" s="244" t="n">
        <v>0.8</v>
      </c>
      <c r="G111" s="249" t="n">
        <v>0.7596</v>
      </c>
      <c r="H111" s="249" t="n">
        <v>0.7162</v>
      </c>
      <c r="I111" s="249" t="n">
        <v>0.6728</v>
      </c>
      <c r="J111" s="249" t="n">
        <v>0.6294</v>
      </c>
      <c r="K111" s="249" t="n">
        <v>0.586</v>
      </c>
    </row>
    <row r="112" customFormat="false" ht="14.25" hidden="false" customHeight="true" outlineLevel="0" collapsed="false">
      <c r="G112" s="249" t="n">
        <v>0.1387</v>
      </c>
      <c r="H112" s="249" t="n">
        <v>0.1799</v>
      </c>
      <c r="I112" s="249" t="n">
        <v>0.2211</v>
      </c>
      <c r="J112" s="249" t="n">
        <v>0.2622</v>
      </c>
      <c r="K112" s="249" t="n">
        <v>0.3034</v>
      </c>
    </row>
    <row r="113" customFormat="false" ht="14.25" hidden="false" customHeight="true" outlineLevel="0" collapsed="false">
      <c r="A113" s="200" t="s">
        <v>58</v>
      </c>
      <c r="B113" s="200"/>
      <c r="C113" s="200"/>
      <c r="D113" s="200"/>
      <c r="E113" s="200"/>
      <c r="G113" s="249" t="n">
        <v>0.0164</v>
      </c>
      <c r="H113" s="249" t="n">
        <v>0.0123</v>
      </c>
      <c r="I113" s="249" t="n">
        <v>0.0082</v>
      </c>
      <c r="J113" s="249" t="n">
        <v>0.0041</v>
      </c>
      <c r="K113" s="249" t="n">
        <v>0</v>
      </c>
    </row>
    <row r="114" customFormat="false" ht="14.25" hidden="false" customHeight="true" outlineLevel="0" collapsed="false">
      <c r="A114" s="238" t="s">
        <v>59</v>
      </c>
      <c r="B114" s="250" t="n">
        <v>4</v>
      </c>
      <c r="C114" s="230" t="s">
        <v>60</v>
      </c>
      <c r="D114" s="202" t="s">
        <v>65</v>
      </c>
      <c r="E114" s="227" t="n">
        <v>-0.012</v>
      </c>
      <c r="G114" s="251" t="s">
        <v>558</v>
      </c>
      <c r="H114" s="251" t="s">
        <v>558</v>
      </c>
      <c r="I114" s="251" t="s">
        <v>558</v>
      </c>
      <c r="J114" s="251" t="s">
        <v>558</v>
      </c>
      <c r="K114" s="251" t="s">
        <v>558</v>
      </c>
    </row>
    <row r="115" customFormat="false" ht="14.25" hidden="false" customHeight="true" outlineLevel="0" collapsed="false">
      <c r="A115" s="238"/>
      <c r="B115" s="250"/>
      <c r="C115" s="230" t="s">
        <v>62</v>
      </c>
      <c r="D115" s="202" t="s">
        <v>559</v>
      </c>
      <c r="E115" s="204" t="n">
        <v>2017</v>
      </c>
    </row>
    <row r="116" customFormat="false" ht="14.25" hidden="false" customHeight="true" outlineLevel="0" collapsed="false">
      <c r="A116" s="238"/>
      <c r="B116" s="250"/>
      <c r="C116" s="230" t="s">
        <v>63</v>
      </c>
      <c r="D116" s="252"/>
      <c r="E116" s="252"/>
      <c r="F116" s="253"/>
      <c r="G116" s="253"/>
      <c r="H116" s="253"/>
      <c r="I116" s="253"/>
      <c r="J116" s="253"/>
      <c r="K116" s="253"/>
      <c r="L116" s="254"/>
    </row>
    <row r="117" customFormat="false" ht="14.25" hidden="false" customHeight="true" outlineLevel="0" collapsed="false">
      <c r="A117" s="238"/>
      <c r="B117" s="250"/>
      <c r="C117" s="255" t="s">
        <v>64</v>
      </c>
      <c r="D117" s="252"/>
      <c r="E117" s="252"/>
    </row>
    <row r="118" customFormat="false" ht="14.25" hidden="false" customHeight="true" outlineLevel="0" collapsed="false"/>
    <row r="119" customFormat="false" ht="14.25" hidden="false" customHeight="true" outlineLevel="0" collapsed="false">
      <c r="D119" s="79"/>
      <c r="E119" s="79"/>
      <c r="F119" s="79"/>
      <c r="G119" s="79"/>
      <c r="H119" s="79"/>
      <c r="I119" s="79"/>
      <c r="J119" s="79"/>
    </row>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56" t="s">
        <v>562</v>
      </c>
      <c r="B123" s="203" t="s">
        <v>563</v>
      </c>
      <c r="C123" s="202" t="s">
        <v>28</v>
      </c>
      <c r="D123" s="257" t="n">
        <v>0.719582222580483</v>
      </c>
      <c r="E123" s="257" t="n">
        <v>0.726</v>
      </c>
      <c r="F123" s="257" t="n">
        <v>0.6838</v>
      </c>
      <c r="G123" s="257" t="n">
        <v>0.6416</v>
      </c>
      <c r="H123" s="257" t="n">
        <v>0.5994</v>
      </c>
      <c r="I123" s="257" t="n">
        <v>0.5572</v>
      </c>
      <c r="J123" s="258" t="n">
        <v>0.515</v>
      </c>
    </row>
    <row r="124" customFormat="false" ht="15" hidden="false" customHeight="false" outlineLevel="0" collapsed="false">
      <c r="A124" s="256"/>
      <c r="B124" s="203" t="s">
        <v>564</v>
      </c>
      <c r="C124" s="202" t="s">
        <v>28</v>
      </c>
      <c r="D124" s="257" t="n">
        <v>0.0360671787614104</v>
      </c>
      <c r="E124" s="257" t="n">
        <v>0.0415</v>
      </c>
      <c r="F124" s="257" t="n">
        <v>0.0408</v>
      </c>
      <c r="G124" s="257" t="n">
        <v>0.0401</v>
      </c>
      <c r="H124" s="257" t="n">
        <v>0.0394</v>
      </c>
      <c r="I124" s="257" t="n">
        <v>0.0387</v>
      </c>
      <c r="J124" s="258" t="n">
        <v>0.038</v>
      </c>
    </row>
    <row r="125" customFormat="false" ht="15" hidden="false" customHeight="false" outlineLevel="0" collapsed="false">
      <c r="A125" s="256"/>
      <c r="B125" s="203" t="s">
        <v>565</v>
      </c>
      <c r="C125" s="202" t="s">
        <v>28</v>
      </c>
      <c r="D125" s="259" t="n">
        <v>0.158177519083525</v>
      </c>
      <c r="E125" s="257" t="n">
        <v>0.156</v>
      </c>
      <c r="F125" s="257" t="n">
        <v>0.1978</v>
      </c>
      <c r="G125" s="257" t="n">
        <v>0.2396</v>
      </c>
      <c r="H125" s="257" t="n">
        <v>0.2814</v>
      </c>
      <c r="I125" s="257" t="n">
        <v>0.3232</v>
      </c>
      <c r="J125" s="258" t="n">
        <v>0.365</v>
      </c>
    </row>
    <row r="126" customFormat="false" ht="15" hidden="false" customHeight="false" outlineLevel="0" collapsed="false">
      <c r="A126" s="256"/>
      <c r="B126" s="203" t="s">
        <v>566</v>
      </c>
      <c r="C126" s="202" t="s">
        <v>28</v>
      </c>
      <c r="D126" s="259" t="n">
        <v>0.0860782424702139</v>
      </c>
      <c r="E126" s="257" t="n">
        <v>0.0765</v>
      </c>
      <c r="F126" s="257" t="n">
        <v>0.0776</v>
      </c>
      <c r="G126" s="257" t="n">
        <v>0.0787</v>
      </c>
      <c r="H126" s="257" t="n">
        <v>0.0798</v>
      </c>
      <c r="I126" s="257" t="n">
        <v>0.0809</v>
      </c>
      <c r="J126" s="258" t="n">
        <v>0.082</v>
      </c>
    </row>
    <row r="127" customFormat="false" ht="15" hidden="false" customHeight="false" outlineLevel="0" collapsed="false">
      <c r="A127" s="256"/>
      <c r="B127" s="203" t="s">
        <v>567</v>
      </c>
      <c r="C127" s="202" t="s">
        <v>28</v>
      </c>
      <c r="D127" s="259" t="n">
        <v>9.48371043676489E-005</v>
      </c>
      <c r="E127" s="257" t="n">
        <v>0</v>
      </c>
      <c r="F127" s="257" t="n">
        <v>0</v>
      </c>
      <c r="G127" s="257" t="n">
        <v>0</v>
      </c>
      <c r="H127" s="257" t="n">
        <v>0</v>
      </c>
      <c r="I127" s="257" t="n">
        <v>0</v>
      </c>
      <c r="J127" s="258" t="n">
        <v>0</v>
      </c>
    </row>
    <row r="128" customFormat="false" ht="15" hidden="false" customHeight="false" outlineLevel="0" collapsed="false">
      <c r="A128" s="256" t="s">
        <v>568</v>
      </c>
      <c r="B128" s="203" t="s">
        <v>569</v>
      </c>
      <c r="C128" s="202" t="s">
        <v>28</v>
      </c>
      <c r="D128" s="259" t="n">
        <v>0.0686953411602306</v>
      </c>
      <c r="E128" s="259" t="n">
        <v>0.079</v>
      </c>
      <c r="F128" s="259" t="n">
        <v>0.0853</v>
      </c>
      <c r="G128" s="259" t="n">
        <v>0.0916</v>
      </c>
      <c r="H128" s="259" t="n">
        <v>0.098</v>
      </c>
      <c r="I128" s="259" t="n">
        <v>0.1043</v>
      </c>
      <c r="J128" s="226" t="n">
        <v>0.1106</v>
      </c>
    </row>
    <row r="129" customFormat="false" ht="15" hidden="false" customHeight="false" outlineLevel="0" collapsed="false">
      <c r="A129" s="256"/>
      <c r="B129" s="260" t="s">
        <v>570</v>
      </c>
      <c r="C129" s="202" t="s">
        <v>28</v>
      </c>
      <c r="D129" s="259" t="n">
        <v>0.855246437713092</v>
      </c>
      <c r="E129" s="259" t="n">
        <v>0.803</v>
      </c>
      <c r="F129" s="259" t="n">
        <v>0.7596</v>
      </c>
      <c r="G129" s="259" t="n">
        <v>0.7162</v>
      </c>
      <c r="H129" s="259" t="n">
        <v>0.6728</v>
      </c>
      <c r="I129" s="259" t="n">
        <v>0.6294</v>
      </c>
      <c r="J129" s="226" t="n">
        <v>0.586</v>
      </c>
    </row>
    <row r="130" customFormat="false" ht="15" hidden="false" customHeight="false" outlineLevel="0" collapsed="false">
      <c r="A130" s="256"/>
      <c r="B130" s="203" t="s">
        <v>565</v>
      </c>
      <c r="C130" s="202" t="s">
        <v>28</v>
      </c>
      <c r="D130" s="259" t="n">
        <v>0.0651057450277185</v>
      </c>
      <c r="E130" s="259" t="n">
        <v>0.0975</v>
      </c>
      <c r="F130" s="259" t="n">
        <v>0.1387</v>
      </c>
      <c r="G130" s="259" t="n">
        <v>0.1799</v>
      </c>
      <c r="H130" s="259" t="n">
        <v>0.2211</v>
      </c>
      <c r="I130" s="259" t="n">
        <v>0.2622</v>
      </c>
      <c r="J130" s="226" t="n">
        <v>0.3034</v>
      </c>
    </row>
    <row r="131" customFormat="false" ht="15" hidden="false" customHeight="false" outlineLevel="0" collapsed="false">
      <c r="A131" s="256"/>
      <c r="B131" s="203" t="s">
        <v>566</v>
      </c>
      <c r="C131" s="202" t="s">
        <v>28</v>
      </c>
      <c r="D131" s="259" t="n">
        <v>0</v>
      </c>
      <c r="E131" s="259" t="n">
        <v>0</v>
      </c>
      <c r="F131" s="259" t="n">
        <v>0</v>
      </c>
      <c r="G131" s="259" t="n">
        <v>0</v>
      </c>
      <c r="H131" s="259" t="n">
        <v>0</v>
      </c>
      <c r="I131" s="259" t="n">
        <v>0</v>
      </c>
      <c r="J131" s="226" t="n">
        <v>0</v>
      </c>
    </row>
    <row r="132" customFormat="false" ht="15" hidden="false" customHeight="false" outlineLevel="0" collapsed="false">
      <c r="A132" s="256"/>
      <c r="B132" s="203" t="s">
        <v>567</v>
      </c>
      <c r="C132" s="202" t="s">
        <v>28</v>
      </c>
      <c r="D132" s="259" t="n">
        <v>0.0109524760989591</v>
      </c>
      <c r="E132" s="259" t="n">
        <v>0.0205</v>
      </c>
      <c r="F132" s="259" t="n">
        <v>0.0164</v>
      </c>
      <c r="G132" s="259" t="n">
        <v>0.0123</v>
      </c>
      <c r="H132" s="259" t="n">
        <v>0.0082</v>
      </c>
      <c r="I132" s="259" t="n">
        <v>0.0041</v>
      </c>
      <c r="J132" s="226" t="n">
        <v>0</v>
      </c>
    </row>
    <row r="133" customFormat="false" ht="15" hidden="false" customHeight="false" outlineLevel="0" collapsed="false">
      <c r="A133" s="208" t="s">
        <v>571</v>
      </c>
      <c r="B133" s="261"/>
      <c r="C133" s="202" t="s">
        <v>572</v>
      </c>
      <c r="D133" s="262" t="n">
        <f aca="false">SUM(D123:D127)</f>
        <v>1</v>
      </c>
      <c r="E133" s="262" t="n">
        <f aca="false">SUM(E123:E127)</f>
        <v>1</v>
      </c>
      <c r="F133" s="262" t="n">
        <f aca="false">SUM(F123:F127)</f>
        <v>1</v>
      </c>
      <c r="G133" s="262" t="n">
        <f aca="false">SUM(G123:G127)</f>
        <v>1</v>
      </c>
      <c r="H133" s="262" t="n">
        <f aca="false">SUM(H123:H127)</f>
        <v>1</v>
      </c>
      <c r="I133" s="262" t="n">
        <f aca="false">SUM(I123:I127)</f>
        <v>1</v>
      </c>
      <c r="J133" s="262" t="n">
        <f aca="false">SUM(J123:J127)</f>
        <v>1</v>
      </c>
    </row>
    <row r="134" customFormat="false" ht="15" hidden="false" customHeight="false" outlineLevel="0" collapsed="false">
      <c r="A134" s="263" t="s">
        <v>573</v>
      </c>
      <c r="B134" s="261"/>
      <c r="C134" s="205" t="s">
        <v>572</v>
      </c>
      <c r="D134" s="262" t="n">
        <f aca="false">SUM(D128:D132)</f>
        <v>1</v>
      </c>
      <c r="E134" s="262" t="n">
        <f aca="false">SUM(E128:E132)</f>
        <v>1</v>
      </c>
      <c r="F134" s="262" t="n">
        <f aca="false">SUM(F128:F132)</f>
        <v>1</v>
      </c>
      <c r="G134" s="262" t="n">
        <f aca="false">SUM(G128:G132)</f>
        <v>1</v>
      </c>
      <c r="H134" s="262" t="n">
        <f aca="false">SUM(H128:H132)</f>
        <v>1.0001</v>
      </c>
      <c r="I134" s="262" t="n">
        <f aca="false">SUM(I128:I132)</f>
        <v>1</v>
      </c>
      <c r="J134" s="262" t="n">
        <f aca="false">SUM(J128:J132)</f>
        <v>1</v>
      </c>
    </row>
    <row r="136" customFormat="false" ht="17.35" hidden="false" customHeight="false" outlineLevel="0" collapsed="false">
      <c r="A136" s="200" t="s">
        <v>574</v>
      </c>
      <c r="B136" s="200"/>
      <c r="C136" s="200"/>
      <c r="D136" s="200"/>
      <c r="E136" s="200"/>
      <c r="F136" s="200"/>
      <c r="G136" s="200"/>
      <c r="H136" s="200"/>
    </row>
    <row r="137" customFormat="false" ht="15" hidden="false" customHeight="false" outlineLevel="0" collapsed="false">
      <c r="A137" s="208" t="s">
        <v>36</v>
      </c>
      <c r="B137" s="202" t="s">
        <v>36</v>
      </c>
      <c r="C137" s="203" t="n">
        <v>2025</v>
      </c>
      <c r="D137" s="203" t="n">
        <v>2030</v>
      </c>
      <c r="E137" s="203" t="n">
        <v>2035</v>
      </c>
      <c r="F137" s="203" t="n">
        <v>2040</v>
      </c>
      <c r="G137" s="203" t="n">
        <v>2045</v>
      </c>
      <c r="H137" s="204" t="n">
        <v>2050</v>
      </c>
    </row>
    <row r="138" customFormat="false" ht="15" hidden="false" customHeight="false" outlineLevel="0" collapsed="false">
      <c r="A138" s="264" t="s">
        <v>565</v>
      </c>
      <c r="B138" s="202" t="s">
        <v>575</v>
      </c>
      <c r="C138" s="226" t="n">
        <v>0.2911</v>
      </c>
      <c r="D138" s="226" t="n">
        <v>0.2559</v>
      </c>
      <c r="E138" s="226" t="n">
        <v>0.2207</v>
      </c>
      <c r="F138" s="226" t="n">
        <v>0.1855</v>
      </c>
      <c r="G138" s="226" t="n">
        <v>0.1503</v>
      </c>
      <c r="H138" s="226" t="n">
        <v>0.115</v>
      </c>
    </row>
    <row r="139" customFormat="false" ht="15" hidden="false" customHeight="false" outlineLevel="0" collapsed="false">
      <c r="A139" s="264"/>
      <c r="B139" s="202" t="s">
        <v>192</v>
      </c>
      <c r="C139" s="226" t="n">
        <v>0</v>
      </c>
      <c r="D139" s="226" t="n">
        <v>0</v>
      </c>
      <c r="E139" s="226" t="n">
        <v>0</v>
      </c>
      <c r="F139" s="226" t="n">
        <v>0</v>
      </c>
      <c r="G139" s="226" t="n">
        <v>0</v>
      </c>
      <c r="H139" s="226" t="n">
        <v>0</v>
      </c>
    </row>
    <row r="140" customFormat="false" ht="15" hidden="false" customHeight="false" outlineLevel="0" collapsed="false">
      <c r="A140" s="264"/>
      <c r="B140" s="202" t="s">
        <v>374</v>
      </c>
      <c r="C140" s="226" t="n">
        <v>0.7089</v>
      </c>
      <c r="D140" s="226" t="n">
        <v>0.7441</v>
      </c>
      <c r="E140" s="226" t="n">
        <v>0.7793</v>
      </c>
      <c r="F140" s="226" t="n">
        <v>0.8145</v>
      </c>
      <c r="G140" s="226" t="n">
        <v>0.8497</v>
      </c>
      <c r="H140" s="226" t="n">
        <v>0.885</v>
      </c>
    </row>
    <row r="141" customFormat="false" ht="15" hidden="false" customHeight="false" outlineLevel="0" collapsed="false">
      <c r="A141" s="264"/>
      <c r="B141" s="202" t="s">
        <v>576</v>
      </c>
      <c r="C141" s="226" t="n">
        <v>0</v>
      </c>
      <c r="D141" s="226" t="n">
        <v>0</v>
      </c>
      <c r="E141" s="226" t="n">
        <v>0</v>
      </c>
      <c r="F141" s="226" t="n">
        <v>0</v>
      </c>
      <c r="G141" s="226" t="n">
        <v>0</v>
      </c>
      <c r="H141" s="226" t="n">
        <v>0</v>
      </c>
    </row>
    <row r="142" customFormat="false" ht="15" hidden="false" customHeight="false" outlineLevel="0" collapsed="false">
      <c r="A142" s="264" t="s">
        <v>563</v>
      </c>
      <c r="B142" s="202" t="s">
        <v>575</v>
      </c>
      <c r="C142" s="257" t="n">
        <v>0.9563</v>
      </c>
      <c r="D142" s="257" t="n">
        <v>0.847</v>
      </c>
      <c r="E142" s="257" t="n">
        <v>0.7378</v>
      </c>
      <c r="F142" s="257" t="n">
        <v>0.6285</v>
      </c>
      <c r="G142" s="257" t="n">
        <v>0.5193</v>
      </c>
      <c r="H142" s="258" t="n">
        <v>0.41</v>
      </c>
    </row>
    <row r="143" customFormat="false" ht="15" hidden="false" customHeight="false" outlineLevel="0" collapsed="false">
      <c r="A143" s="264"/>
      <c r="B143" s="202" t="s">
        <v>192</v>
      </c>
      <c r="C143" s="257" t="n">
        <v>0.0185</v>
      </c>
      <c r="D143" s="257" t="n">
        <v>0.0648</v>
      </c>
      <c r="E143" s="257" t="n">
        <v>0.1111</v>
      </c>
      <c r="F143" s="257" t="n">
        <v>0.1574</v>
      </c>
      <c r="G143" s="257" t="n">
        <v>0.2037</v>
      </c>
      <c r="H143" s="258" t="n">
        <v>0.25</v>
      </c>
    </row>
    <row r="144" customFormat="false" ht="15" hidden="false" customHeight="false" outlineLevel="0" collapsed="false">
      <c r="A144" s="264"/>
      <c r="B144" s="202" t="s">
        <v>374</v>
      </c>
      <c r="C144" s="257" t="n">
        <v>0.0037</v>
      </c>
      <c r="D144" s="257" t="n">
        <v>0.013</v>
      </c>
      <c r="E144" s="257" t="n">
        <v>0.0222</v>
      </c>
      <c r="F144" s="257" t="n">
        <v>0.0315</v>
      </c>
      <c r="G144" s="257" t="n">
        <v>0.0407</v>
      </c>
      <c r="H144" s="258" t="n">
        <v>0.05</v>
      </c>
    </row>
    <row r="145" customFormat="false" ht="15" hidden="false" customHeight="false" outlineLevel="0" collapsed="false">
      <c r="A145" s="264"/>
      <c r="B145" s="202" t="s">
        <v>576</v>
      </c>
      <c r="C145" s="257" t="n">
        <v>0.0215</v>
      </c>
      <c r="D145" s="257" t="n">
        <v>0.0752</v>
      </c>
      <c r="E145" s="257" t="n">
        <v>0.1289</v>
      </c>
      <c r="F145" s="257" t="n">
        <v>0.1826</v>
      </c>
      <c r="G145" s="257" t="n">
        <v>0.2363</v>
      </c>
      <c r="H145" s="258" t="n">
        <v>0.29</v>
      </c>
    </row>
    <row r="146" customFormat="false" ht="15" hidden="false" customHeight="false" outlineLevel="0" collapsed="false">
      <c r="A146" s="256" t="s">
        <v>577</v>
      </c>
      <c r="B146" s="202" t="s">
        <v>575</v>
      </c>
      <c r="C146" s="257" t="n">
        <v>0.9222</v>
      </c>
      <c r="D146" s="257" t="n">
        <v>0.7478</v>
      </c>
      <c r="E146" s="257" t="n">
        <v>0.5733</v>
      </c>
      <c r="F146" s="257" t="n">
        <v>0.3989</v>
      </c>
      <c r="G146" s="257" t="n">
        <v>0.2244</v>
      </c>
      <c r="H146" s="258" t="n">
        <v>0.05</v>
      </c>
    </row>
    <row r="147" customFormat="false" ht="15" hidden="false" customHeight="false" outlineLevel="0" collapsed="false">
      <c r="A147" s="256"/>
      <c r="B147" s="202" t="s">
        <v>192</v>
      </c>
      <c r="C147" s="257" t="n">
        <v>0.0149</v>
      </c>
      <c r="D147" s="257" t="n">
        <v>0.0379</v>
      </c>
      <c r="E147" s="257" t="n">
        <v>0.061</v>
      </c>
      <c r="F147" s="257" t="n">
        <v>0.084</v>
      </c>
      <c r="G147" s="257" t="n">
        <v>0.107</v>
      </c>
      <c r="H147" s="258" t="n">
        <v>0.13</v>
      </c>
    </row>
    <row r="148" customFormat="false" ht="15" hidden="false" customHeight="false" outlineLevel="0" collapsed="false">
      <c r="A148" s="256"/>
      <c r="B148" s="202" t="s">
        <v>374</v>
      </c>
      <c r="C148" s="257" t="n">
        <v>0.0607</v>
      </c>
      <c r="D148" s="257" t="n">
        <v>0.2066</v>
      </c>
      <c r="E148" s="257" t="n">
        <v>0.3524</v>
      </c>
      <c r="F148" s="257" t="n">
        <v>0.4983</v>
      </c>
      <c r="G148" s="257" t="n">
        <v>0.6441</v>
      </c>
      <c r="H148" s="258" t="n">
        <v>0.79</v>
      </c>
    </row>
    <row r="149" customFormat="false" ht="15" hidden="false" customHeight="false" outlineLevel="0" collapsed="false">
      <c r="A149" s="256"/>
      <c r="B149" s="202" t="s">
        <v>576</v>
      </c>
      <c r="C149" s="257" t="n">
        <v>0.0022</v>
      </c>
      <c r="D149" s="257" t="n">
        <v>0.0078</v>
      </c>
      <c r="E149" s="257" t="n">
        <v>0.0133</v>
      </c>
      <c r="F149" s="257" t="n">
        <v>0.0189</v>
      </c>
      <c r="G149" s="257" t="n">
        <v>0.0244</v>
      </c>
      <c r="H149" s="258" t="n">
        <v>0.03</v>
      </c>
    </row>
    <row r="150" customFormat="false" ht="15" hidden="false" customHeight="false" outlineLevel="0" collapsed="false">
      <c r="A150" s="256" t="s">
        <v>566</v>
      </c>
      <c r="B150" s="202" t="s">
        <v>575</v>
      </c>
      <c r="C150" s="257" t="n">
        <v>0.9826</v>
      </c>
      <c r="D150" s="257" t="n">
        <v>0.939</v>
      </c>
      <c r="E150" s="257" t="n">
        <v>0.8954</v>
      </c>
      <c r="F150" s="257" t="n">
        <v>0.8518</v>
      </c>
      <c r="G150" s="257" t="n">
        <v>0.8083</v>
      </c>
      <c r="H150" s="258" t="n">
        <v>0.7647</v>
      </c>
    </row>
    <row r="151" customFormat="false" ht="15" hidden="false" customHeight="false" outlineLevel="0" collapsed="false">
      <c r="A151" s="256"/>
      <c r="B151" s="202" t="s">
        <v>192</v>
      </c>
      <c r="C151" s="259" t="n">
        <v>0.0174</v>
      </c>
      <c r="D151" s="259" t="n">
        <v>0.061</v>
      </c>
      <c r="E151" s="259" t="n">
        <v>0.1046</v>
      </c>
      <c r="F151" s="259" t="n">
        <v>0.1482</v>
      </c>
      <c r="G151" s="259" t="n">
        <v>0.1917</v>
      </c>
      <c r="H151" s="226" t="n">
        <v>0.2353</v>
      </c>
    </row>
    <row r="152" customFormat="false" ht="15" hidden="false" customHeight="false" outlineLevel="0" collapsed="false">
      <c r="A152" s="256"/>
      <c r="B152" s="202" t="s">
        <v>374</v>
      </c>
      <c r="C152" s="259" t="n">
        <v>0</v>
      </c>
      <c r="D152" s="259" t="n">
        <v>0</v>
      </c>
      <c r="E152" s="259" t="n">
        <v>0</v>
      </c>
      <c r="F152" s="259" t="n">
        <v>0</v>
      </c>
      <c r="G152" s="259" t="n">
        <v>0</v>
      </c>
      <c r="H152" s="226" t="n">
        <v>0</v>
      </c>
    </row>
    <row r="153" customFormat="false" ht="15" hidden="false" customHeight="false" outlineLevel="0" collapsed="false">
      <c r="A153" s="256"/>
      <c r="B153" s="202" t="s">
        <v>576</v>
      </c>
      <c r="C153" s="259" t="n">
        <v>0</v>
      </c>
      <c r="D153" s="259" t="n">
        <v>0</v>
      </c>
      <c r="E153" s="259" t="n">
        <v>0</v>
      </c>
      <c r="F153" s="259" t="n">
        <v>0</v>
      </c>
      <c r="G153" s="259" t="n">
        <v>0</v>
      </c>
      <c r="H153" s="226" t="n">
        <v>0</v>
      </c>
    </row>
    <row r="154" customFormat="false" ht="15" hidden="false" customHeight="false" outlineLevel="0" collapsed="false">
      <c r="A154" s="256" t="s">
        <v>567</v>
      </c>
      <c r="B154" s="202" t="s">
        <v>575</v>
      </c>
      <c r="C154" s="259" t="n">
        <v>1</v>
      </c>
      <c r="D154" s="259" t="n">
        <v>1</v>
      </c>
      <c r="E154" s="259" t="n">
        <v>1</v>
      </c>
      <c r="F154" s="259" t="n">
        <v>1</v>
      </c>
      <c r="G154" s="259" t="n">
        <v>1</v>
      </c>
      <c r="H154" s="259" t="n">
        <v>1</v>
      </c>
    </row>
    <row r="155" customFormat="false" ht="15" hidden="false" customHeight="false" outlineLevel="0" collapsed="false">
      <c r="A155" s="256"/>
      <c r="B155" s="202" t="s">
        <v>192</v>
      </c>
      <c r="C155" s="259" t="n">
        <v>0</v>
      </c>
      <c r="D155" s="259" t="n">
        <v>0</v>
      </c>
      <c r="E155" s="259" t="n">
        <v>0</v>
      </c>
      <c r="F155" s="259" t="n">
        <v>0</v>
      </c>
      <c r="G155" s="259" t="n">
        <v>0</v>
      </c>
      <c r="H155" s="226" t="n">
        <v>0</v>
      </c>
    </row>
    <row r="156" customFormat="false" ht="15" hidden="false" customHeight="false" outlineLevel="0" collapsed="false">
      <c r="A156" s="256"/>
      <c r="B156" s="202" t="s">
        <v>374</v>
      </c>
      <c r="C156" s="259" t="n">
        <v>0</v>
      </c>
      <c r="D156" s="259" t="n">
        <v>0</v>
      </c>
      <c r="E156" s="259" t="n">
        <v>0</v>
      </c>
      <c r="F156" s="259" t="n">
        <v>0</v>
      </c>
      <c r="G156" s="259" t="n">
        <v>0</v>
      </c>
      <c r="H156" s="226" t="n">
        <v>0</v>
      </c>
    </row>
    <row r="157" customFormat="false" ht="15" hidden="false" customHeight="false" outlineLevel="0" collapsed="false">
      <c r="A157" s="256"/>
      <c r="B157" s="202" t="s">
        <v>576</v>
      </c>
      <c r="C157" s="259" t="n">
        <v>0</v>
      </c>
      <c r="D157" s="259" t="n">
        <v>0</v>
      </c>
      <c r="E157" s="259" t="n">
        <v>0</v>
      </c>
      <c r="F157" s="259" t="n">
        <v>0</v>
      </c>
      <c r="G157" s="259" t="n">
        <v>0</v>
      </c>
      <c r="H157" s="226" t="n">
        <v>0</v>
      </c>
    </row>
    <row r="158" customFormat="false" ht="17.35" hidden="false" customHeight="false" outlineLevel="0" collapsed="false">
      <c r="A158" s="265" t="s">
        <v>578</v>
      </c>
      <c r="B158" s="265"/>
      <c r="C158" s="265"/>
      <c r="D158" s="265"/>
      <c r="E158" s="265"/>
      <c r="F158" s="265"/>
      <c r="G158" s="265"/>
      <c r="H158" s="265"/>
    </row>
    <row r="159" customFormat="false" ht="15" hidden="false" customHeight="false" outlineLevel="0" collapsed="false">
      <c r="A159" s="208" t="s">
        <v>36</v>
      </c>
      <c r="B159" s="202" t="s">
        <v>36</v>
      </c>
      <c r="C159" s="203" t="n">
        <v>2025</v>
      </c>
      <c r="D159" s="203" t="n">
        <v>2030</v>
      </c>
      <c r="E159" s="203" t="n">
        <v>2035</v>
      </c>
      <c r="F159" s="203" t="n">
        <v>2040</v>
      </c>
      <c r="G159" s="203" t="n">
        <v>2045</v>
      </c>
      <c r="H159" s="204" t="n">
        <v>2050</v>
      </c>
    </row>
    <row r="160" customFormat="false" ht="15" hidden="false" customHeight="false" outlineLevel="0" collapsed="false">
      <c r="A160" s="256" t="s">
        <v>565</v>
      </c>
      <c r="B160" s="202" t="s">
        <v>575</v>
      </c>
      <c r="C160" s="259" t="n">
        <v>0.1631</v>
      </c>
      <c r="D160" s="259" t="n">
        <v>0.1405</v>
      </c>
      <c r="E160" s="259" t="n">
        <v>0.1179</v>
      </c>
      <c r="F160" s="259" t="n">
        <v>0.0953</v>
      </c>
      <c r="G160" s="259" t="n">
        <v>0.0726</v>
      </c>
      <c r="H160" s="259" t="n">
        <v>0.05</v>
      </c>
    </row>
    <row r="161" customFormat="false" ht="15" hidden="false" customHeight="false" outlineLevel="0" collapsed="false">
      <c r="A161" s="256"/>
      <c r="B161" s="202" t="s">
        <v>192</v>
      </c>
      <c r="C161" s="259" t="n">
        <v>0</v>
      </c>
      <c r="D161" s="259" t="n">
        <v>0</v>
      </c>
      <c r="E161" s="259" t="n">
        <v>0</v>
      </c>
      <c r="F161" s="259" t="n">
        <v>0</v>
      </c>
      <c r="G161" s="259" t="n">
        <v>0</v>
      </c>
      <c r="H161" s="259" t="n">
        <v>0</v>
      </c>
    </row>
    <row r="162" customFormat="false" ht="15" hidden="false" customHeight="false" outlineLevel="0" collapsed="false">
      <c r="A162" s="256"/>
      <c r="B162" s="202" t="s">
        <v>374</v>
      </c>
      <c r="C162" s="259" t="n">
        <v>0.8369</v>
      </c>
      <c r="D162" s="259" t="n">
        <v>0.8595</v>
      </c>
      <c r="E162" s="259" t="n">
        <v>0.8821</v>
      </c>
      <c r="F162" s="259" t="n">
        <v>0.9047</v>
      </c>
      <c r="G162" s="259" t="n">
        <v>0.9274</v>
      </c>
      <c r="H162" s="259" t="n">
        <v>0.95</v>
      </c>
    </row>
    <row r="163" customFormat="false" ht="15" hidden="false" customHeight="false" outlineLevel="0" collapsed="false">
      <c r="A163" s="256"/>
      <c r="B163" s="202" t="s">
        <v>576</v>
      </c>
      <c r="C163" s="259" t="n">
        <v>0</v>
      </c>
      <c r="D163" s="259" t="n">
        <v>0</v>
      </c>
      <c r="E163" s="259" t="n">
        <v>0</v>
      </c>
      <c r="F163" s="259" t="n">
        <v>0</v>
      </c>
      <c r="G163" s="259" t="n">
        <v>0</v>
      </c>
      <c r="H163" s="259" t="n">
        <v>0</v>
      </c>
    </row>
    <row r="164" customFormat="false" ht="15" hidden="false" customHeight="false" outlineLevel="0" collapsed="false">
      <c r="A164" s="256" t="s">
        <v>579</v>
      </c>
      <c r="B164" s="202" t="s">
        <v>575</v>
      </c>
      <c r="C164" s="259" t="n">
        <v>0.8435</v>
      </c>
      <c r="D164" s="259" t="n">
        <v>0.7076</v>
      </c>
      <c r="E164" s="259" t="n">
        <v>0.5717</v>
      </c>
      <c r="F164" s="259" t="n">
        <v>0.4358</v>
      </c>
      <c r="G164" s="259" t="n">
        <v>0.2999</v>
      </c>
      <c r="H164" s="226" t="n">
        <v>0.164</v>
      </c>
    </row>
    <row r="165" customFormat="false" ht="15" hidden="false" customHeight="false" outlineLevel="0" collapsed="false">
      <c r="A165" s="256"/>
      <c r="B165" s="202" t="s">
        <v>192</v>
      </c>
      <c r="C165" s="259" t="n">
        <v>0.0911</v>
      </c>
      <c r="D165" s="259" t="n">
        <v>0.1073</v>
      </c>
      <c r="E165" s="259" t="n">
        <v>0.1234</v>
      </c>
      <c r="F165" s="259" t="n">
        <v>0.1396</v>
      </c>
      <c r="G165" s="259" t="n">
        <v>0.1558</v>
      </c>
      <c r="H165" s="226" t="n">
        <v>0.172</v>
      </c>
    </row>
    <row r="166" customFormat="false" ht="15" hidden="false" customHeight="false" outlineLevel="0" collapsed="false">
      <c r="A166" s="256"/>
      <c r="B166" s="202" t="s">
        <v>374</v>
      </c>
      <c r="C166" s="259" t="n">
        <v>0.0568</v>
      </c>
      <c r="D166" s="259" t="n">
        <v>0.155</v>
      </c>
      <c r="E166" s="259" t="n">
        <v>0.2533</v>
      </c>
      <c r="F166" s="259" t="n">
        <v>0.3515</v>
      </c>
      <c r="G166" s="259" t="n">
        <v>0.4498</v>
      </c>
      <c r="H166" s="226" t="n">
        <v>0.548</v>
      </c>
    </row>
    <row r="167" customFormat="false" ht="15" hidden="false" customHeight="false" outlineLevel="0" collapsed="false">
      <c r="A167" s="256"/>
      <c r="B167" s="202" t="s">
        <v>576</v>
      </c>
      <c r="C167" s="259" t="n">
        <v>0.0086</v>
      </c>
      <c r="D167" s="259" t="n">
        <v>0.0301</v>
      </c>
      <c r="E167" s="259" t="n">
        <v>0.0516</v>
      </c>
      <c r="F167" s="259" t="n">
        <v>0.0731</v>
      </c>
      <c r="G167" s="259" t="n">
        <v>0.0945</v>
      </c>
      <c r="H167" s="226" t="n">
        <v>0.116</v>
      </c>
    </row>
    <row r="168" customFormat="false" ht="15" hidden="false" customHeight="false" outlineLevel="0" collapsed="false">
      <c r="A168" s="256" t="s">
        <v>566</v>
      </c>
      <c r="B168" s="202" t="s">
        <v>575</v>
      </c>
      <c r="C168" s="259" t="n">
        <v>0.9826</v>
      </c>
      <c r="D168" s="259" t="n">
        <v>0.939</v>
      </c>
      <c r="E168" s="259" t="n">
        <v>0.8954</v>
      </c>
      <c r="F168" s="259" t="n">
        <v>0.8518</v>
      </c>
      <c r="G168" s="259" t="n">
        <v>0.8083</v>
      </c>
      <c r="H168" s="226" t="n">
        <v>0.7647</v>
      </c>
    </row>
    <row r="169" customFormat="false" ht="15" hidden="false" customHeight="false" outlineLevel="0" collapsed="false">
      <c r="A169" s="256"/>
      <c r="B169" s="202" t="s">
        <v>192</v>
      </c>
      <c r="C169" s="259" t="n">
        <v>0.0174</v>
      </c>
      <c r="D169" s="259" t="n">
        <v>0.061</v>
      </c>
      <c r="E169" s="259" t="n">
        <v>0.1046</v>
      </c>
      <c r="F169" s="259" t="n">
        <v>0.1482</v>
      </c>
      <c r="G169" s="259" t="n">
        <v>0.1917</v>
      </c>
      <c r="H169" s="226" t="n">
        <v>0.2353</v>
      </c>
    </row>
    <row r="170" customFormat="false" ht="15" hidden="false" customHeight="false" outlineLevel="0" collapsed="false">
      <c r="A170" s="256"/>
      <c r="B170" s="202" t="s">
        <v>374</v>
      </c>
      <c r="C170" s="259" t="n">
        <v>0</v>
      </c>
      <c r="D170" s="259" t="n">
        <v>0</v>
      </c>
      <c r="E170" s="259" t="n">
        <v>0</v>
      </c>
      <c r="F170" s="259" t="n">
        <v>0</v>
      </c>
      <c r="G170" s="259" t="n">
        <v>0</v>
      </c>
      <c r="H170" s="226" t="n">
        <v>0</v>
      </c>
    </row>
    <row r="171" customFormat="false" ht="15" hidden="false" customHeight="false" outlineLevel="0" collapsed="false">
      <c r="A171" s="256"/>
      <c r="B171" s="202" t="s">
        <v>576</v>
      </c>
      <c r="C171" s="259" t="n">
        <v>0</v>
      </c>
      <c r="D171" s="259" t="n">
        <v>0</v>
      </c>
      <c r="E171" s="259" t="n">
        <v>0</v>
      </c>
      <c r="F171" s="259" t="n">
        <v>0</v>
      </c>
      <c r="G171" s="259" t="n">
        <v>0</v>
      </c>
      <c r="H171" s="226" t="n">
        <v>0</v>
      </c>
    </row>
    <row r="172" customFormat="false" ht="15" hidden="false" customHeight="false" outlineLevel="0" collapsed="false">
      <c r="A172" s="256" t="s">
        <v>567</v>
      </c>
      <c r="B172" s="202" t="s">
        <v>575</v>
      </c>
      <c r="C172" s="259" t="n">
        <v>0.994397759103642</v>
      </c>
      <c r="D172" s="259" t="n">
        <v>0.991596638655462</v>
      </c>
      <c r="E172" s="259" t="n">
        <v>0.988795518207283</v>
      </c>
      <c r="F172" s="259" t="n">
        <v>0.985994397759104</v>
      </c>
      <c r="G172" s="259" t="n">
        <v>0.983193277310924</v>
      </c>
      <c r="H172" s="226" t="n">
        <v>0.980392156862745</v>
      </c>
    </row>
    <row r="173" customFormat="false" ht="15" hidden="false" customHeight="false" outlineLevel="0" collapsed="false">
      <c r="A173" s="256"/>
      <c r="B173" s="202" t="s">
        <v>192</v>
      </c>
      <c r="C173" s="259" t="n">
        <v>0</v>
      </c>
      <c r="D173" s="259" t="n">
        <v>0</v>
      </c>
      <c r="E173" s="259" t="n">
        <v>0</v>
      </c>
      <c r="F173" s="259" t="n">
        <v>0</v>
      </c>
      <c r="G173" s="259" t="n">
        <v>0</v>
      </c>
      <c r="H173" s="226" t="n">
        <v>0</v>
      </c>
    </row>
    <row r="174" customFormat="false" ht="15" hidden="false" customHeight="false" outlineLevel="0" collapsed="false">
      <c r="A174" s="256"/>
      <c r="B174" s="202" t="s">
        <v>374</v>
      </c>
      <c r="C174" s="259" t="n">
        <v>0.00560224089635854</v>
      </c>
      <c r="D174" s="259" t="n">
        <v>0.00840336134453782</v>
      </c>
      <c r="E174" s="259" t="n">
        <v>0.0112044817927171</v>
      </c>
      <c r="F174" s="259" t="n">
        <v>0.0140056022408964</v>
      </c>
      <c r="G174" s="259" t="n">
        <v>0.0168067226890756</v>
      </c>
      <c r="H174" s="226" t="n">
        <v>0.0196078431372549</v>
      </c>
    </row>
    <row r="175" customFormat="false" ht="15" hidden="false" customHeight="false" outlineLevel="0" collapsed="false">
      <c r="A175" s="256"/>
      <c r="B175" s="202" t="s">
        <v>576</v>
      </c>
      <c r="C175" s="259" t="n">
        <v>0</v>
      </c>
      <c r="D175" s="259" t="n">
        <v>0</v>
      </c>
      <c r="E175" s="259" t="n">
        <v>0</v>
      </c>
      <c r="F175" s="259" t="n">
        <v>0</v>
      </c>
      <c r="G175" s="259" t="n">
        <v>0</v>
      </c>
      <c r="H175" s="226" t="n">
        <v>0</v>
      </c>
    </row>
    <row r="176" customFormat="false" ht="15" hidden="false" customHeight="false" outlineLevel="0" collapsed="false">
      <c r="A176" s="201" t="s">
        <v>580</v>
      </c>
      <c r="B176" s="202" t="s">
        <v>575</v>
      </c>
      <c r="C176" s="259" t="n">
        <v>0.9103</v>
      </c>
      <c r="D176" s="259" t="n">
        <v>0.7303</v>
      </c>
      <c r="E176" s="259" t="n">
        <v>0.5502</v>
      </c>
      <c r="F176" s="259" t="n">
        <v>0.3701</v>
      </c>
      <c r="G176" s="259" t="n">
        <v>0.19</v>
      </c>
      <c r="H176" s="226" t="n">
        <v>0.01</v>
      </c>
    </row>
    <row r="177" customFormat="false" ht="15" hidden="false" customHeight="false" outlineLevel="0" collapsed="false">
      <c r="A177" s="201"/>
      <c r="B177" s="202" t="s">
        <v>192</v>
      </c>
      <c r="C177" s="259" t="n">
        <v>0.0173</v>
      </c>
      <c r="D177" s="259" t="n">
        <v>0.0478</v>
      </c>
      <c r="E177" s="259" t="n">
        <v>0.0784</v>
      </c>
      <c r="F177" s="259" t="n">
        <v>0.1089</v>
      </c>
      <c r="G177" s="259" t="n">
        <v>0.1395</v>
      </c>
      <c r="H177" s="226" t="n">
        <v>0.17</v>
      </c>
    </row>
    <row r="178" customFormat="false" ht="15" hidden="false" customHeight="false" outlineLevel="0" collapsed="false">
      <c r="A178" s="201"/>
      <c r="B178" s="202" t="s">
        <v>374</v>
      </c>
      <c r="C178" s="259" t="n">
        <v>0.065</v>
      </c>
      <c r="D178" s="259" t="n">
        <v>0.212</v>
      </c>
      <c r="E178" s="259" t="n">
        <v>0.359</v>
      </c>
      <c r="F178" s="259" t="n">
        <v>0.506</v>
      </c>
      <c r="G178" s="259" t="n">
        <v>0.653</v>
      </c>
      <c r="H178" s="226" t="n">
        <v>0.8</v>
      </c>
    </row>
    <row r="179" customFormat="false" ht="15" hidden="false" customHeight="false" outlineLevel="0" collapsed="false">
      <c r="A179" s="201"/>
      <c r="B179" s="205" t="s">
        <v>576</v>
      </c>
      <c r="C179" s="206" t="n">
        <v>0.0074</v>
      </c>
      <c r="D179" s="206" t="n">
        <v>0.0099</v>
      </c>
      <c r="E179" s="206" t="n">
        <v>0.0124</v>
      </c>
      <c r="F179" s="206" t="n">
        <v>0.015</v>
      </c>
      <c r="G179" s="206" t="n">
        <v>0.0175</v>
      </c>
      <c r="H179" s="207" t="n">
        <v>0.02</v>
      </c>
    </row>
    <row r="180" customFormat="false" ht="15" hidden="false" customHeight="false" outlineLevel="0" collapsed="false">
      <c r="A180" s="266"/>
      <c r="B180" s="266"/>
      <c r="C180" s="266"/>
      <c r="D180" s="266"/>
      <c r="E180" s="266"/>
      <c r="F180" s="266"/>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row>
    <row r="181" customFormat="false" ht="17.35" hidden="false" customHeight="false" outlineLevel="0" collapsed="false">
      <c r="A181" s="265" t="s">
        <v>581</v>
      </c>
      <c r="B181" s="265"/>
      <c r="C181" s="265"/>
      <c r="D181" s="265"/>
      <c r="E181" s="265"/>
      <c r="F181" s="265"/>
      <c r="G181" s="265"/>
      <c r="H181" s="265"/>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row>
    <row r="182" customFormat="false" ht="15" hidden="false" customHeight="false" outlineLevel="0" collapsed="false">
      <c r="A182" s="208" t="s">
        <v>36</v>
      </c>
      <c r="B182" s="202" t="s">
        <v>36</v>
      </c>
      <c r="C182" s="203" t="n">
        <v>2025</v>
      </c>
      <c r="D182" s="203" t="n">
        <v>2030</v>
      </c>
      <c r="E182" s="203" t="n">
        <v>2035</v>
      </c>
      <c r="F182" s="203" t="n">
        <v>2040</v>
      </c>
      <c r="G182" s="203" t="n">
        <v>2045</v>
      </c>
      <c r="H182" s="204" t="n">
        <v>2050</v>
      </c>
    </row>
    <row r="183" customFormat="false" ht="15" hidden="false" customHeight="false" outlineLevel="0" collapsed="false">
      <c r="A183" s="267" t="s">
        <v>582</v>
      </c>
      <c r="B183" s="202" t="s">
        <v>583</v>
      </c>
      <c r="C183" s="259" t="n">
        <v>0</v>
      </c>
      <c r="D183" s="259" t="n">
        <v>0</v>
      </c>
      <c r="E183" s="259" t="n">
        <v>0</v>
      </c>
      <c r="F183" s="259" t="n">
        <v>0</v>
      </c>
      <c r="G183" s="259" t="n">
        <v>0</v>
      </c>
      <c r="H183" s="259" t="n">
        <v>0</v>
      </c>
      <c r="I183" s="266"/>
      <c r="J183" s="266"/>
      <c r="K183" s="266"/>
      <c r="L183" s="266"/>
      <c r="M183" s="266"/>
      <c r="N183" s="266"/>
      <c r="O183" s="266"/>
      <c r="P183" s="266"/>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row>
    <row r="184" customFormat="false" ht="15" hidden="false" customHeight="false" outlineLevel="0" collapsed="false">
      <c r="A184" s="267"/>
      <c r="B184" s="202" t="s">
        <v>584</v>
      </c>
      <c r="C184" s="259" t="n">
        <v>0.35</v>
      </c>
      <c r="D184" s="259" t="n">
        <v>0.45</v>
      </c>
      <c r="E184" s="259" t="n">
        <v>0.5</v>
      </c>
      <c r="F184" s="259" t="n">
        <v>0.55</v>
      </c>
      <c r="G184" s="259" t="n">
        <v>0.58</v>
      </c>
      <c r="H184" s="259" t="n">
        <v>0.6</v>
      </c>
      <c r="I184" s="266"/>
      <c r="J184" s="266"/>
      <c r="K184" s="266"/>
      <c r="L184" s="266"/>
      <c r="M184" s="266"/>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row>
    <row r="185" customFormat="false" ht="15" hidden="false" customHeight="false" outlineLevel="0" collapsed="false">
      <c r="A185" s="267"/>
      <c r="B185" s="202" t="s">
        <v>585</v>
      </c>
      <c r="C185" s="259" t="n">
        <v>0.15</v>
      </c>
      <c r="D185" s="259" t="n">
        <v>0.05</v>
      </c>
      <c r="E185" s="259" t="n">
        <v>0</v>
      </c>
      <c r="F185" s="259" t="n">
        <v>0</v>
      </c>
      <c r="G185" s="259" t="n">
        <v>0</v>
      </c>
      <c r="H185" s="259" t="n">
        <v>0</v>
      </c>
      <c r="I185" s="266"/>
      <c r="J185" s="266"/>
      <c r="K185" s="266"/>
      <c r="L185" s="266"/>
      <c r="M185" s="266"/>
      <c r="N185" s="266"/>
      <c r="O185" s="266"/>
      <c r="P185" s="266"/>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row>
    <row r="186" customFormat="false" ht="15" hidden="false" customHeight="false" outlineLevel="0" collapsed="false">
      <c r="A186" s="267"/>
      <c r="B186" s="202" t="s">
        <v>586</v>
      </c>
      <c r="C186" s="259" t="n">
        <v>0.4</v>
      </c>
      <c r="D186" s="259" t="n">
        <v>0.45</v>
      </c>
      <c r="E186" s="259" t="n">
        <v>0.45</v>
      </c>
      <c r="F186" s="259" t="n">
        <v>0.4</v>
      </c>
      <c r="G186" s="259" t="n">
        <v>0.37</v>
      </c>
      <c r="H186" s="259" t="n">
        <v>0.35</v>
      </c>
      <c r="I186" s="266"/>
      <c r="J186" s="266"/>
      <c r="K186" s="266"/>
      <c r="L186" s="266"/>
      <c r="M186" s="266"/>
      <c r="N186" s="266"/>
      <c r="O186" s="266"/>
      <c r="P186" s="266"/>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row>
    <row r="187" customFormat="false" ht="15" hidden="false" customHeight="false" outlineLevel="0" collapsed="false">
      <c r="A187" s="267"/>
      <c r="B187" s="202" t="s">
        <v>587</v>
      </c>
      <c r="C187" s="259" t="n">
        <v>0.1</v>
      </c>
      <c r="D187" s="259" t="n">
        <v>0.05</v>
      </c>
      <c r="E187" s="259" t="n">
        <v>0.05</v>
      </c>
      <c r="F187" s="259" t="n">
        <v>0.05</v>
      </c>
      <c r="G187" s="259" t="n">
        <v>0.05</v>
      </c>
      <c r="H187" s="259" t="n">
        <v>0.05</v>
      </c>
      <c r="I187" s="266"/>
      <c r="J187" s="266"/>
      <c r="K187" s="266"/>
      <c r="L187" s="266"/>
      <c r="M187" s="266"/>
      <c r="N187" s="266"/>
      <c r="O187" s="266"/>
      <c r="P187" s="266"/>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row>
    <row r="188" customFormat="false" ht="15" hidden="false" customHeight="false" outlineLevel="0" collapsed="false">
      <c r="A188" s="267" t="s">
        <v>579</v>
      </c>
      <c r="B188" s="202" t="s">
        <v>583</v>
      </c>
      <c r="C188" s="259" t="n">
        <v>0</v>
      </c>
      <c r="D188" s="259" t="n">
        <v>0</v>
      </c>
      <c r="E188" s="259" t="n">
        <v>0</v>
      </c>
      <c r="F188" s="259" t="n">
        <v>0</v>
      </c>
      <c r="G188" s="259" t="n">
        <v>0</v>
      </c>
      <c r="H188" s="259" t="n">
        <v>0</v>
      </c>
      <c r="I188" s="266"/>
      <c r="J188" s="266"/>
      <c r="K188" s="266"/>
      <c r="L188" s="266"/>
      <c r="M188" s="266"/>
      <c r="N188" s="266"/>
      <c r="O188" s="266"/>
      <c r="P188" s="266"/>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row>
    <row r="189" customFormat="false" ht="15" hidden="false" customHeight="false" outlineLevel="0" collapsed="false">
      <c r="A189" s="267"/>
      <c r="B189" s="202" t="s">
        <v>584</v>
      </c>
      <c r="C189" s="259" t="n">
        <v>0.65</v>
      </c>
      <c r="D189" s="259" t="n">
        <v>0.85</v>
      </c>
      <c r="E189" s="259" t="n">
        <v>0.95</v>
      </c>
      <c r="F189" s="259" t="n">
        <v>0.95</v>
      </c>
      <c r="G189" s="259" t="n">
        <v>0.95</v>
      </c>
      <c r="H189" s="259" t="n">
        <v>0.95</v>
      </c>
      <c r="I189" s="266"/>
      <c r="J189" s="266"/>
      <c r="K189" s="266"/>
      <c r="L189" s="266"/>
      <c r="M189" s="266"/>
      <c r="N189" s="266"/>
      <c r="O189" s="266"/>
      <c r="P189" s="266"/>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row>
    <row r="190" customFormat="false" ht="15" hidden="false" customHeight="false" outlineLevel="0" collapsed="false">
      <c r="A190" s="267"/>
      <c r="B190" s="202" t="s">
        <v>585</v>
      </c>
      <c r="C190" s="259" t="n">
        <v>0.25</v>
      </c>
      <c r="D190" s="259" t="n">
        <v>0.15</v>
      </c>
      <c r="E190" s="259" t="n">
        <v>0.05</v>
      </c>
      <c r="F190" s="259" t="n">
        <v>0.05</v>
      </c>
      <c r="G190" s="259" t="n">
        <v>0.05</v>
      </c>
      <c r="H190" s="259" t="n">
        <v>0.05</v>
      </c>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row>
    <row r="191" customFormat="false" ht="15" hidden="false" customHeight="false" outlineLevel="0" collapsed="false">
      <c r="A191" s="267"/>
      <c r="B191" s="202" t="s">
        <v>586</v>
      </c>
      <c r="C191" s="259" t="n">
        <v>0.1</v>
      </c>
      <c r="D191" s="259" t="n">
        <v>0</v>
      </c>
      <c r="E191" s="259" t="n">
        <v>0</v>
      </c>
      <c r="F191" s="259" t="n">
        <v>0</v>
      </c>
      <c r="G191" s="259" t="n">
        <v>0</v>
      </c>
      <c r="H191" s="259" t="n">
        <v>0</v>
      </c>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row>
    <row r="192" customFormat="false" ht="15" hidden="false" customHeight="false" outlineLevel="0" collapsed="false">
      <c r="A192" s="267"/>
      <c r="B192" s="202" t="s">
        <v>587</v>
      </c>
      <c r="C192" s="259" t="n">
        <v>0</v>
      </c>
      <c r="D192" s="259" t="n">
        <v>0</v>
      </c>
      <c r="E192" s="259" t="n">
        <v>0</v>
      </c>
      <c r="F192" s="259" t="n">
        <v>0</v>
      </c>
      <c r="G192" s="259" t="n">
        <v>0</v>
      </c>
      <c r="H192" s="259" t="n">
        <v>0</v>
      </c>
      <c r="I192" s="266"/>
      <c r="J192" s="266"/>
      <c r="K192" s="266"/>
      <c r="L192" s="266"/>
      <c r="M192" s="266"/>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row>
    <row r="193" customFormat="false" ht="15" hidden="false" customHeight="false" outlineLevel="0" collapsed="false">
      <c r="A193" s="267" t="s">
        <v>588</v>
      </c>
      <c r="B193" s="202" t="s">
        <v>583</v>
      </c>
      <c r="C193" s="259" t="n">
        <v>0</v>
      </c>
      <c r="D193" s="259" t="n">
        <v>0</v>
      </c>
      <c r="E193" s="259" t="n">
        <v>0</v>
      </c>
      <c r="F193" s="259" t="n">
        <v>0</v>
      </c>
      <c r="G193" s="259" t="n">
        <v>0</v>
      </c>
      <c r="H193" s="259" t="n">
        <v>0</v>
      </c>
      <c r="I193" s="266"/>
      <c r="J193" s="266"/>
      <c r="K193" s="266"/>
      <c r="L193" s="266"/>
      <c r="M193" s="266"/>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row>
    <row r="194" customFormat="false" ht="15" hidden="false" customHeight="false" outlineLevel="0" collapsed="false">
      <c r="A194" s="267"/>
      <c r="B194" s="202" t="s">
        <v>584</v>
      </c>
      <c r="C194" s="259" t="n">
        <v>0.2</v>
      </c>
      <c r="D194" s="259" t="n">
        <v>0.35</v>
      </c>
      <c r="E194" s="259" t="n">
        <v>0.45</v>
      </c>
      <c r="F194" s="259" t="n">
        <v>0.5</v>
      </c>
      <c r="G194" s="259" t="n">
        <v>0.52</v>
      </c>
      <c r="H194" s="259" t="n">
        <v>0.55</v>
      </c>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row>
    <row r="195" customFormat="false" ht="15" hidden="false" customHeight="false" outlineLevel="0" collapsed="false">
      <c r="A195" s="267"/>
      <c r="B195" s="202" t="s">
        <v>585</v>
      </c>
      <c r="C195" s="259" t="n">
        <v>0.65</v>
      </c>
      <c r="D195" s="259" t="n">
        <v>0.65</v>
      </c>
      <c r="E195" s="259" t="n">
        <v>0.55</v>
      </c>
      <c r="F195" s="259" t="n">
        <v>0.5</v>
      </c>
      <c r="G195" s="259" t="n">
        <v>0.48</v>
      </c>
      <c r="H195" s="259" t="n">
        <v>0.45</v>
      </c>
      <c r="I195" s="266"/>
      <c r="J195" s="266"/>
      <c r="K195" s="266"/>
      <c r="L195" s="266"/>
      <c r="M195" s="266"/>
      <c r="N195" s="266"/>
      <c r="O195" s="266"/>
      <c r="P195" s="266"/>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row>
    <row r="196" customFormat="false" ht="15" hidden="false" customHeight="false" outlineLevel="0" collapsed="false">
      <c r="A196" s="267"/>
      <c r="B196" s="202" t="s">
        <v>586</v>
      </c>
      <c r="C196" s="259" t="n">
        <v>0.15</v>
      </c>
      <c r="D196" s="259" t="n">
        <v>0</v>
      </c>
      <c r="E196" s="259" t="n">
        <v>0</v>
      </c>
      <c r="F196" s="259" t="n">
        <v>0</v>
      </c>
      <c r="G196" s="259" t="n">
        <v>0</v>
      </c>
      <c r="H196" s="259" t="n">
        <v>0</v>
      </c>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row>
    <row r="197" customFormat="false" ht="15" hidden="false" customHeight="false" outlineLevel="0" collapsed="false">
      <c r="A197" s="267"/>
      <c r="B197" s="202" t="s">
        <v>587</v>
      </c>
      <c r="C197" s="259" t="n">
        <v>0</v>
      </c>
      <c r="D197" s="259" t="n">
        <v>0</v>
      </c>
      <c r="E197" s="259" t="n">
        <v>0</v>
      </c>
      <c r="F197" s="259" t="n">
        <v>0</v>
      </c>
      <c r="G197" s="259" t="n">
        <v>0</v>
      </c>
      <c r="H197" s="259" t="n">
        <v>0</v>
      </c>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row>
    <row r="198" customFormat="false" ht="15" hidden="false" customHeight="false" outlineLevel="0" collapsed="false">
      <c r="A198" s="267" t="s">
        <v>589</v>
      </c>
      <c r="B198" s="202" t="s">
        <v>583</v>
      </c>
      <c r="C198" s="259" t="n">
        <v>0</v>
      </c>
      <c r="D198" s="259" t="n">
        <v>0</v>
      </c>
      <c r="E198" s="259" t="n">
        <v>0</v>
      </c>
      <c r="F198" s="259" t="n">
        <v>0</v>
      </c>
      <c r="G198" s="259" t="n">
        <v>0</v>
      </c>
      <c r="H198" s="259" t="n">
        <v>0</v>
      </c>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row>
    <row r="199" customFormat="false" ht="15" hidden="false" customHeight="false" outlineLevel="0" collapsed="false">
      <c r="A199" s="267"/>
      <c r="B199" s="202" t="s">
        <v>584</v>
      </c>
      <c r="C199" s="259" t="n">
        <v>0.15</v>
      </c>
      <c r="D199" s="259" t="n">
        <v>0.25</v>
      </c>
      <c r="E199" s="259" t="n">
        <v>0.3</v>
      </c>
      <c r="F199" s="259" t="n">
        <v>0.35</v>
      </c>
      <c r="G199" s="259" t="n">
        <v>0.38</v>
      </c>
      <c r="H199" s="259" t="n">
        <v>0.4</v>
      </c>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row>
    <row r="200" customFormat="false" ht="15" hidden="false" customHeight="false" outlineLevel="0" collapsed="false">
      <c r="A200" s="267"/>
      <c r="B200" s="202" t="s">
        <v>585</v>
      </c>
      <c r="C200" s="259" t="n">
        <v>0.7</v>
      </c>
      <c r="D200" s="259" t="n">
        <v>0.75</v>
      </c>
      <c r="E200" s="259" t="n">
        <v>0.7</v>
      </c>
      <c r="F200" s="259" t="n">
        <v>0.65</v>
      </c>
      <c r="G200" s="259" t="n">
        <v>0.62</v>
      </c>
      <c r="H200" s="259" t="n">
        <v>0.6</v>
      </c>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row>
    <row r="201" customFormat="false" ht="15" hidden="false" customHeight="false" outlineLevel="0" collapsed="false">
      <c r="A201" s="267"/>
      <c r="B201" s="202" t="s">
        <v>586</v>
      </c>
      <c r="C201" s="259" t="n">
        <v>0.15</v>
      </c>
      <c r="D201" s="259" t="n">
        <v>0</v>
      </c>
      <c r="E201" s="259" t="n">
        <v>0</v>
      </c>
      <c r="F201" s="259" t="n">
        <v>0</v>
      </c>
      <c r="G201" s="259" t="n">
        <v>0</v>
      </c>
      <c r="H201" s="259" t="n">
        <v>0</v>
      </c>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row>
    <row r="202" customFormat="false" ht="15" hidden="false" customHeight="false" outlineLevel="0" collapsed="false">
      <c r="A202" s="267"/>
      <c r="B202" s="202" t="s">
        <v>587</v>
      </c>
      <c r="C202" s="259" t="n">
        <v>0</v>
      </c>
      <c r="D202" s="259" t="n">
        <v>0</v>
      </c>
      <c r="E202" s="259" t="n">
        <v>0</v>
      </c>
      <c r="F202" s="259" t="n">
        <v>0</v>
      </c>
      <c r="G202" s="259" t="n">
        <v>0</v>
      </c>
      <c r="H202" s="259" t="n">
        <v>0</v>
      </c>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row>
    <row r="203" customFormat="false" ht="15" hidden="false" customHeight="true" outlineLevel="0" collapsed="false"/>
    <row r="204" customFormat="false" ht="21.75" hidden="false" customHeight="true" outlineLevel="0" collapsed="false">
      <c r="A204" s="199" t="s">
        <v>590</v>
      </c>
    </row>
    <row r="205" customFormat="false" ht="17.35" hidden="false" customHeight="false" outlineLevel="0" collapsed="false">
      <c r="A205" s="200" t="s">
        <v>317</v>
      </c>
      <c r="B205" s="200"/>
      <c r="C205" s="200"/>
      <c r="D205" s="200"/>
      <c r="E205" s="200"/>
    </row>
    <row r="206" customFormat="false" ht="85.5" hidden="false" customHeight="true" outlineLevel="0" collapsed="false">
      <c r="A206" s="268" t="s">
        <v>318</v>
      </c>
      <c r="B206" s="268"/>
      <c r="C206" s="268"/>
      <c r="D206" s="268"/>
      <c r="E206" s="268"/>
    </row>
    <row r="207" customFormat="false" ht="15" hidden="false" customHeight="true" outlineLevel="0" collapsed="false">
      <c r="A207" s="78"/>
      <c r="B207" s="78"/>
      <c r="C207" s="78"/>
      <c r="D207" s="78"/>
      <c r="E207" s="78"/>
      <c r="F207" s="78"/>
      <c r="G207" s="78" t="s">
        <v>591</v>
      </c>
      <c r="H207" s="78" t="n">
        <v>2025</v>
      </c>
      <c r="I207" s="78" t="n">
        <v>2030</v>
      </c>
      <c r="J207" s="78" t="n">
        <v>2035</v>
      </c>
      <c r="K207" s="78" t="n">
        <v>2040</v>
      </c>
      <c r="L207" s="78" t="n">
        <v>2045</v>
      </c>
      <c r="M207" s="78" t="n">
        <v>2050</v>
      </c>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row>
    <row r="208" customFormat="false" ht="13.5" hidden="false" customHeight="true" outlineLevel="0" collapsed="false">
      <c r="A208" s="269" t="s">
        <v>319</v>
      </c>
      <c r="B208" s="270" t="s">
        <v>320</v>
      </c>
      <c r="C208" s="271" t="n">
        <v>3</v>
      </c>
      <c r="D208" s="78"/>
      <c r="F208" s="78"/>
      <c r="G208" s="78" t="s">
        <v>592</v>
      </c>
      <c r="H208" s="78" t="n">
        <v>0.11765198</v>
      </c>
      <c r="I208" s="78" t="n">
        <v>0.09412158</v>
      </c>
      <c r="J208" s="78" t="n">
        <v>0.07059119</v>
      </c>
      <c r="K208" s="149" t="n">
        <v>0.04706079</v>
      </c>
      <c r="L208" s="149" t="n">
        <v>0.02353039</v>
      </c>
      <c r="M208" s="78" t="n">
        <v>0</v>
      </c>
      <c r="N208" s="78"/>
    </row>
    <row r="209" customFormat="false" ht="15.75" hidden="false" customHeight="false" outlineLevel="0" collapsed="false">
      <c r="A209" s="269"/>
      <c r="B209" s="202" t="s">
        <v>321</v>
      </c>
      <c r="C209" s="271"/>
      <c r="D209" s="151"/>
      <c r="E209" s="151"/>
      <c r="F209" s="151"/>
      <c r="G209" s="151" t="s">
        <v>593</v>
      </c>
      <c r="H209" s="151" t="n">
        <v>0</v>
      </c>
      <c r="I209" s="151" t="n">
        <v>0</v>
      </c>
      <c r="J209" s="151" t="n">
        <v>0</v>
      </c>
      <c r="K209" s="151" t="n">
        <v>0</v>
      </c>
      <c r="L209" s="151" t="n">
        <v>0</v>
      </c>
      <c r="M209" s="151" t="n">
        <v>0</v>
      </c>
      <c r="N209" s="151"/>
    </row>
    <row r="210" customFormat="false" ht="28.5" hidden="false" customHeight="true" outlineLevel="0" collapsed="false">
      <c r="A210" s="269"/>
      <c r="B210" s="205" t="s">
        <v>322</v>
      </c>
      <c r="C210" s="271"/>
      <c r="D210" s="78"/>
      <c r="E210" s="78"/>
      <c r="F210" s="78"/>
      <c r="G210" s="78" t="s">
        <v>594</v>
      </c>
      <c r="H210" s="78" t="n">
        <v>0.88234802</v>
      </c>
      <c r="I210" s="78" t="n">
        <v>0.90587842</v>
      </c>
      <c r="J210" s="78" t="n">
        <v>0.92940881</v>
      </c>
      <c r="K210" s="78" t="n">
        <v>0.95293921</v>
      </c>
      <c r="L210" s="78" t="n">
        <v>0.97646961</v>
      </c>
      <c r="M210" s="78" t="n">
        <v>1</v>
      </c>
      <c r="N210" s="78"/>
    </row>
    <row r="211" customFormat="false" ht="15" hidden="false" customHeight="false" outlineLevel="0" collapsed="false">
      <c r="G211" s="1" t="s">
        <v>595</v>
      </c>
      <c r="H211" s="1" t="n">
        <v>0</v>
      </c>
      <c r="I211" s="1" t="n">
        <v>0</v>
      </c>
      <c r="J211" s="1" t="n">
        <v>0</v>
      </c>
      <c r="K211" s="1" t="n">
        <v>0</v>
      </c>
      <c r="L211" s="1" t="n">
        <v>0</v>
      </c>
      <c r="M211" s="1" t="n">
        <v>0</v>
      </c>
    </row>
    <row r="212" customFormat="false" ht="15.75" hidden="false" customHeight="true" outlineLevel="0" collapsed="false">
      <c r="A212" s="200" t="s">
        <v>323</v>
      </c>
      <c r="B212" s="200"/>
      <c r="C212" s="200"/>
    </row>
    <row r="213" customFormat="false" ht="15" hidden="false" customHeight="false" outlineLevel="0" collapsed="false">
      <c r="A213" s="208" t="s">
        <v>324</v>
      </c>
      <c r="B213" s="202" t="s">
        <v>28</v>
      </c>
      <c r="C213" s="204" t="n">
        <v>0.3</v>
      </c>
    </row>
    <row r="214" customFormat="false" ht="30.75" hidden="false" customHeight="false" outlineLevel="0" collapsed="false">
      <c r="A214" s="272" t="s">
        <v>326</v>
      </c>
      <c r="B214" s="205" t="s">
        <v>327</v>
      </c>
      <c r="C214" s="248" t="n">
        <v>0.031</v>
      </c>
    </row>
    <row r="215" customFormat="false" ht="15.75" hidden="false" customHeight="true" outlineLevel="0" collapsed="false">
      <c r="A215" s="239" t="s">
        <v>596</v>
      </c>
      <c r="B215" s="239"/>
      <c r="C215" s="273" t="s">
        <v>580</v>
      </c>
      <c r="D215" s="273" t="s">
        <v>597</v>
      </c>
      <c r="E215" s="273" t="s">
        <v>598</v>
      </c>
      <c r="F215" s="273" t="s">
        <v>599</v>
      </c>
      <c r="G215" s="273" t="s">
        <v>600</v>
      </c>
      <c r="H215" s="273" t="s">
        <v>601</v>
      </c>
      <c r="I215" s="273" t="s">
        <v>602</v>
      </c>
      <c r="J215" s="273" t="s">
        <v>603</v>
      </c>
      <c r="K215" s="273" t="s">
        <v>354</v>
      </c>
      <c r="L215" s="273" t="s">
        <v>369</v>
      </c>
      <c r="M215" s="273" t="s">
        <v>604</v>
      </c>
      <c r="N215" s="273" t="s">
        <v>605</v>
      </c>
      <c r="O215" s="273" t="s">
        <v>606</v>
      </c>
      <c r="P215" s="273" t="s">
        <v>607</v>
      </c>
      <c r="Q215" s="274" t="s">
        <v>608</v>
      </c>
      <c r="R215" s="274" t="s">
        <v>609</v>
      </c>
      <c r="S215" s="274" t="s">
        <v>610</v>
      </c>
      <c r="T215" s="274" t="s">
        <v>611</v>
      </c>
      <c r="U215" s="274" t="s">
        <v>612</v>
      </c>
      <c r="V215" s="274" t="s">
        <v>613</v>
      </c>
      <c r="W215" s="274" t="s">
        <v>614</v>
      </c>
      <c r="X215" s="274" t="s">
        <v>615</v>
      </c>
      <c r="Y215" s="274" t="s">
        <v>616</v>
      </c>
      <c r="Z215" s="274" t="s">
        <v>617</v>
      </c>
      <c r="AA215" s="274" t="s">
        <v>618</v>
      </c>
      <c r="AB215" s="274" t="s">
        <v>619</v>
      </c>
      <c r="AC215" s="274" t="s">
        <v>620</v>
      </c>
      <c r="AD215" s="274" t="s">
        <v>621</v>
      </c>
      <c r="AE215" s="1" t="s">
        <v>622</v>
      </c>
      <c r="AF215" s="1" t="s">
        <v>623</v>
      </c>
      <c r="AG215" s="1" t="s">
        <v>624</v>
      </c>
      <c r="AH215" s="1" t="s">
        <v>625</v>
      </c>
      <c r="AI215" s="1" t="s">
        <v>626</v>
      </c>
      <c r="AJ215" s="1" t="s">
        <v>627</v>
      </c>
      <c r="AK215" s="1" t="s">
        <v>628</v>
      </c>
      <c r="AL215" s="1" t="s">
        <v>629</v>
      </c>
      <c r="AM215" s="1" t="s">
        <v>630</v>
      </c>
      <c r="AN215" s="1" t="s">
        <v>631</v>
      </c>
      <c r="AO215" s="1" t="s">
        <v>632</v>
      </c>
      <c r="AP215" s="1" t="s">
        <v>633</v>
      </c>
      <c r="AQ215" s="1" t="s">
        <v>634</v>
      </c>
      <c r="AR215" s="1" t="s">
        <v>635</v>
      </c>
      <c r="AS215" s="1" t="s">
        <v>636</v>
      </c>
      <c r="AT215" s="1" t="s">
        <v>637</v>
      </c>
      <c r="AU215" s="1" t="s">
        <v>638</v>
      </c>
      <c r="AV215" s="1" t="s">
        <v>639</v>
      </c>
      <c r="AW215" s="1" t="s">
        <v>640</v>
      </c>
      <c r="AX215" s="1" t="s">
        <v>641</v>
      </c>
      <c r="AY215" s="1" t="s">
        <v>642</v>
      </c>
      <c r="AZ215" s="1" t="s">
        <v>643</v>
      </c>
    </row>
    <row r="216" customFormat="false" ht="15" hidden="false" customHeight="false" outlineLevel="0" collapsed="false">
      <c r="A216" s="275" t="s">
        <v>374</v>
      </c>
      <c r="B216" s="275"/>
      <c r="C216" s="276" t="n">
        <v>2030</v>
      </c>
      <c r="D216" s="276" t="n">
        <v>2030</v>
      </c>
      <c r="E216" s="276" t="n">
        <v>2030</v>
      </c>
      <c r="F216" s="276" t="n">
        <v>2030</v>
      </c>
      <c r="G216" s="276" t="n">
        <v>2030</v>
      </c>
      <c r="H216" s="276" t="n">
        <v>2030</v>
      </c>
      <c r="I216" s="276" t="n">
        <v>2030</v>
      </c>
      <c r="J216" s="276" t="n">
        <v>2030</v>
      </c>
      <c r="K216" s="276" t="n">
        <v>2030</v>
      </c>
      <c r="L216" s="276" t="n">
        <v>2030</v>
      </c>
      <c r="M216" s="276" t="n">
        <v>2030</v>
      </c>
      <c r="N216" s="276" t="n">
        <v>2030</v>
      </c>
      <c r="O216" s="276" t="n">
        <v>2030</v>
      </c>
      <c r="P216" s="276" t="n">
        <v>2030</v>
      </c>
      <c r="Q216" s="277" t="n">
        <v>2030</v>
      </c>
      <c r="R216" s="277" t="n">
        <v>2030</v>
      </c>
      <c r="S216" s="277" t="n">
        <v>2030</v>
      </c>
      <c r="T216" s="277" t="n">
        <v>2030</v>
      </c>
      <c r="U216" s="277" t="n">
        <v>2030</v>
      </c>
      <c r="V216" s="277" t="n">
        <v>2030</v>
      </c>
      <c r="W216" s="277" t="n">
        <v>2030</v>
      </c>
      <c r="X216" s="277" t="n">
        <v>2030</v>
      </c>
      <c r="Y216" s="277" t="n">
        <v>2030</v>
      </c>
      <c r="Z216" s="277" t="n">
        <v>2030</v>
      </c>
      <c r="AA216" s="277" t="n">
        <v>2030</v>
      </c>
      <c r="AB216" s="277" t="n">
        <v>2030</v>
      </c>
      <c r="AC216" s="277" t="n">
        <v>2030</v>
      </c>
      <c r="AD216" s="277" t="n">
        <v>2030</v>
      </c>
      <c r="AE216" s="277" t="n">
        <v>2030</v>
      </c>
      <c r="AF216" s="277" t="n">
        <v>2030</v>
      </c>
      <c r="AG216" s="277" t="n">
        <v>2030</v>
      </c>
      <c r="AH216" s="277" t="n">
        <v>2030</v>
      </c>
      <c r="AI216" s="277" t="n">
        <v>2030</v>
      </c>
      <c r="AJ216" s="277" t="n">
        <v>2030</v>
      </c>
      <c r="AK216" s="277" t="n">
        <v>2030</v>
      </c>
      <c r="AL216" s="277" t="n">
        <v>2030</v>
      </c>
      <c r="AM216" s="277" t="n">
        <v>2030</v>
      </c>
      <c r="AN216" s="277" t="n">
        <v>2030</v>
      </c>
      <c r="AO216" s="277" t="n">
        <v>2030</v>
      </c>
      <c r="AP216" s="277" t="n">
        <v>2030</v>
      </c>
      <c r="AQ216" s="277" t="n">
        <v>2030</v>
      </c>
      <c r="AR216" s="277" t="n">
        <v>2030</v>
      </c>
      <c r="AS216" s="277" t="n">
        <v>2030</v>
      </c>
      <c r="AT216" s="277" t="n">
        <v>2030</v>
      </c>
      <c r="AU216" s="277" t="n">
        <v>2030</v>
      </c>
      <c r="AV216" s="277" t="n">
        <v>2030</v>
      </c>
      <c r="AW216" s="277" t="n">
        <v>2030</v>
      </c>
      <c r="AX216" s="277" t="n">
        <v>2030</v>
      </c>
      <c r="AY216" s="277" t="n">
        <v>2030</v>
      </c>
      <c r="AZ216" s="277" t="n">
        <v>2030</v>
      </c>
    </row>
    <row r="217" customFormat="false" ht="15" hidden="false" customHeight="false" outlineLevel="0" collapsed="false">
      <c r="A217" s="275" t="s">
        <v>375</v>
      </c>
      <c r="B217" s="275"/>
      <c r="C217" s="276" t="n">
        <v>2030</v>
      </c>
      <c r="D217" s="276" t="n">
        <v>2030</v>
      </c>
      <c r="E217" s="276" t="n">
        <v>2030</v>
      </c>
      <c r="F217" s="276" t="n">
        <v>2030</v>
      </c>
      <c r="G217" s="276" t="n">
        <v>2030</v>
      </c>
      <c r="H217" s="276" t="n">
        <v>2030</v>
      </c>
      <c r="I217" s="276" t="n">
        <v>2030</v>
      </c>
      <c r="J217" s="276" t="n">
        <v>2030</v>
      </c>
      <c r="K217" s="276" t="n">
        <v>2030</v>
      </c>
      <c r="L217" s="276" t="n">
        <v>2030</v>
      </c>
      <c r="M217" s="276" t="n">
        <v>2030</v>
      </c>
      <c r="N217" s="276" t="n">
        <v>2030</v>
      </c>
      <c r="O217" s="276" t="n">
        <v>2030</v>
      </c>
      <c r="P217" s="276" t="n">
        <v>2030</v>
      </c>
      <c r="Q217" s="277" t="n">
        <v>2030</v>
      </c>
      <c r="R217" s="277" t="n">
        <v>2030</v>
      </c>
      <c r="S217" s="277" t="n">
        <v>2030</v>
      </c>
      <c r="T217" s="277" t="n">
        <v>2030</v>
      </c>
      <c r="U217" s="277" t="n">
        <v>2030</v>
      </c>
      <c r="V217" s="277" t="n">
        <v>2030</v>
      </c>
      <c r="W217" s="277" t="n">
        <v>2030</v>
      </c>
      <c r="X217" s="277" t="n">
        <v>2030</v>
      </c>
      <c r="Y217" s="277" t="n">
        <v>2030</v>
      </c>
      <c r="Z217" s="277" t="n">
        <v>2030</v>
      </c>
      <c r="AA217" s="277" t="n">
        <v>2030</v>
      </c>
      <c r="AB217" s="277" t="n">
        <v>2030</v>
      </c>
      <c r="AC217" s="277" t="n">
        <v>2030</v>
      </c>
      <c r="AD217" s="277" t="n">
        <v>2030</v>
      </c>
      <c r="AE217" s="277" t="n">
        <v>2030</v>
      </c>
      <c r="AF217" s="277" t="n">
        <v>2030</v>
      </c>
      <c r="AG217" s="277" t="n">
        <v>2030</v>
      </c>
      <c r="AH217" s="277" t="n">
        <v>2030</v>
      </c>
      <c r="AI217" s="277" t="n">
        <v>2030</v>
      </c>
      <c r="AJ217" s="277" t="n">
        <v>2030</v>
      </c>
      <c r="AK217" s="277" t="n">
        <v>2030</v>
      </c>
      <c r="AL217" s="277" t="n">
        <v>2030</v>
      </c>
      <c r="AM217" s="277" t="n">
        <v>2030</v>
      </c>
      <c r="AN217" s="277" t="n">
        <v>2030</v>
      </c>
      <c r="AO217" s="277" t="n">
        <v>2030</v>
      </c>
      <c r="AP217" s="277" t="n">
        <v>2030</v>
      </c>
      <c r="AQ217" s="277" t="n">
        <v>2030</v>
      </c>
      <c r="AR217" s="277" t="n">
        <v>2030</v>
      </c>
      <c r="AS217" s="277" t="n">
        <v>2030</v>
      </c>
      <c r="AT217" s="277" t="n">
        <v>2030</v>
      </c>
      <c r="AU217" s="277" t="n">
        <v>2030</v>
      </c>
      <c r="AV217" s="277" t="n">
        <v>2030</v>
      </c>
      <c r="AW217" s="277" t="n">
        <v>2030</v>
      </c>
      <c r="AX217" s="277" t="n">
        <v>2030</v>
      </c>
      <c r="AY217" s="277" t="n">
        <v>2030</v>
      </c>
      <c r="AZ217" s="277" t="n">
        <v>2030</v>
      </c>
    </row>
    <row r="218" customFormat="false" ht="15" hidden="false" customHeight="false" outlineLevel="0" collapsed="false">
      <c r="A218" s="275" t="s">
        <v>376</v>
      </c>
      <c r="B218" s="275"/>
      <c r="C218" s="276" t="n">
        <v>2030</v>
      </c>
      <c r="D218" s="276" t="n">
        <v>2030</v>
      </c>
      <c r="E218" s="276" t="n">
        <v>2030</v>
      </c>
      <c r="F218" s="276" t="n">
        <v>2030</v>
      </c>
      <c r="G218" s="276" t="n">
        <v>2030</v>
      </c>
      <c r="H218" s="276" t="n">
        <v>2030</v>
      </c>
      <c r="I218" s="276" t="n">
        <v>2030</v>
      </c>
      <c r="J218" s="276" t="n">
        <v>2030</v>
      </c>
      <c r="K218" s="276" t="n">
        <v>2030</v>
      </c>
      <c r="L218" s="276" t="n">
        <v>2030</v>
      </c>
      <c r="M218" s="276" t="n">
        <v>2030</v>
      </c>
      <c r="N218" s="276" t="n">
        <v>2030</v>
      </c>
      <c r="O218" s="276" t="n">
        <v>2030</v>
      </c>
      <c r="P218" s="276" t="n">
        <v>2030</v>
      </c>
      <c r="Q218" s="277" t="n">
        <v>2030</v>
      </c>
      <c r="R218" s="277" t="n">
        <v>2030</v>
      </c>
      <c r="S218" s="277" t="n">
        <v>2030</v>
      </c>
      <c r="T218" s="277" t="n">
        <v>2030</v>
      </c>
      <c r="U218" s="277" t="n">
        <v>2030</v>
      </c>
      <c r="V218" s="277" t="n">
        <v>2030</v>
      </c>
      <c r="W218" s="277" t="n">
        <v>2030</v>
      </c>
      <c r="X218" s="277" t="n">
        <v>2030</v>
      </c>
      <c r="Y218" s="277" t="n">
        <v>2030</v>
      </c>
      <c r="Z218" s="277" t="n">
        <v>2030</v>
      </c>
      <c r="AA218" s="277" t="n">
        <v>2030</v>
      </c>
      <c r="AB218" s="277" t="n">
        <v>2030</v>
      </c>
      <c r="AC218" s="277" t="n">
        <v>2030</v>
      </c>
      <c r="AD218" s="277" t="n">
        <v>2030</v>
      </c>
      <c r="AE218" s="277" t="n">
        <v>2030</v>
      </c>
      <c r="AF218" s="277" t="n">
        <v>2030</v>
      </c>
      <c r="AG218" s="277" t="n">
        <v>2030</v>
      </c>
      <c r="AH218" s="277" t="n">
        <v>2030</v>
      </c>
      <c r="AI218" s="277" t="n">
        <v>2030</v>
      </c>
      <c r="AJ218" s="277" t="n">
        <v>2030</v>
      </c>
      <c r="AK218" s="277" t="n">
        <v>2030</v>
      </c>
      <c r="AL218" s="277" t="n">
        <v>2030</v>
      </c>
      <c r="AM218" s="277" t="n">
        <v>2030</v>
      </c>
      <c r="AN218" s="277" t="n">
        <v>2030</v>
      </c>
      <c r="AO218" s="277" t="n">
        <v>2030</v>
      </c>
      <c r="AP218" s="277" t="n">
        <v>2030</v>
      </c>
      <c r="AQ218" s="277" t="n">
        <v>2030</v>
      </c>
      <c r="AR218" s="277" t="n">
        <v>2030</v>
      </c>
      <c r="AS218" s="277" t="n">
        <v>2030</v>
      </c>
      <c r="AT218" s="277" t="n">
        <v>2030</v>
      </c>
      <c r="AU218" s="277" t="n">
        <v>2030</v>
      </c>
      <c r="AV218" s="277" t="n">
        <v>2030</v>
      </c>
      <c r="AW218" s="277" t="n">
        <v>2030</v>
      </c>
      <c r="AX218" s="277" t="n">
        <v>2030</v>
      </c>
      <c r="AY218" s="277" t="n">
        <v>2030</v>
      </c>
      <c r="AZ218" s="277" t="n">
        <v>2030</v>
      </c>
    </row>
    <row r="219" customFormat="false" ht="15" hidden="false" customHeight="false" outlineLevel="0" collapsed="false">
      <c r="A219" s="275" t="s">
        <v>377</v>
      </c>
      <c r="B219" s="275"/>
      <c r="C219" s="276" t="n">
        <v>2030</v>
      </c>
      <c r="D219" s="276" t="n">
        <v>2030</v>
      </c>
      <c r="E219" s="276" t="n">
        <v>2030</v>
      </c>
      <c r="F219" s="276" t="n">
        <v>2030</v>
      </c>
      <c r="G219" s="276" t="n">
        <v>2030</v>
      </c>
      <c r="H219" s="276" t="n">
        <v>2030</v>
      </c>
      <c r="I219" s="276" t="n">
        <v>2030</v>
      </c>
      <c r="J219" s="276" t="n">
        <v>2030</v>
      </c>
      <c r="K219" s="276" t="n">
        <v>2030</v>
      </c>
      <c r="L219" s="276" t="n">
        <v>2030</v>
      </c>
      <c r="M219" s="276" t="n">
        <v>2030</v>
      </c>
      <c r="N219" s="276" t="n">
        <v>2030</v>
      </c>
      <c r="O219" s="276" t="n">
        <v>2030</v>
      </c>
      <c r="P219" s="276" t="n">
        <v>2030</v>
      </c>
      <c r="Q219" s="277" t="n">
        <v>2030</v>
      </c>
      <c r="R219" s="277" t="n">
        <v>2030</v>
      </c>
      <c r="S219" s="277" t="n">
        <v>2030</v>
      </c>
      <c r="T219" s="277" t="n">
        <v>2030</v>
      </c>
      <c r="U219" s="277" t="n">
        <v>2030</v>
      </c>
      <c r="V219" s="277" t="n">
        <v>2030</v>
      </c>
      <c r="W219" s="277" t="n">
        <v>2030</v>
      </c>
      <c r="X219" s="277" t="n">
        <v>2030</v>
      </c>
      <c r="Y219" s="277" t="n">
        <v>2030</v>
      </c>
      <c r="Z219" s="277" t="n">
        <v>2030</v>
      </c>
      <c r="AA219" s="277" t="n">
        <v>2030</v>
      </c>
      <c r="AB219" s="277" t="n">
        <v>2030</v>
      </c>
      <c r="AC219" s="277" t="n">
        <v>2030</v>
      </c>
      <c r="AD219" s="277" t="n">
        <v>2030</v>
      </c>
      <c r="AE219" s="277" t="n">
        <v>2030</v>
      </c>
      <c r="AF219" s="277" t="n">
        <v>2030</v>
      </c>
      <c r="AG219" s="277" t="n">
        <v>2030</v>
      </c>
      <c r="AH219" s="277" t="n">
        <v>2030</v>
      </c>
      <c r="AI219" s="277" t="n">
        <v>2030</v>
      </c>
      <c r="AJ219" s="277" t="n">
        <v>2030</v>
      </c>
      <c r="AK219" s="277" t="n">
        <v>2030</v>
      </c>
      <c r="AL219" s="277" t="n">
        <v>2030</v>
      </c>
      <c r="AM219" s="277" t="n">
        <v>2030</v>
      </c>
      <c r="AN219" s="277" t="n">
        <v>2030</v>
      </c>
      <c r="AO219" s="277" t="n">
        <v>2030</v>
      </c>
      <c r="AP219" s="277" t="n">
        <v>2030</v>
      </c>
      <c r="AQ219" s="277" t="n">
        <v>2030</v>
      </c>
      <c r="AR219" s="277" t="n">
        <v>2030</v>
      </c>
      <c r="AS219" s="277" t="n">
        <v>2030</v>
      </c>
      <c r="AT219" s="277" t="n">
        <v>2030</v>
      </c>
      <c r="AU219" s="277" t="n">
        <v>2030</v>
      </c>
      <c r="AV219" s="277" t="n">
        <v>2030</v>
      </c>
      <c r="AW219" s="277" t="n">
        <v>2030</v>
      </c>
      <c r="AX219" s="277" t="n">
        <v>2030</v>
      </c>
      <c r="AY219" s="277" t="n">
        <v>2030</v>
      </c>
      <c r="AZ219" s="277" t="n">
        <v>2030</v>
      </c>
    </row>
    <row r="220" customFormat="false" ht="15" hidden="false" customHeight="false" outlineLevel="0" collapsed="false">
      <c r="A220" s="275" t="s">
        <v>378</v>
      </c>
      <c r="B220" s="275"/>
      <c r="C220" s="276" t="n">
        <v>2030</v>
      </c>
      <c r="D220" s="276" t="n">
        <v>2030</v>
      </c>
      <c r="E220" s="276" t="n">
        <v>2030</v>
      </c>
      <c r="F220" s="276" t="n">
        <v>2030</v>
      </c>
      <c r="G220" s="276" t="n">
        <v>2030</v>
      </c>
      <c r="H220" s="276" t="n">
        <v>2030</v>
      </c>
      <c r="I220" s="276" t="n">
        <v>2030</v>
      </c>
      <c r="J220" s="276" t="n">
        <v>2030</v>
      </c>
      <c r="K220" s="276" t="n">
        <v>2030</v>
      </c>
      <c r="L220" s="276" t="n">
        <v>2030</v>
      </c>
      <c r="M220" s="276" t="n">
        <v>2030</v>
      </c>
      <c r="N220" s="276" t="n">
        <v>2030</v>
      </c>
      <c r="O220" s="276" t="n">
        <v>2030</v>
      </c>
      <c r="P220" s="276" t="n">
        <v>2030</v>
      </c>
      <c r="Q220" s="277" t="n">
        <v>2030</v>
      </c>
      <c r="R220" s="277" t="n">
        <v>2030</v>
      </c>
      <c r="S220" s="277" t="n">
        <v>2030</v>
      </c>
      <c r="T220" s="277" t="n">
        <v>2030</v>
      </c>
      <c r="U220" s="277" t="n">
        <v>2030</v>
      </c>
      <c r="V220" s="277" t="n">
        <v>2030</v>
      </c>
      <c r="W220" s="277" t="n">
        <v>2030</v>
      </c>
      <c r="X220" s="277" t="n">
        <v>2030</v>
      </c>
      <c r="Y220" s="277" t="n">
        <v>2030</v>
      </c>
      <c r="Z220" s="277" t="n">
        <v>2030</v>
      </c>
      <c r="AA220" s="277" t="n">
        <v>2030</v>
      </c>
      <c r="AB220" s="277" t="n">
        <v>2030</v>
      </c>
      <c r="AC220" s="277" t="n">
        <v>2030</v>
      </c>
      <c r="AD220" s="277" t="n">
        <v>2030</v>
      </c>
      <c r="AE220" s="277" t="n">
        <v>2030</v>
      </c>
      <c r="AF220" s="277" t="n">
        <v>2030</v>
      </c>
      <c r="AG220" s="277" t="n">
        <v>2030</v>
      </c>
      <c r="AH220" s="277" t="n">
        <v>2030</v>
      </c>
      <c r="AI220" s="277" t="n">
        <v>2030</v>
      </c>
      <c r="AJ220" s="277" t="n">
        <v>2030</v>
      </c>
      <c r="AK220" s="277" t="n">
        <v>2030</v>
      </c>
      <c r="AL220" s="277" t="n">
        <v>2030</v>
      </c>
      <c r="AM220" s="277" t="n">
        <v>2030</v>
      </c>
      <c r="AN220" s="277" t="n">
        <v>2030</v>
      </c>
      <c r="AO220" s="277" t="n">
        <v>2030</v>
      </c>
      <c r="AP220" s="277" t="n">
        <v>2030</v>
      </c>
      <c r="AQ220" s="277" t="n">
        <v>2030</v>
      </c>
      <c r="AR220" s="277" t="n">
        <v>2030</v>
      </c>
      <c r="AS220" s="277" t="n">
        <v>2030</v>
      </c>
      <c r="AT220" s="277" t="n">
        <v>2030</v>
      </c>
      <c r="AU220" s="277" t="n">
        <v>2030</v>
      </c>
      <c r="AV220" s="277" t="n">
        <v>2030</v>
      </c>
      <c r="AW220" s="277" t="n">
        <v>2030</v>
      </c>
      <c r="AX220" s="277" t="n">
        <v>2030</v>
      </c>
      <c r="AY220" s="277" t="n">
        <v>2030</v>
      </c>
      <c r="AZ220" s="277" t="n">
        <v>2030</v>
      </c>
    </row>
    <row r="221" customFormat="false" ht="15.75" hidden="false" customHeight="true" outlineLevel="0" collapsed="false">
      <c r="A221" s="200" t="s">
        <v>644</v>
      </c>
      <c r="B221" s="200"/>
      <c r="C221" s="200"/>
      <c r="D221" s="200"/>
      <c r="E221" s="200"/>
      <c r="F221" s="200"/>
      <c r="G221" s="200"/>
      <c r="H221" s="200"/>
      <c r="I221" s="200"/>
      <c r="J221" s="200"/>
      <c r="K221" s="200"/>
      <c r="L221" s="200"/>
      <c r="M221" s="200"/>
      <c r="N221" s="200"/>
      <c r="O221" s="200"/>
      <c r="P221" s="200"/>
      <c r="Q221" s="200"/>
    </row>
    <row r="222" customFormat="false" ht="15" hidden="false" customHeight="false" outlineLevel="0" collapsed="false">
      <c r="A222" s="275" t="s">
        <v>374</v>
      </c>
      <c r="B222" s="275"/>
      <c r="C222" s="276" t="n">
        <v>1</v>
      </c>
      <c r="D222" s="276" t="n">
        <v>1</v>
      </c>
      <c r="E222" s="276" t="n">
        <v>1</v>
      </c>
      <c r="F222" s="276" t="n">
        <v>1</v>
      </c>
      <c r="G222" s="276" t="n">
        <v>1</v>
      </c>
      <c r="H222" s="276" t="n">
        <v>1</v>
      </c>
      <c r="I222" s="276" t="n">
        <v>1</v>
      </c>
      <c r="J222" s="276" t="n">
        <v>1</v>
      </c>
      <c r="K222" s="276" t="n">
        <v>1</v>
      </c>
      <c r="L222" s="276" t="n">
        <v>1</v>
      </c>
      <c r="M222" s="276" t="n">
        <v>1</v>
      </c>
      <c r="N222" s="276" t="n">
        <v>1</v>
      </c>
      <c r="O222" s="276" t="n">
        <v>1</v>
      </c>
      <c r="P222" s="276" t="n">
        <v>1</v>
      </c>
      <c r="Q222" s="277" t="n">
        <v>1</v>
      </c>
      <c r="R222" s="277" t="n">
        <v>1</v>
      </c>
      <c r="S222" s="277" t="n">
        <v>1</v>
      </c>
      <c r="T222" s="277" t="n">
        <v>1</v>
      </c>
      <c r="U222" s="277" t="n">
        <v>1</v>
      </c>
      <c r="V222" s="277" t="n">
        <v>1</v>
      </c>
      <c r="W222" s="277" t="n">
        <v>1</v>
      </c>
      <c r="X222" s="277" t="n">
        <v>1</v>
      </c>
      <c r="Y222" s="277" t="n">
        <v>1</v>
      </c>
      <c r="Z222" s="277" t="n">
        <v>1</v>
      </c>
      <c r="AA222" s="277" t="n">
        <v>1</v>
      </c>
      <c r="AB222" s="277" t="n">
        <v>1</v>
      </c>
      <c r="AC222" s="277" t="n">
        <v>1</v>
      </c>
      <c r="AD222" s="277" t="n">
        <v>1</v>
      </c>
      <c r="AE222" s="277" t="n">
        <v>1</v>
      </c>
      <c r="AF222" s="277" t="n">
        <v>1</v>
      </c>
      <c r="AG222" s="277" t="n">
        <v>1</v>
      </c>
      <c r="AH222" s="277" t="n">
        <v>1</v>
      </c>
      <c r="AI222" s="277" t="n">
        <v>1</v>
      </c>
      <c r="AJ222" s="277" t="n">
        <v>1</v>
      </c>
      <c r="AK222" s="277" t="n">
        <v>1</v>
      </c>
      <c r="AL222" s="277" t="n">
        <v>1</v>
      </c>
      <c r="AM222" s="277" t="n">
        <v>1</v>
      </c>
      <c r="AN222" s="277" t="n">
        <v>1</v>
      </c>
      <c r="AO222" s="277" t="n">
        <v>1</v>
      </c>
      <c r="AP222" s="277" t="n">
        <v>1</v>
      </c>
      <c r="AQ222" s="277" t="n">
        <v>1</v>
      </c>
      <c r="AR222" s="277" t="n">
        <v>1</v>
      </c>
      <c r="AS222" s="277" t="n">
        <v>1</v>
      </c>
      <c r="AT222" s="277" t="n">
        <v>1</v>
      </c>
      <c r="AU222" s="277" t="n">
        <v>1</v>
      </c>
      <c r="AV222" s="277" t="n">
        <v>1</v>
      </c>
      <c r="AW222" s="277" t="n">
        <v>1</v>
      </c>
      <c r="AX222" s="277" t="n">
        <v>1</v>
      </c>
      <c r="AY222" s="277" t="n">
        <v>1</v>
      </c>
      <c r="AZ222" s="277" t="n">
        <v>1</v>
      </c>
    </row>
    <row r="223" customFormat="false" ht="15" hidden="false" customHeight="false" outlineLevel="0" collapsed="false">
      <c r="A223" s="275" t="s">
        <v>375</v>
      </c>
      <c r="B223" s="275"/>
      <c r="C223" s="276" t="n">
        <v>1</v>
      </c>
      <c r="D223" s="276" t="n">
        <v>1</v>
      </c>
      <c r="E223" s="276" t="n">
        <v>1</v>
      </c>
      <c r="F223" s="276" t="n">
        <v>1</v>
      </c>
      <c r="G223" s="276" t="n">
        <v>1</v>
      </c>
      <c r="H223" s="276" t="n">
        <v>1</v>
      </c>
      <c r="I223" s="276" t="n">
        <v>1</v>
      </c>
      <c r="J223" s="276" t="n">
        <v>1</v>
      </c>
      <c r="K223" s="276" t="n">
        <v>1</v>
      </c>
      <c r="L223" s="276" t="n">
        <v>1</v>
      </c>
      <c r="M223" s="276" t="n">
        <v>1</v>
      </c>
      <c r="N223" s="276" t="n">
        <v>1</v>
      </c>
      <c r="O223" s="276" t="n">
        <v>1</v>
      </c>
      <c r="P223" s="276" t="n">
        <v>1</v>
      </c>
      <c r="Q223" s="277" t="n">
        <v>1</v>
      </c>
      <c r="R223" s="277" t="n">
        <v>1</v>
      </c>
      <c r="S223" s="277" t="n">
        <v>1</v>
      </c>
      <c r="T223" s="277" t="n">
        <v>1</v>
      </c>
      <c r="U223" s="277" t="n">
        <v>1</v>
      </c>
      <c r="V223" s="277" t="n">
        <v>1</v>
      </c>
      <c r="W223" s="277" t="n">
        <v>1</v>
      </c>
      <c r="X223" s="277" t="n">
        <v>1</v>
      </c>
      <c r="Y223" s="277" t="n">
        <v>1</v>
      </c>
      <c r="Z223" s="277" t="n">
        <v>1</v>
      </c>
      <c r="AA223" s="277" t="n">
        <v>1</v>
      </c>
      <c r="AB223" s="277" t="n">
        <v>1</v>
      </c>
      <c r="AC223" s="277" t="n">
        <v>1</v>
      </c>
      <c r="AD223" s="277" t="n">
        <v>1</v>
      </c>
      <c r="AE223" s="277" t="n">
        <v>1</v>
      </c>
      <c r="AF223" s="277" t="n">
        <v>1</v>
      </c>
      <c r="AG223" s="277" t="n">
        <v>1</v>
      </c>
      <c r="AH223" s="277" t="n">
        <v>1</v>
      </c>
      <c r="AI223" s="277" t="n">
        <v>1</v>
      </c>
      <c r="AJ223" s="277" t="n">
        <v>1</v>
      </c>
      <c r="AK223" s="277" t="n">
        <v>1</v>
      </c>
      <c r="AL223" s="277" t="n">
        <v>1</v>
      </c>
      <c r="AM223" s="277" t="n">
        <v>1</v>
      </c>
      <c r="AN223" s="277" t="n">
        <v>1</v>
      </c>
      <c r="AO223" s="277" t="n">
        <v>1</v>
      </c>
      <c r="AP223" s="277" t="n">
        <v>1</v>
      </c>
      <c r="AQ223" s="277" t="n">
        <v>1</v>
      </c>
      <c r="AR223" s="277" t="n">
        <v>1</v>
      </c>
      <c r="AS223" s="277" t="n">
        <v>1</v>
      </c>
      <c r="AT223" s="277" t="n">
        <v>1</v>
      </c>
      <c r="AU223" s="277" t="n">
        <v>1</v>
      </c>
      <c r="AV223" s="277" t="n">
        <v>1</v>
      </c>
      <c r="AW223" s="277" t="n">
        <v>1</v>
      </c>
      <c r="AX223" s="277" t="n">
        <v>1</v>
      </c>
      <c r="AY223" s="277" t="n">
        <v>1</v>
      </c>
      <c r="AZ223" s="277" t="n">
        <v>1</v>
      </c>
    </row>
    <row r="224" customFormat="false" ht="15" hidden="false" customHeight="false" outlineLevel="0" collapsed="false">
      <c r="A224" s="275" t="s">
        <v>376</v>
      </c>
      <c r="B224" s="275"/>
      <c r="C224" s="276" t="n">
        <v>1</v>
      </c>
      <c r="D224" s="276" t="n">
        <v>1</v>
      </c>
      <c r="E224" s="276" t="n">
        <v>1</v>
      </c>
      <c r="F224" s="276" t="n">
        <v>1</v>
      </c>
      <c r="G224" s="276" t="n">
        <v>1</v>
      </c>
      <c r="H224" s="276" t="n">
        <v>1</v>
      </c>
      <c r="I224" s="276" t="n">
        <v>1</v>
      </c>
      <c r="J224" s="276" t="n">
        <v>1</v>
      </c>
      <c r="K224" s="276" t="n">
        <v>1</v>
      </c>
      <c r="L224" s="276" t="n">
        <v>1</v>
      </c>
      <c r="M224" s="276" t="n">
        <v>1</v>
      </c>
      <c r="N224" s="276" t="n">
        <v>1</v>
      </c>
      <c r="O224" s="276" t="n">
        <v>1</v>
      </c>
      <c r="P224" s="276" t="n">
        <v>1</v>
      </c>
      <c r="Q224" s="277" t="n">
        <v>1</v>
      </c>
      <c r="R224" s="277" t="n">
        <v>1</v>
      </c>
      <c r="S224" s="277" t="n">
        <v>1</v>
      </c>
      <c r="T224" s="277" t="n">
        <v>1</v>
      </c>
      <c r="U224" s="277" t="n">
        <v>1</v>
      </c>
      <c r="V224" s="277" t="n">
        <v>1</v>
      </c>
      <c r="W224" s="277" t="n">
        <v>1</v>
      </c>
      <c r="X224" s="277" t="n">
        <v>1</v>
      </c>
      <c r="Y224" s="277" t="n">
        <v>1</v>
      </c>
      <c r="Z224" s="277" t="n">
        <v>1</v>
      </c>
      <c r="AA224" s="277" t="n">
        <v>1</v>
      </c>
      <c r="AB224" s="277" t="n">
        <v>1</v>
      </c>
      <c r="AC224" s="277" t="n">
        <v>1</v>
      </c>
      <c r="AD224" s="277" t="n">
        <v>1</v>
      </c>
      <c r="AE224" s="277" t="n">
        <v>1</v>
      </c>
      <c r="AF224" s="277" t="n">
        <v>1</v>
      </c>
      <c r="AG224" s="277" t="n">
        <v>1</v>
      </c>
      <c r="AH224" s="277" t="n">
        <v>1</v>
      </c>
      <c r="AI224" s="277" t="n">
        <v>1</v>
      </c>
      <c r="AJ224" s="277" t="n">
        <v>1</v>
      </c>
      <c r="AK224" s="277" t="n">
        <v>1</v>
      </c>
      <c r="AL224" s="277" t="n">
        <v>1</v>
      </c>
      <c r="AM224" s="277" t="n">
        <v>1</v>
      </c>
      <c r="AN224" s="277" t="n">
        <v>1</v>
      </c>
      <c r="AO224" s="277" t="n">
        <v>1</v>
      </c>
      <c r="AP224" s="277" t="n">
        <v>1</v>
      </c>
      <c r="AQ224" s="277" t="n">
        <v>1</v>
      </c>
      <c r="AR224" s="277" t="n">
        <v>1</v>
      </c>
      <c r="AS224" s="277" t="n">
        <v>1</v>
      </c>
      <c r="AT224" s="277" t="n">
        <v>1</v>
      </c>
      <c r="AU224" s="277" t="n">
        <v>1</v>
      </c>
      <c r="AV224" s="277" t="n">
        <v>1</v>
      </c>
      <c r="AW224" s="277" t="n">
        <v>1</v>
      </c>
      <c r="AX224" s="277" t="n">
        <v>1</v>
      </c>
      <c r="AY224" s="277" t="n">
        <v>1</v>
      </c>
      <c r="AZ224" s="277" t="n">
        <v>1</v>
      </c>
    </row>
    <row r="225" customFormat="false" ht="15" hidden="false" customHeight="false" outlineLevel="0" collapsed="false">
      <c r="A225" s="275" t="s">
        <v>377</v>
      </c>
      <c r="B225" s="275"/>
      <c r="C225" s="276" t="n">
        <v>1</v>
      </c>
      <c r="D225" s="276" t="n">
        <v>1</v>
      </c>
      <c r="E225" s="276" t="n">
        <v>1</v>
      </c>
      <c r="F225" s="276" t="n">
        <v>1</v>
      </c>
      <c r="G225" s="276" t="n">
        <v>1</v>
      </c>
      <c r="H225" s="276" t="n">
        <v>1</v>
      </c>
      <c r="I225" s="276" t="n">
        <v>1</v>
      </c>
      <c r="J225" s="276" t="n">
        <v>1</v>
      </c>
      <c r="K225" s="276" t="n">
        <v>1</v>
      </c>
      <c r="L225" s="276" t="n">
        <v>1</v>
      </c>
      <c r="M225" s="276" t="n">
        <v>1</v>
      </c>
      <c r="N225" s="276" t="n">
        <v>1</v>
      </c>
      <c r="O225" s="276" t="n">
        <v>1</v>
      </c>
      <c r="P225" s="276" t="n">
        <v>1</v>
      </c>
      <c r="Q225" s="277" t="n">
        <v>1</v>
      </c>
      <c r="R225" s="277" t="n">
        <v>1</v>
      </c>
      <c r="S225" s="277" t="n">
        <v>1</v>
      </c>
      <c r="T225" s="277" t="n">
        <v>1</v>
      </c>
      <c r="U225" s="277" t="n">
        <v>1</v>
      </c>
      <c r="V225" s="277" t="n">
        <v>1</v>
      </c>
      <c r="W225" s="277" t="n">
        <v>1</v>
      </c>
      <c r="X225" s="277" t="n">
        <v>1</v>
      </c>
      <c r="Y225" s="277" t="n">
        <v>1</v>
      </c>
      <c r="Z225" s="277" t="n">
        <v>1</v>
      </c>
      <c r="AA225" s="277" t="n">
        <v>1</v>
      </c>
      <c r="AB225" s="277" t="n">
        <v>1</v>
      </c>
      <c r="AC225" s="277" t="n">
        <v>1</v>
      </c>
      <c r="AD225" s="277" t="n">
        <v>1</v>
      </c>
      <c r="AE225" s="277" t="n">
        <v>1</v>
      </c>
      <c r="AF225" s="277" t="n">
        <v>1</v>
      </c>
      <c r="AG225" s="277" t="n">
        <v>1</v>
      </c>
      <c r="AH225" s="277" t="n">
        <v>1</v>
      </c>
      <c r="AI225" s="277" t="n">
        <v>1</v>
      </c>
      <c r="AJ225" s="277" t="n">
        <v>1</v>
      </c>
      <c r="AK225" s="277" t="n">
        <v>1</v>
      </c>
      <c r="AL225" s="277" t="n">
        <v>1</v>
      </c>
      <c r="AM225" s="277" t="n">
        <v>1</v>
      </c>
      <c r="AN225" s="277" t="n">
        <v>1</v>
      </c>
      <c r="AO225" s="277" t="n">
        <v>1</v>
      </c>
      <c r="AP225" s="277" t="n">
        <v>1</v>
      </c>
      <c r="AQ225" s="277" t="n">
        <v>1</v>
      </c>
      <c r="AR225" s="277" t="n">
        <v>1</v>
      </c>
      <c r="AS225" s="277" t="n">
        <v>1</v>
      </c>
      <c r="AT225" s="277" t="n">
        <v>1</v>
      </c>
      <c r="AU225" s="277" t="n">
        <v>1</v>
      </c>
      <c r="AV225" s="277" t="n">
        <v>1</v>
      </c>
      <c r="AW225" s="277" t="n">
        <v>1</v>
      </c>
      <c r="AX225" s="277" t="n">
        <v>1</v>
      </c>
      <c r="AY225" s="277" t="n">
        <v>1</v>
      </c>
      <c r="AZ225" s="277" t="n">
        <v>1</v>
      </c>
    </row>
    <row r="226" customFormat="false" ht="15" hidden="false" customHeight="false" outlineLevel="0" collapsed="false">
      <c r="A226" s="275" t="s">
        <v>378</v>
      </c>
      <c r="B226" s="275"/>
      <c r="C226" s="276" t="n">
        <v>1</v>
      </c>
      <c r="D226" s="276" t="n">
        <v>1</v>
      </c>
      <c r="E226" s="276" t="n">
        <v>1</v>
      </c>
      <c r="F226" s="276" t="n">
        <v>1</v>
      </c>
      <c r="G226" s="276" t="n">
        <v>1</v>
      </c>
      <c r="H226" s="276" t="n">
        <v>1</v>
      </c>
      <c r="I226" s="276" t="n">
        <v>1</v>
      </c>
      <c r="J226" s="276" t="n">
        <v>1</v>
      </c>
      <c r="K226" s="276" t="n">
        <v>1</v>
      </c>
      <c r="L226" s="276" t="n">
        <v>1</v>
      </c>
      <c r="M226" s="276" t="n">
        <v>1</v>
      </c>
      <c r="N226" s="276" t="n">
        <v>1</v>
      </c>
      <c r="O226" s="276" t="n">
        <v>1</v>
      </c>
      <c r="P226" s="276" t="n">
        <v>1</v>
      </c>
      <c r="Q226" s="277" t="n">
        <v>1</v>
      </c>
      <c r="R226" s="277" t="n">
        <v>1</v>
      </c>
      <c r="S226" s="277" t="n">
        <v>1</v>
      </c>
      <c r="T226" s="277" t="n">
        <v>1</v>
      </c>
      <c r="U226" s="277" t="n">
        <v>1</v>
      </c>
      <c r="V226" s="277" t="n">
        <v>1</v>
      </c>
      <c r="W226" s="277" t="n">
        <v>1</v>
      </c>
      <c r="X226" s="277" t="n">
        <v>1</v>
      </c>
      <c r="Y226" s="277" t="n">
        <v>1</v>
      </c>
      <c r="Z226" s="277" t="n">
        <v>1</v>
      </c>
      <c r="AA226" s="277" t="n">
        <v>1</v>
      </c>
      <c r="AB226" s="277" t="n">
        <v>1</v>
      </c>
      <c r="AC226" s="277" t="n">
        <v>1</v>
      </c>
      <c r="AD226" s="277" t="n">
        <v>1</v>
      </c>
      <c r="AE226" s="277" t="n">
        <v>1</v>
      </c>
      <c r="AF226" s="277" t="n">
        <v>1</v>
      </c>
      <c r="AG226" s="277" t="n">
        <v>1</v>
      </c>
      <c r="AH226" s="277" t="n">
        <v>1</v>
      </c>
      <c r="AI226" s="277" t="n">
        <v>1</v>
      </c>
      <c r="AJ226" s="277" t="n">
        <v>1</v>
      </c>
      <c r="AK226" s="277" t="n">
        <v>1</v>
      </c>
      <c r="AL226" s="277" t="n">
        <v>1</v>
      </c>
      <c r="AM226" s="277" t="n">
        <v>1</v>
      </c>
      <c r="AN226" s="277" t="n">
        <v>1</v>
      </c>
      <c r="AO226" s="277" t="n">
        <v>1</v>
      </c>
      <c r="AP226" s="277" t="n">
        <v>1</v>
      </c>
      <c r="AQ226" s="277" t="n">
        <v>1</v>
      </c>
      <c r="AR226" s="277" t="n">
        <v>1</v>
      </c>
      <c r="AS226" s="277" t="n">
        <v>1</v>
      </c>
      <c r="AT226" s="277" t="n">
        <v>1</v>
      </c>
      <c r="AU226" s="277" t="n">
        <v>1</v>
      </c>
      <c r="AV226" s="277" t="n">
        <v>1</v>
      </c>
      <c r="AW226" s="277" t="n">
        <v>1</v>
      </c>
      <c r="AX226" s="277" t="n">
        <v>1</v>
      </c>
      <c r="AY226" s="277" t="n">
        <v>1</v>
      </c>
      <c r="AZ226" s="277" t="n">
        <v>1</v>
      </c>
    </row>
    <row r="227" customFormat="false" ht="15.75" hidden="false" customHeight="true" outlineLevel="0" collapsed="false">
      <c r="A227" s="200" t="s">
        <v>645</v>
      </c>
      <c r="B227" s="200"/>
      <c r="C227" s="200"/>
      <c r="D227" s="200"/>
      <c r="E227" s="200"/>
      <c r="F227" s="200"/>
      <c r="G227" s="200"/>
      <c r="H227" s="200"/>
      <c r="I227" s="200"/>
      <c r="J227" s="200"/>
      <c r="K227" s="200"/>
      <c r="L227" s="200"/>
      <c r="M227" s="200"/>
      <c r="N227" s="200"/>
      <c r="O227" s="200"/>
      <c r="P227" s="200"/>
      <c r="Q227" s="200"/>
    </row>
    <row r="228" customFormat="false" ht="15" hidden="false" customHeight="false" outlineLevel="0" collapsed="false">
      <c r="A228" s="275" t="s">
        <v>374</v>
      </c>
      <c r="B228" s="275"/>
      <c r="C228" s="276" t="n">
        <v>2040</v>
      </c>
      <c r="D228" s="276" t="n">
        <v>2040</v>
      </c>
      <c r="E228" s="276" t="n">
        <v>2040</v>
      </c>
      <c r="F228" s="276" t="n">
        <v>2040</v>
      </c>
      <c r="G228" s="276" t="n">
        <v>2040</v>
      </c>
      <c r="H228" s="276" t="n">
        <v>2040</v>
      </c>
      <c r="I228" s="276" t="n">
        <v>2040</v>
      </c>
      <c r="J228" s="276" t="n">
        <v>2040</v>
      </c>
      <c r="K228" s="276" t="n">
        <v>2040</v>
      </c>
      <c r="L228" s="276" t="n">
        <v>2040</v>
      </c>
      <c r="M228" s="276" t="n">
        <v>2040</v>
      </c>
      <c r="N228" s="276" t="n">
        <v>2040</v>
      </c>
      <c r="O228" s="276" t="n">
        <v>2040</v>
      </c>
      <c r="P228" s="276" t="n">
        <v>2040</v>
      </c>
      <c r="Q228" s="276" t="n">
        <v>2040</v>
      </c>
      <c r="R228" s="276" t="n">
        <v>2040</v>
      </c>
      <c r="S228" s="276" t="n">
        <v>2040</v>
      </c>
      <c r="T228" s="276" t="n">
        <v>2040</v>
      </c>
      <c r="U228" s="276" t="n">
        <v>2040</v>
      </c>
      <c r="V228" s="276" t="n">
        <v>2040</v>
      </c>
      <c r="W228" s="276" t="n">
        <v>2040</v>
      </c>
      <c r="X228" s="276" t="n">
        <v>2040</v>
      </c>
      <c r="Y228" s="276" t="n">
        <v>2040</v>
      </c>
      <c r="Z228" s="276" t="n">
        <v>2040</v>
      </c>
      <c r="AA228" s="276" t="n">
        <v>2040</v>
      </c>
      <c r="AB228" s="276" t="n">
        <v>2040</v>
      </c>
      <c r="AC228" s="276" t="n">
        <v>2040</v>
      </c>
      <c r="AD228" s="276" t="n">
        <v>2040</v>
      </c>
      <c r="AE228" s="276" t="n">
        <v>2040</v>
      </c>
      <c r="AF228" s="276" t="n">
        <v>2040</v>
      </c>
      <c r="AG228" s="276" t="n">
        <v>2040</v>
      </c>
      <c r="AH228" s="276" t="n">
        <v>2040</v>
      </c>
      <c r="AI228" s="276" t="n">
        <v>2040</v>
      </c>
      <c r="AJ228" s="276" t="n">
        <v>2040</v>
      </c>
      <c r="AK228" s="276" t="n">
        <v>2040</v>
      </c>
      <c r="AL228" s="276" t="n">
        <v>2040</v>
      </c>
      <c r="AM228" s="276" t="n">
        <v>2040</v>
      </c>
      <c r="AN228" s="276" t="n">
        <v>2040</v>
      </c>
      <c r="AO228" s="276" t="n">
        <v>2040</v>
      </c>
      <c r="AP228" s="276" t="n">
        <v>2040</v>
      </c>
      <c r="AQ228" s="276" t="n">
        <v>2040</v>
      </c>
      <c r="AR228" s="276" t="n">
        <v>2040</v>
      </c>
      <c r="AS228" s="276" t="n">
        <v>2040</v>
      </c>
      <c r="AT228" s="276" t="n">
        <v>2040</v>
      </c>
      <c r="AU228" s="276" t="n">
        <v>2040</v>
      </c>
      <c r="AV228" s="276" t="n">
        <v>2040</v>
      </c>
      <c r="AW228" s="276" t="n">
        <v>2040</v>
      </c>
      <c r="AX228" s="276" t="n">
        <v>2040</v>
      </c>
      <c r="AY228" s="276" t="n">
        <v>2040</v>
      </c>
      <c r="AZ228" s="276" t="n">
        <v>2040</v>
      </c>
    </row>
    <row r="229" customFormat="false" ht="15" hidden="false" customHeight="false" outlineLevel="0" collapsed="false">
      <c r="A229" s="275" t="s">
        <v>375</v>
      </c>
      <c r="B229" s="275"/>
      <c r="C229" s="276" t="n">
        <v>2040</v>
      </c>
      <c r="D229" s="276" t="n">
        <v>2040</v>
      </c>
      <c r="E229" s="276" t="n">
        <v>2040</v>
      </c>
      <c r="F229" s="276" t="n">
        <v>2040</v>
      </c>
      <c r="G229" s="276" t="n">
        <v>2040</v>
      </c>
      <c r="H229" s="276" t="n">
        <v>2040</v>
      </c>
      <c r="I229" s="276" t="n">
        <v>2040</v>
      </c>
      <c r="J229" s="276" t="n">
        <v>2040</v>
      </c>
      <c r="K229" s="276" t="n">
        <v>2040</v>
      </c>
      <c r="L229" s="276" t="n">
        <v>2040</v>
      </c>
      <c r="M229" s="276" t="n">
        <v>2040</v>
      </c>
      <c r="N229" s="276" t="n">
        <v>2040</v>
      </c>
      <c r="O229" s="276" t="n">
        <v>2040</v>
      </c>
      <c r="P229" s="276" t="n">
        <v>2040</v>
      </c>
      <c r="Q229" s="276" t="n">
        <v>2040</v>
      </c>
      <c r="R229" s="276" t="n">
        <v>2040</v>
      </c>
      <c r="S229" s="276" t="n">
        <v>2040</v>
      </c>
      <c r="T229" s="276" t="n">
        <v>2040</v>
      </c>
      <c r="U229" s="276" t="n">
        <v>2040</v>
      </c>
      <c r="V229" s="276" t="n">
        <v>2040</v>
      </c>
      <c r="W229" s="276" t="n">
        <v>2040</v>
      </c>
      <c r="X229" s="276" t="n">
        <v>2040</v>
      </c>
      <c r="Y229" s="276" t="n">
        <v>2040</v>
      </c>
      <c r="Z229" s="276" t="n">
        <v>2040</v>
      </c>
      <c r="AA229" s="276" t="n">
        <v>2040</v>
      </c>
      <c r="AB229" s="276" t="n">
        <v>2040</v>
      </c>
      <c r="AC229" s="276" t="n">
        <v>2040</v>
      </c>
      <c r="AD229" s="276" t="n">
        <v>2040</v>
      </c>
      <c r="AE229" s="276" t="n">
        <v>2040</v>
      </c>
      <c r="AF229" s="276" t="n">
        <v>2040</v>
      </c>
      <c r="AG229" s="276" t="n">
        <v>2040</v>
      </c>
      <c r="AH229" s="276" t="n">
        <v>2040</v>
      </c>
      <c r="AI229" s="276" t="n">
        <v>2040</v>
      </c>
      <c r="AJ229" s="276" t="n">
        <v>2040</v>
      </c>
      <c r="AK229" s="276" t="n">
        <v>2040</v>
      </c>
      <c r="AL229" s="276" t="n">
        <v>2040</v>
      </c>
      <c r="AM229" s="276" t="n">
        <v>2040</v>
      </c>
      <c r="AN229" s="276" t="n">
        <v>2040</v>
      </c>
      <c r="AO229" s="276" t="n">
        <v>2040</v>
      </c>
      <c r="AP229" s="276" t="n">
        <v>2040</v>
      </c>
      <c r="AQ229" s="276" t="n">
        <v>2040</v>
      </c>
      <c r="AR229" s="276" t="n">
        <v>2040</v>
      </c>
      <c r="AS229" s="276" t="n">
        <v>2040</v>
      </c>
      <c r="AT229" s="276" t="n">
        <v>2040</v>
      </c>
      <c r="AU229" s="276" t="n">
        <v>2040</v>
      </c>
      <c r="AV229" s="276" t="n">
        <v>2040</v>
      </c>
      <c r="AW229" s="276" t="n">
        <v>2040</v>
      </c>
      <c r="AX229" s="276" t="n">
        <v>2040</v>
      </c>
      <c r="AY229" s="276" t="n">
        <v>2040</v>
      </c>
      <c r="AZ229" s="276" t="n">
        <v>2040</v>
      </c>
    </row>
    <row r="230" customFormat="false" ht="15" hidden="false" customHeight="false" outlineLevel="0" collapsed="false">
      <c r="A230" s="275" t="s">
        <v>376</v>
      </c>
      <c r="B230" s="275"/>
      <c r="C230" s="276" t="n">
        <v>2040</v>
      </c>
      <c r="D230" s="276" t="n">
        <v>2040</v>
      </c>
      <c r="E230" s="276" t="n">
        <v>2040</v>
      </c>
      <c r="F230" s="276" t="n">
        <v>2040</v>
      </c>
      <c r="G230" s="276" t="n">
        <v>2040</v>
      </c>
      <c r="H230" s="276" t="n">
        <v>2040</v>
      </c>
      <c r="I230" s="276" t="n">
        <v>2040</v>
      </c>
      <c r="J230" s="276" t="n">
        <v>2040</v>
      </c>
      <c r="K230" s="276" t="n">
        <v>2040</v>
      </c>
      <c r="L230" s="276" t="n">
        <v>2040</v>
      </c>
      <c r="M230" s="276" t="n">
        <v>2040</v>
      </c>
      <c r="N230" s="276" t="n">
        <v>2040</v>
      </c>
      <c r="O230" s="276" t="n">
        <v>2040</v>
      </c>
      <c r="P230" s="276" t="n">
        <v>2040</v>
      </c>
      <c r="Q230" s="276" t="n">
        <v>2040</v>
      </c>
      <c r="R230" s="276" t="n">
        <v>2040</v>
      </c>
      <c r="S230" s="276" t="n">
        <v>2040</v>
      </c>
      <c r="T230" s="276" t="n">
        <v>2040</v>
      </c>
      <c r="U230" s="276" t="n">
        <v>2040</v>
      </c>
      <c r="V230" s="276" t="n">
        <v>2040</v>
      </c>
      <c r="W230" s="276" t="n">
        <v>2040</v>
      </c>
      <c r="X230" s="276" t="n">
        <v>2040</v>
      </c>
      <c r="Y230" s="276" t="n">
        <v>2040</v>
      </c>
      <c r="Z230" s="276" t="n">
        <v>2040</v>
      </c>
      <c r="AA230" s="276" t="n">
        <v>2040</v>
      </c>
      <c r="AB230" s="276" t="n">
        <v>2040</v>
      </c>
      <c r="AC230" s="276" t="n">
        <v>2040</v>
      </c>
      <c r="AD230" s="276" t="n">
        <v>2040</v>
      </c>
      <c r="AE230" s="276" t="n">
        <v>2040</v>
      </c>
      <c r="AF230" s="276" t="n">
        <v>2040</v>
      </c>
      <c r="AG230" s="276" t="n">
        <v>2040</v>
      </c>
      <c r="AH230" s="276" t="n">
        <v>2040</v>
      </c>
      <c r="AI230" s="276" t="n">
        <v>2040</v>
      </c>
      <c r="AJ230" s="276" t="n">
        <v>2040</v>
      </c>
      <c r="AK230" s="276" t="n">
        <v>2040</v>
      </c>
      <c r="AL230" s="276" t="n">
        <v>2040</v>
      </c>
      <c r="AM230" s="276" t="n">
        <v>2040</v>
      </c>
      <c r="AN230" s="276" t="n">
        <v>2040</v>
      </c>
      <c r="AO230" s="276" t="n">
        <v>2040</v>
      </c>
      <c r="AP230" s="276" t="n">
        <v>2040</v>
      </c>
      <c r="AQ230" s="276" t="n">
        <v>2040</v>
      </c>
      <c r="AR230" s="276" t="n">
        <v>2040</v>
      </c>
      <c r="AS230" s="276" t="n">
        <v>2040</v>
      </c>
      <c r="AT230" s="276" t="n">
        <v>2040</v>
      </c>
      <c r="AU230" s="276" t="n">
        <v>2040</v>
      </c>
      <c r="AV230" s="276" t="n">
        <v>2040</v>
      </c>
      <c r="AW230" s="276" t="n">
        <v>2040</v>
      </c>
      <c r="AX230" s="276" t="n">
        <v>2040</v>
      </c>
      <c r="AY230" s="276" t="n">
        <v>2040</v>
      </c>
      <c r="AZ230" s="276" t="n">
        <v>2040</v>
      </c>
    </row>
    <row r="231" customFormat="false" ht="15" hidden="false" customHeight="false" outlineLevel="0" collapsed="false">
      <c r="A231" s="275" t="s">
        <v>377</v>
      </c>
      <c r="B231" s="275"/>
      <c r="C231" s="276" t="n">
        <v>2040</v>
      </c>
      <c r="D231" s="276" t="n">
        <v>2040</v>
      </c>
      <c r="E231" s="276" t="n">
        <v>2040</v>
      </c>
      <c r="F231" s="276" t="n">
        <v>2040</v>
      </c>
      <c r="G231" s="276" t="n">
        <v>2040</v>
      </c>
      <c r="H231" s="276" t="n">
        <v>2040</v>
      </c>
      <c r="I231" s="276" t="n">
        <v>2040</v>
      </c>
      <c r="J231" s="276" t="n">
        <v>2040</v>
      </c>
      <c r="K231" s="276" t="n">
        <v>2040</v>
      </c>
      <c r="L231" s="276" t="n">
        <v>2040</v>
      </c>
      <c r="M231" s="276" t="n">
        <v>2040</v>
      </c>
      <c r="N231" s="276" t="n">
        <v>2040</v>
      </c>
      <c r="O231" s="276" t="n">
        <v>2040</v>
      </c>
      <c r="P231" s="276" t="n">
        <v>2040</v>
      </c>
      <c r="Q231" s="276" t="n">
        <v>2040</v>
      </c>
      <c r="R231" s="276" t="n">
        <v>2040</v>
      </c>
      <c r="S231" s="276" t="n">
        <v>2040</v>
      </c>
      <c r="T231" s="276" t="n">
        <v>2040</v>
      </c>
      <c r="U231" s="276" t="n">
        <v>2040</v>
      </c>
      <c r="V231" s="276" t="n">
        <v>2040</v>
      </c>
      <c r="W231" s="276" t="n">
        <v>2040</v>
      </c>
      <c r="X231" s="276" t="n">
        <v>2040</v>
      </c>
      <c r="Y231" s="276" t="n">
        <v>2040</v>
      </c>
      <c r="Z231" s="276" t="n">
        <v>2040</v>
      </c>
      <c r="AA231" s="276" t="n">
        <v>2040</v>
      </c>
      <c r="AB231" s="276" t="n">
        <v>2040</v>
      </c>
      <c r="AC231" s="276" t="n">
        <v>2040</v>
      </c>
      <c r="AD231" s="276" t="n">
        <v>2040</v>
      </c>
      <c r="AE231" s="276" t="n">
        <v>2040</v>
      </c>
      <c r="AF231" s="276" t="n">
        <v>2040</v>
      </c>
      <c r="AG231" s="276" t="n">
        <v>2040</v>
      </c>
      <c r="AH231" s="276" t="n">
        <v>2040</v>
      </c>
      <c r="AI231" s="276" t="n">
        <v>2040</v>
      </c>
      <c r="AJ231" s="276" t="n">
        <v>2040</v>
      </c>
      <c r="AK231" s="276" t="n">
        <v>2040</v>
      </c>
      <c r="AL231" s="276" t="n">
        <v>2040</v>
      </c>
      <c r="AM231" s="276" t="n">
        <v>2040</v>
      </c>
      <c r="AN231" s="276" t="n">
        <v>2040</v>
      </c>
      <c r="AO231" s="276" t="n">
        <v>2040</v>
      </c>
      <c r="AP231" s="276" t="n">
        <v>2040</v>
      </c>
      <c r="AQ231" s="276" t="n">
        <v>2040</v>
      </c>
      <c r="AR231" s="276" t="n">
        <v>2040</v>
      </c>
      <c r="AS231" s="276" t="n">
        <v>2040</v>
      </c>
      <c r="AT231" s="276" t="n">
        <v>2040</v>
      </c>
      <c r="AU231" s="276" t="n">
        <v>2040</v>
      </c>
      <c r="AV231" s="276" t="n">
        <v>2040</v>
      </c>
      <c r="AW231" s="276" t="n">
        <v>2040</v>
      </c>
      <c r="AX231" s="276" t="n">
        <v>2040</v>
      </c>
      <c r="AY231" s="276" t="n">
        <v>2040</v>
      </c>
      <c r="AZ231" s="276" t="n">
        <v>2040</v>
      </c>
    </row>
    <row r="232" customFormat="false" ht="15" hidden="false" customHeight="false" outlineLevel="0" collapsed="false">
      <c r="A232" s="275" t="s">
        <v>378</v>
      </c>
      <c r="B232" s="275"/>
      <c r="C232" s="276" t="n">
        <v>2040</v>
      </c>
      <c r="D232" s="276" t="n">
        <v>2040</v>
      </c>
      <c r="E232" s="276" t="n">
        <v>2040</v>
      </c>
      <c r="F232" s="276" t="n">
        <v>2040</v>
      </c>
      <c r="G232" s="276" t="n">
        <v>2040</v>
      </c>
      <c r="H232" s="276" t="n">
        <v>2040</v>
      </c>
      <c r="I232" s="276" t="n">
        <v>2040</v>
      </c>
      <c r="J232" s="276" t="n">
        <v>2040</v>
      </c>
      <c r="K232" s="276" t="n">
        <v>2040</v>
      </c>
      <c r="L232" s="276" t="n">
        <v>2040</v>
      </c>
      <c r="M232" s="276" t="n">
        <v>2040</v>
      </c>
      <c r="N232" s="276" t="n">
        <v>2040</v>
      </c>
      <c r="O232" s="276" t="n">
        <v>2040</v>
      </c>
      <c r="P232" s="276" t="n">
        <v>2040</v>
      </c>
      <c r="Q232" s="276" t="n">
        <v>2040</v>
      </c>
      <c r="R232" s="276" t="n">
        <v>2040</v>
      </c>
      <c r="S232" s="276" t="n">
        <v>2040</v>
      </c>
      <c r="T232" s="276" t="n">
        <v>2040</v>
      </c>
      <c r="U232" s="276" t="n">
        <v>2040</v>
      </c>
      <c r="V232" s="276" t="n">
        <v>2040</v>
      </c>
      <c r="W232" s="276" t="n">
        <v>2040</v>
      </c>
      <c r="X232" s="276" t="n">
        <v>2040</v>
      </c>
      <c r="Y232" s="276" t="n">
        <v>2040</v>
      </c>
      <c r="Z232" s="276" t="n">
        <v>2040</v>
      </c>
      <c r="AA232" s="276" t="n">
        <v>2040</v>
      </c>
      <c r="AB232" s="276" t="n">
        <v>2040</v>
      </c>
      <c r="AC232" s="276" t="n">
        <v>2040</v>
      </c>
      <c r="AD232" s="276" t="n">
        <v>2040</v>
      </c>
      <c r="AE232" s="276" t="n">
        <v>2040</v>
      </c>
      <c r="AF232" s="276" t="n">
        <v>2040</v>
      </c>
      <c r="AG232" s="276" t="n">
        <v>2040</v>
      </c>
      <c r="AH232" s="276" t="n">
        <v>2040</v>
      </c>
      <c r="AI232" s="276" t="n">
        <v>2040</v>
      </c>
      <c r="AJ232" s="276" t="n">
        <v>2040</v>
      </c>
      <c r="AK232" s="276" t="n">
        <v>2040</v>
      </c>
      <c r="AL232" s="276" t="n">
        <v>2040</v>
      </c>
      <c r="AM232" s="276" t="n">
        <v>2040</v>
      </c>
      <c r="AN232" s="276" t="n">
        <v>2040</v>
      </c>
      <c r="AO232" s="276" t="n">
        <v>2040</v>
      </c>
      <c r="AP232" s="276" t="n">
        <v>2040</v>
      </c>
      <c r="AQ232" s="276" t="n">
        <v>2040</v>
      </c>
      <c r="AR232" s="276" t="n">
        <v>2040</v>
      </c>
      <c r="AS232" s="276" t="n">
        <v>2040</v>
      </c>
      <c r="AT232" s="276" t="n">
        <v>2040</v>
      </c>
      <c r="AU232" s="276" t="n">
        <v>2040</v>
      </c>
      <c r="AV232" s="276" t="n">
        <v>2040</v>
      </c>
      <c r="AW232" s="276" t="n">
        <v>2040</v>
      </c>
      <c r="AX232" s="276" t="n">
        <v>2040</v>
      </c>
      <c r="AY232" s="276" t="n">
        <v>2040</v>
      </c>
      <c r="AZ232" s="276" t="n">
        <v>2040</v>
      </c>
    </row>
    <row r="233" customFormat="false" ht="15.75" hidden="false" customHeight="true" outlineLevel="0" collapsed="false">
      <c r="A233" s="200" t="s">
        <v>646</v>
      </c>
      <c r="B233" s="200"/>
      <c r="C233" s="200"/>
      <c r="D233" s="200"/>
      <c r="E233" s="200"/>
      <c r="F233" s="200"/>
      <c r="G233" s="200"/>
      <c r="H233" s="200"/>
      <c r="I233" s="200"/>
      <c r="J233" s="200"/>
      <c r="K233" s="200"/>
      <c r="L233" s="200"/>
      <c r="M233" s="200"/>
      <c r="N233" s="200"/>
      <c r="O233" s="200"/>
      <c r="P233" s="200"/>
      <c r="Q233" s="200"/>
    </row>
    <row r="234" customFormat="false" ht="15" hidden="false" customHeight="false" outlineLevel="0" collapsed="false">
      <c r="A234" s="275" t="s">
        <v>374</v>
      </c>
      <c r="B234" s="275"/>
      <c r="C234" s="276" t="n">
        <v>1</v>
      </c>
      <c r="D234" s="276" t="n">
        <v>1</v>
      </c>
      <c r="E234" s="276" t="n">
        <v>1</v>
      </c>
      <c r="F234" s="276" t="n">
        <v>1</v>
      </c>
      <c r="G234" s="276" t="n">
        <v>1</v>
      </c>
      <c r="H234" s="276" t="n">
        <v>1</v>
      </c>
      <c r="I234" s="276" t="n">
        <v>1</v>
      </c>
      <c r="J234" s="276" t="n">
        <v>1</v>
      </c>
      <c r="K234" s="276" t="n">
        <v>1</v>
      </c>
      <c r="L234" s="276" t="n">
        <v>1</v>
      </c>
      <c r="M234" s="276" t="n">
        <v>1</v>
      </c>
      <c r="N234" s="276" t="n">
        <v>1</v>
      </c>
      <c r="O234" s="276" t="n">
        <v>1</v>
      </c>
      <c r="P234" s="276" t="n">
        <v>1</v>
      </c>
      <c r="Q234" s="277" t="n">
        <v>1</v>
      </c>
      <c r="R234" s="277" t="n">
        <v>1</v>
      </c>
      <c r="S234" s="277" t="n">
        <v>1</v>
      </c>
      <c r="T234" s="277" t="n">
        <v>1</v>
      </c>
      <c r="U234" s="277" t="n">
        <v>1</v>
      </c>
      <c r="V234" s="277" t="n">
        <v>1</v>
      </c>
      <c r="W234" s="277" t="n">
        <v>1</v>
      </c>
      <c r="X234" s="277" t="n">
        <v>1</v>
      </c>
      <c r="Y234" s="277" t="n">
        <v>1</v>
      </c>
      <c r="Z234" s="277" t="n">
        <v>1</v>
      </c>
      <c r="AA234" s="277" t="n">
        <v>1</v>
      </c>
      <c r="AB234" s="277" t="n">
        <v>1</v>
      </c>
      <c r="AC234" s="277" t="n">
        <v>1</v>
      </c>
      <c r="AD234" s="277" t="n">
        <v>1</v>
      </c>
      <c r="AE234" s="277" t="n">
        <v>1</v>
      </c>
      <c r="AF234" s="277" t="n">
        <v>1</v>
      </c>
      <c r="AG234" s="277" t="n">
        <v>1</v>
      </c>
      <c r="AH234" s="277" t="n">
        <v>1</v>
      </c>
      <c r="AI234" s="277" t="n">
        <v>1</v>
      </c>
      <c r="AJ234" s="277" t="n">
        <v>1</v>
      </c>
      <c r="AK234" s="277" t="n">
        <v>1</v>
      </c>
      <c r="AL234" s="277" t="n">
        <v>1</v>
      </c>
      <c r="AM234" s="277" t="n">
        <v>1</v>
      </c>
      <c r="AN234" s="277" t="n">
        <v>1</v>
      </c>
      <c r="AO234" s="277" t="n">
        <v>1</v>
      </c>
      <c r="AP234" s="277" t="n">
        <v>1</v>
      </c>
      <c r="AQ234" s="277" t="n">
        <v>1</v>
      </c>
      <c r="AR234" s="277" t="n">
        <v>1</v>
      </c>
      <c r="AS234" s="277" t="n">
        <v>1</v>
      </c>
      <c r="AT234" s="277" t="n">
        <v>1</v>
      </c>
      <c r="AU234" s="277" t="n">
        <v>1</v>
      </c>
      <c r="AV234" s="277" t="n">
        <v>1</v>
      </c>
      <c r="AW234" s="277" t="n">
        <v>1</v>
      </c>
      <c r="AX234" s="277" t="n">
        <v>1</v>
      </c>
      <c r="AY234" s="277" t="n">
        <v>1</v>
      </c>
      <c r="AZ234" s="277" t="n">
        <v>1</v>
      </c>
    </row>
    <row r="235" customFormat="false" ht="15" hidden="false" customHeight="false" outlineLevel="0" collapsed="false">
      <c r="A235" s="275" t="s">
        <v>375</v>
      </c>
      <c r="B235" s="275"/>
      <c r="C235" s="276" t="n">
        <v>1</v>
      </c>
      <c r="D235" s="276" t="n">
        <v>1</v>
      </c>
      <c r="E235" s="276" t="n">
        <v>1</v>
      </c>
      <c r="F235" s="276" t="n">
        <v>1</v>
      </c>
      <c r="G235" s="276" t="n">
        <v>1</v>
      </c>
      <c r="H235" s="276" t="n">
        <v>1</v>
      </c>
      <c r="I235" s="276" t="n">
        <v>1</v>
      </c>
      <c r="J235" s="276" t="n">
        <v>1</v>
      </c>
      <c r="K235" s="276" t="n">
        <v>1</v>
      </c>
      <c r="L235" s="276" t="n">
        <v>1</v>
      </c>
      <c r="M235" s="276" t="n">
        <v>1</v>
      </c>
      <c r="N235" s="276" t="n">
        <v>1</v>
      </c>
      <c r="O235" s="276" t="n">
        <v>1</v>
      </c>
      <c r="P235" s="276" t="n">
        <v>1</v>
      </c>
      <c r="Q235" s="277" t="n">
        <v>1</v>
      </c>
      <c r="R235" s="277" t="n">
        <v>1</v>
      </c>
      <c r="S235" s="277" t="n">
        <v>1</v>
      </c>
      <c r="T235" s="277" t="n">
        <v>1</v>
      </c>
      <c r="U235" s="277" t="n">
        <v>1</v>
      </c>
      <c r="V235" s="277" t="n">
        <v>1</v>
      </c>
      <c r="W235" s="277" t="n">
        <v>1</v>
      </c>
      <c r="X235" s="277" t="n">
        <v>1</v>
      </c>
      <c r="Y235" s="277" t="n">
        <v>1</v>
      </c>
      <c r="Z235" s="277" t="n">
        <v>1</v>
      </c>
      <c r="AA235" s="277" t="n">
        <v>1</v>
      </c>
      <c r="AB235" s="277" t="n">
        <v>1</v>
      </c>
      <c r="AC235" s="277" t="n">
        <v>1</v>
      </c>
      <c r="AD235" s="277" t="n">
        <v>1</v>
      </c>
      <c r="AE235" s="277" t="n">
        <v>1</v>
      </c>
      <c r="AF235" s="277" t="n">
        <v>1</v>
      </c>
      <c r="AG235" s="277" t="n">
        <v>1</v>
      </c>
      <c r="AH235" s="277" t="n">
        <v>1</v>
      </c>
      <c r="AI235" s="277" t="n">
        <v>1</v>
      </c>
      <c r="AJ235" s="277" t="n">
        <v>1</v>
      </c>
      <c r="AK235" s="277" t="n">
        <v>1</v>
      </c>
      <c r="AL235" s="277" t="n">
        <v>1</v>
      </c>
      <c r="AM235" s="277" t="n">
        <v>1</v>
      </c>
      <c r="AN235" s="277" t="n">
        <v>1</v>
      </c>
      <c r="AO235" s="277" t="n">
        <v>1</v>
      </c>
      <c r="AP235" s="277" t="n">
        <v>1</v>
      </c>
      <c r="AQ235" s="277" t="n">
        <v>1</v>
      </c>
      <c r="AR235" s="277" t="n">
        <v>1</v>
      </c>
      <c r="AS235" s="277" t="n">
        <v>1</v>
      </c>
      <c r="AT235" s="277" t="n">
        <v>1</v>
      </c>
      <c r="AU235" s="277" t="n">
        <v>1</v>
      </c>
      <c r="AV235" s="277" t="n">
        <v>1</v>
      </c>
      <c r="AW235" s="277" t="n">
        <v>1</v>
      </c>
      <c r="AX235" s="277" t="n">
        <v>1</v>
      </c>
      <c r="AY235" s="277" t="n">
        <v>1</v>
      </c>
      <c r="AZ235" s="277" t="n">
        <v>1</v>
      </c>
    </row>
    <row r="236" customFormat="false" ht="15" hidden="false" customHeight="false" outlineLevel="0" collapsed="false">
      <c r="A236" s="275" t="s">
        <v>376</v>
      </c>
      <c r="B236" s="275"/>
      <c r="C236" s="276" t="n">
        <v>1</v>
      </c>
      <c r="D236" s="276" t="n">
        <v>1</v>
      </c>
      <c r="E236" s="276" t="n">
        <v>1</v>
      </c>
      <c r="F236" s="276" t="n">
        <v>1</v>
      </c>
      <c r="G236" s="276" t="n">
        <v>1</v>
      </c>
      <c r="H236" s="276" t="n">
        <v>1</v>
      </c>
      <c r="I236" s="276" t="n">
        <v>1</v>
      </c>
      <c r="J236" s="276" t="n">
        <v>1</v>
      </c>
      <c r="K236" s="276" t="n">
        <v>1</v>
      </c>
      <c r="L236" s="276" t="n">
        <v>1</v>
      </c>
      <c r="M236" s="276" t="n">
        <v>1</v>
      </c>
      <c r="N236" s="276" t="n">
        <v>1</v>
      </c>
      <c r="O236" s="276" t="n">
        <v>1</v>
      </c>
      <c r="P236" s="276" t="n">
        <v>1</v>
      </c>
      <c r="Q236" s="277" t="n">
        <v>1</v>
      </c>
      <c r="R236" s="277" t="n">
        <v>1</v>
      </c>
      <c r="S236" s="277" t="n">
        <v>1</v>
      </c>
      <c r="T236" s="277" t="n">
        <v>1</v>
      </c>
      <c r="U236" s="277" t="n">
        <v>1</v>
      </c>
      <c r="V236" s="277" t="n">
        <v>1</v>
      </c>
      <c r="W236" s="277" t="n">
        <v>1</v>
      </c>
      <c r="X236" s="277" t="n">
        <v>1</v>
      </c>
      <c r="Y236" s="277" t="n">
        <v>1</v>
      </c>
      <c r="Z236" s="277" t="n">
        <v>1</v>
      </c>
      <c r="AA236" s="277" t="n">
        <v>1</v>
      </c>
      <c r="AB236" s="277" t="n">
        <v>1</v>
      </c>
      <c r="AC236" s="277" t="n">
        <v>1</v>
      </c>
      <c r="AD236" s="277" t="n">
        <v>1</v>
      </c>
      <c r="AE236" s="277" t="n">
        <v>1</v>
      </c>
      <c r="AF236" s="277" t="n">
        <v>1</v>
      </c>
      <c r="AG236" s="277" t="n">
        <v>1</v>
      </c>
      <c r="AH236" s="277" t="n">
        <v>1</v>
      </c>
      <c r="AI236" s="277" t="n">
        <v>1</v>
      </c>
      <c r="AJ236" s="277" t="n">
        <v>1</v>
      </c>
      <c r="AK236" s="277" t="n">
        <v>1</v>
      </c>
      <c r="AL236" s="277" t="n">
        <v>1</v>
      </c>
      <c r="AM236" s="277" t="n">
        <v>1</v>
      </c>
      <c r="AN236" s="277" t="n">
        <v>1</v>
      </c>
      <c r="AO236" s="277" t="n">
        <v>1</v>
      </c>
      <c r="AP236" s="277" t="n">
        <v>1</v>
      </c>
      <c r="AQ236" s="277" t="n">
        <v>1</v>
      </c>
      <c r="AR236" s="277" t="n">
        <v>1</v>
      </c>
      <c r="AS236" s="277" t="n">
        <v>1</v>
      </c>
      <c r="AT236" s="277" t="n">
        <v>1</v>
      </c>
      <c r="AU236" s="277" t="n">
        <v>1</v>
      </c>
      <c r="AV236" s="277" t="n">
        <v>1</v>
      </c>
      <c r="AW236" s="277" t="n">
        <v>1</v>
      </c>
      <c r="AX236" s="277" t="n">
        <v>1</v>
      </c>
      <c r="AY236" s="277" t="n">
        <v>1</v>
      </c>
      <c r="AZ236" s="277" t="n">
        <v>1</v>
      </c>
    </row>
    <row r="237" customFormat="false" ht="15" hidden="false" customHeight="false" outlineLevel="0" collapsed="false">
      <c r="A237" s="275" t="s">
        <v>377</v>
      </c>
      <c r="B237" s="275"/>
      <c r="C237" s="276" t="n">
        <v>1</v>
      </c>
      <c r="D237" s="276" t="n">
        <v>1</v>
      </c>
      <c r="E237" s="276" t="n">
        <v>1</v>
      </c>
      <c r="F237" s="276" t="n">
        <v>1</v>
      </c>
      <c r="G237" s="276" t="n">
        <v>1</v>
      </c>
      <c r="H237" s="276" t="n">
        <v>1</v>
      </c>
      <c r="I237" s="276" t="n">
        <v>1</v>
      </c>
      <c r="J237" s="276" t="n">
        <v>1</v>
      </c>
      <c r="K237" s="276" t="n">
        <v>1</v>
      </c>
      <c r="L237" s="276" t="n">
        <v>1</v>
      </c>
      <c r="M237" s="276" t="n">
        <v>1</v>
      </c>
      <c r="N237" s="276" t="n">
        <v>1</v>
      </c>
      <c r="O237" s="276" t="n">
        <v>1</v>
      </c>
      <c r="P237" s="276" t="n">
        <v>1</v>
      </c>
      <c r="Q237" s="277" t="n">
        <v>1</v>
      </c>
      <c r="R237" s="277" t="n">
        <v>1</v>
      </c>
      <c r="S237" s="277" t="n">
        <v>1</v>
      </c>
      <c r="T237" s="277" t="n">
        <v>1</v>
      </c>
      <c r="U237" s="277" t="n">
        <v>1</v>
      </c>
      <c r="V237" s="277" t="n">
        <v>1</v>
      </c>
      <c r="W237" s="277" t="n">
        <v>1</v>
      </c>
      <c r="X237" s="277" t="n">
        <v>1</v>
      </c>
      <c r="Y237" s="277" t="n">
        <v>1</v>
      </c>
      <c r="Z237" s="277" t="n">
        <v>1</v>
      </c>
      <c r="AA237" s="277" t="n">
        <v>1</v>
      </c>
      <c r="AB237" s="277" t="n">
        <v>1</v>
      </c>
      <c r="AC237" s="277" t="n">
        <v>1</v>
      </c>
      <c r="AD237" s="277" t="n">
        <v>1</v>
      </c>
      <c r="AE237" s="277" t="n">
        <v>1</v>
      </c>
      <c r="AF237" s="277" t="n">
        <v>1</v>
      </c>
      <c r="AG237" s="277" t="n">
        <v>1</v>
      </c>
      <c r="AH237" s="277" t="n">
        <v>1</v>
      </c>
      <c r="AI237" s="277" t="n">
        <v>1</v>
      </c>
      <c r="AJ237" s="277" t="n">
        <v>1</v>
      </c>
      <c r="AK237" s="277" t="n">
        <v>1</v>
      </c>
      <c r="AL237" s="277" t="n">
        <v>1</v>
      </c>
      <c r="AM237" s="277" t="n">
        <v>1</v>
      </c>
      <c r="AN237" s="277" t="n">
        <v>1</v>
      </c>
      <c r="AO237" s="277" t="n">
        <v>1</v>
      </c>
      <c r="AP237" s="277" t="n">
        <v>1</v>
      </c>
      <c r="AQ237" s="277" t="n">
        <v>1</v>
      </c>
      <c r="AR237" s="277" t="n">
        <v>1</v>
      </c>
      <c r="AS237" s="277" t="n">
        <v>1</v>
      </c>
      <c r="AT237" s="277" t="n">
        <v>1</v>
      </c>
      <c r="AU237" s="277" t="n">
        <v>1</v>
      </c>
      <c r="AV237" s="277" t="n">
        <v>1</v>
      </c>
      <c r="AW237" s="277" t="n">
        <v>1</v>
      </c>
      <c r="AX237" s="277" t="n">
        <v>1</v>
      </c>
      <c r="AY237" s="277" t="n">
        <v>1</v>
      </c>
      <c r="AZ237" s="277" t="n">
        <v>1</v>
      </c>
    </row>
    <row r="238" customFormat="false" ht="15" hidden="false" customHeight="false" outlineLevel="0" collapsed="false">
      <c r="A238" s="275" t="s">
        <v>378</v>
      </c>
      <c r="B238" s="275"/>
      <c r="C238" s="276" t="n">
        <v>1</v>
      </c>
      <c r="D238" s="276" t="n">
        <v>1</v>
      </c>
      <c r="E238" s="276" t="n">
        <v>1</v>
      </c>
      <c r="F238" s="276" t="n">
        <v>1</v>
      </c>
      <c r="G238" s="276" t="n">
        <v>1</v>
      </c>
      <c r="H238" s="276" t="n">
        <v>1</v>
      </c>
      <c r="I238" s="276" t="n">
        <v>1</v>
      </c>
      <c r="J238" s="276" t="n">
        <v>1</v>
      </c>
      <c r="K238" s="276" t="n">
        <v>1</v>
      </c>
      <c r="L238" s="276" t="n">
        <v>1</v>
      </c>
      <c r="M238" s="276" t="n">
        <v>1</v>
      </c>
      <c r="N238" s="276" t="n">
        <v>1</v>
      </c>
      <c r="O238" s="276" t="n">
        <v>1</v>
      </c>
      <c r="P238" s="276" t="n">
        <v>1</v>
      </c>
      <c r="Q238" s="277" t="n">
        <v>1</v>
      </c>
      <c r="R238" s="277" t="n">
        <v>1</v>
      </c>
      <c r="S238" s="277" t="n">
        <v>1</v>
      </c>
      <c r="T238" s="277" t="n">
        <v>1</v>
      </c>
      <c r="U238" s="277" t="n">
        <v>1</v>
      </c>
      <c r="V238" s="277" t="n">
        <v>1</v>
      </c>
      <c r="W238" s="277" t="n">
        <v>1</v>
      </c>
      <c r="X238" s="277" t="n">
        <v>1</v>
      </c>
      <c r="Y238" s="277" t="n">
        <v>1</v>
      </c>
      <c r="Z238" s="277" t="n">
        <v>1</v>
      </c>
      <c r="AA238" s="277" t="n">
        <v>1</v>
      </c>
      <c r="AB238" s="277" t="n">
        <v>1</v>
      </c>
      <c r="AC238" s="277" t="n">
        <v>1</v>
      </c>
      <c r="AD238" s="277" t="n">
        <v>1</v>
      </c>
      <c r="AE238" s="277" t="n">
        <v>1</v>
      </c>
      <c r="AF238" s="277" t="n">
        <v>1</v>
      </c>
      <c r="AG238" s="277" t="n">
        <v>1</v>
      </c>
      <c r="AH238" s="277" t="n">
        <v>1</v>
      </c>
      <c r="AI238" s="277" t="n">
        <v>1</v>
      </c>
      <c r="AJ238" s="277" t="n">
        <v>1</v>
      </c>
      <c r="AK238" s="277" t="n">
        <v>1</v>
      </c>
      <c r="AL238" s="277" t="n">
        <v>1</v>
      </c>
      <c r="AM238" s="277" t="n">
        <v>1</v>
      </c>
      <c r="AN238" s="277" t="n">
        <v>1</v>
      </c>
      <c r="AO238" s="277" t="n">
        <v>1</v>
      </c>
      <c r="AP238" s="277" t="n">
        <v>1</v>
      </c>
      <c r="AQ238" s="277" t="n">
        <v>1</v>
      </c>
      <c r="AR238" s="277" t="n">
        <v>1</v>
      </c>
      <c r="AS238" s="277" t="n">
        <v>1</v>
      </c>
      <c r="AT238" s="277" t="n">
        <v>1</v>
      </c>
      <c r="AU238" s="277" t="n">
        <v>1</v>
      </c>
      <c r="AV238" s="277" t="n">
        <v>1</v>
      </c>
      <c r="AW238" s="277" t="n">
        <v>1</v>
      </c>
      <c r="AX238" s="277" t="n">
        <v>1</v>
      </c>
      <c r="AY238" s="277" t="n">
        <v>1</v>
      </c>
      <c r="AZ238" s="277" t="n">
        <v>1</v>
      </c>
    </row>
    <row r="239" customFormat="false" ht="15.75" hidden="false" customHeight="true" outlineLevel="0" collapsed="false">
      <c r="A239" s="200" t="s">
        <v>647</v>
      </c>
      <c r="B239" s="200"/>
      <c r="C239" s="200"/>
      <c r="D239" s="200"/>
      <c r="E239" s="200"/>
      <c r="F239" s="200"/>
      <c r="G239" s="200"/>
      <c r="H239" s="200"/>
      <c r="I239" s="200"/>
      <c r="J239" s="200"/>
      <c r="K239" s="200"/>
      <c r="L239" s="200"/>
      <c r="M239" s="200"/>
      <c r="N239" s="200"/>
      <c r="O239" s="200"/>
      <c r="P239" s="200"/>
      <c r="Q239" s="200"/>
    </row>
    <row r="240" customFormat="false" ht="15" hidden="false" customHeight="false" outlineLevel="0" collapsed="false">
      <c r="A240" s="275" t="s">
        <v>374</v>
      </c>
      <c r="B240" s="275"/>
      <c r="C240" s="276" t="n">
        <v>2050</v>
      </c>
      <c r="D240" s="276" t="n">
        <v>2050</v>
      </c>
      <c r="E240" s="276" t="n">
        <v>2050</v>
      </c>
      <c r="F240" s="276" t="n">
        <v>2050</v>
      </c>
      <c r="G240" s="276" t="n">
        <v>2050</v>
      </c>
      <c r="H240" s="276" t="n">
        <v>2050</v>
      </c>
      <c r="I240" s="276" t="n">
        <v>2050</v>
      </c>
      <c r="J240" s="276" t="n">
        <v>2050</v>
      </c>
      <c r="K240" s="276" t="n">
        <v>2050</v>
      </c>
      <c r="L240" s="276" t="n">
        <v>2050</v>
      </c>
      <c r="M240" s="276" t="n">
        <v>2050</v>
      </c>
      <c r="N240" s="276" t="n">
        <v>2050</v>
      </c>
      <c r="O240" s="276" t="n">
        <v>2050</v>
      </c>
      <c r="P240" s="276" t="n">
        <v>2050</v>
      </c>
      <c r="Q240" s="277" t="n">
        <v>2050</v>
      </c>
      <c r="R240" s="277" t="n">
        <v>2050</v>
      </c>
      <c r="S240" s="277" t="n">
        <v>2050</v>
      </c>
      <c r="T240" s="277" t="n">
        <v>2050</v>
      </c>
      <c r="U240" s="277" t="n">
        <v>2050</v>
      </c>
      <c r="V240" s="277" t="n">
        <v>2050</v>
      </c>
      <c r="W240" s="277" t="n">
        <v>2050</v>
      </c>
      <c r="X240" s="277" t="n">
        <v>2050</v>
      </c>
      <c r="Y240" s="277" t="n">
        <v>2050</v>
      </c>
      <c r="Z240" s="277" t="n">
        <v>2050</v>
      </c>
      <c r="AA240" s="277" t="n">
        <v>2050</v>
      </c>
      <c r="AB240" s="277" t="n">
        <v>2050</v>
      </c>
      <c r="AC240" s="277" t="n">
        <v>2050</v>
      </c>
      <c r="AD240" s="277" t="n">
        <v>2050</v>
      </c>
      <c r="AE240" s="277" t="n">
        <v>2050</v>
      </c>
      <c r="AF240" s="277" t="n">
        <v>2050</v>
      </c>
      <c r="AG240" s="277" t="n">
        <v>2050</v>
      </c>
      <c r="AH240" s="277" t="n">
        <v>2050</v>
      </c>
      <c r="AI240" s="277" t="n">
        <v>2050</v>
      </c>
      <c r="AJ240" s="277" t="n">
        <v>2050</v>
      </c>
      <c r="AK240" s="277" t="n">
        <v>2050</v>
      </c>
      <c r="AL240" s="277" t="n">
        <v>2050</v>
      </c>
      <c r="AM240" s="277" t="n">
        <v>2050</v>
      </c>
      <c r="AN240" s="277" t="n">
        <v>2050</v>
      </c>
      <c r="AO240" s="277" t="n">
        <v>2050</v>
      </c>
      <c r="AP240" s="277" t="n">
        <v>2050</v>
      </c>
      <c r="AQ240" s="277" t="n">
        <v>2050</v>
      </c>
      <c r="AR240" s="277" t="n">
        <v>2050</v>
      </c>
      <c r="AS240" s="277" t="n">
        <v>2050</v>
      </c>
      <c r="AT240" s="277" t="n">
        <v>2050</v>
      </c>
      <c r="AU240" s="277" t="n">
        <v>2050</v>
      </c>
      <c r="AV240" s="277" t="n">
        <v>2050</v>
      </c>
      <c r="AW240" s="277" t="n">
        <v>2050</v>
      </c>
      <c r="AX240" s="277" t="n">
        <v>2050</v>
      </c>
      <c r="AY240" s="277" t="n">
        <v>2050</v>
      </c>
      <c r="AZ240" s="277" t="n">
        <v>2050</v>
      </c>
    </row>
    <row r="241" customFormat="false" ht="15" hidden="false" customHeight="false" outlineLevel="0" collapsed="false">
      <c r="A241" s="275" t="s">
        <v>375</v>
      </c>
      <c r="B241" s="275"/>
      <c r="C241" s="276" t="n">
        <v>2050</v>
      </c>
      <c r="D241" s="276" t="n">
        <v>2050</v>
      </c>
      <c r="E241" s="276" t="n">
        <v>2050</v>
      </c>
      <c r="F241" s="276" t="n">
        <v>2050</v>
      </c>
      <c r="G241" s="276" t="n">
        <v>2050</v>
      </c>
      <c r="H241" s="276" t="n">
        <v>2050</v>
      </c>
      <c r="I241" s="276" t="n">
        <v>2050</v>
      </c>
      <c r="J241" s="276" t="n">
        <v>2050</v>
      </c>
      <c r="K241" s="276" t="n">
        <v>2050</v>
      </c>
      <c r="L241" s="276" t="n">
        <v>2050</v>
      </c>
      <c r="M241" s="276" t="n">
        <v>2050</v>
      </c>
      <c r="N241" s="276" t="n">
        <v>2050</v>
      </c>
      <c r="O241" s="276" t="n">
        <v>2050</v>
      </c>
      <c r="P241" s="276" t="n">
        <v>2050</v>
      </c>
      <c r="Q241" s="277" t="n">
        <v>2050</v>
      </c>
      <c r="R241" s="277" t="n">
        <v>2050</v>
      </c>
      <c r="S241" s="277" t="n">
        <v>2050</v>
      </c>
      <c r="T241" s="277" t="n">
        <v>2050</v>
      </c>
      <c r="U241" s="277" t="n">
        <v>2050</v>
      </c>
      <c r="V241" s="277" t="n">
        <v>2050</v>
      </c>
      <c r="W241" s="277" t="n">
        <v>2050</v>
      </c>
      <c r="X241" s="277" t="n">
        <v>2050</v>
      </c>
      <c r="Y241" s="277" t="n">
        <v>2050</v>
      </c>
      <c r="Z241" s="277" t="n">
        <v>2050</v>
      </c>
      <c r="AA241" s="277" t="n">
        <v>2050</v>
      </c>
      <c r="AB241" s="277" t="n">
        <v>2050</v>
      </c>
      <c r="AC241" s="277" t="n">
        <v>2050</v>
      </c>
      <c r="AD241" s="277" t="n">
        <v>2050</v>
      </c>
      <c r="AE241" s="277" t="n">
        <v>2050</v>
      </c>
      <c r="AF241" s="277" t="n">
        <v>2050</v>
      </c>
      <c r="AG241" s="277" t="n">
        <v>2050</v>
      </c>
      <c r="AH241" s="277" t="n">
        <v>2050</v>
      </c>
      <c r="AI241" s="277" t="n">
        <v>2050</v>
      </c>
      <c r="AJ241" s="277" t="n">
        <v>2050</v>
      </c>
      <c r="AK241" s="277" t="n">
        <v>2050</v>
      </c>
      <c r="AL241" s="277" t="n">
        <v>2050</v>
      </c>
      <c r="AM241" s="277" t="n">
        <v>2050</v>
      </c>
      <c r="AN241" s="277" t="n">
        <v>2050</v>
      </c>
      <c r="AO241" s="277" t="n">
        <v>2050</v>
      </c>
      <c r="AP241" s="277" t="n">
        <v>2050</v>
      </c>
      <c r="AQ241" s="277" t="n">
        <v>2050</v>
      </c>
      <c r="AR241" s="277" t="n">
        <v>2050</v>
      </c>
      <c r="AS241" s="277" t="n">
        <v>2050</v>
      </c>
      <c r="AT241" s="277" t="n">
        <v>2050</v>
      </c>
      <c r="AU241" s="277" t="n">
        <v>2050</v>
      </c>
      <c r="AV241" s="277" t="n">
        <v>2050</v>
      </c>
      <c r="AW241" s="277" t="n">
        <v>2050</v>
      </c>
      <c r="AX241" s="277" t="n">
        <v>2050</v>
      </c>
      <c r="AY241" s="277" t="n">
        <v>2050</v>
      </c>
      <c r="AZ241" s="277" t="n">
        <v>2050</v>
      </c>
    </row>
    <row r="242" customFormat="false" ht="15" hidden="false" customHeight="false" outlineLevel="0" collapsed="false">
      <c r="A242" s="275" t="s">
        <v>376</v>
      </c>
      <c r="B242" s="275"/>
      <c r="C242" s="276" t="n">
        <v>2050</v>
      </c>
      <c r="D242" s="276" t="n">
        <v>2050</v>
      </c>
      <c r="E242" s="276" t="n">
        <v>2050</v>
      </c>
      <c r="F242" s="276" t="n">
        <v>2050</v>
      </c>
      <c r="G242" s="276" t="n">
        <v>2050</v>
      </c>
      <c r="H242" s="276" t="n">
        <v>2050</v>
      </c>
      <c r="I242" s="276" t="n">
        <v>2050</v>
      </c>
      <c r="J242" s="276" t="n">
        <v>2050</v>
      </c>
      <c r="K242" s="276" t="n">
        <v>2050</v>
      </c>
      <c r="L242" s="276" t="n">
        <v>2050</v>
      </c>
      <c r="M242" s="276" t="n">
        <v>2050</v>
      </c>
      <c r="N242" s="276" t="n">
        <v>2050</v>
      </c>
      <c r="O242" s="276" t="n">
        <v>2050</v>
      </c>
      <c r="P242" s="276" t="n">
        <v>2050</v>
      </c>
      <c r="Q242" s="277" t="n">
        <v>2050</v>
      </c>
      <c r="R242" s="277" t="n">
        <v>2050</v>
      </c>
      <c r="S242" s="277" t="n">
        <v>2050</v>
      </c>
      <c r="T242" s="277" t="n">
        <v>2050</v>
      </c>
      <c r="U242" s="277" t="n">
        <v>2050</v>
      </c>
      <c r="V242" s="277" t="n">
        <v>2050</v>
      </c>
      <c r="W242" s="277" t="n">
        <v>2050</v>
      </c>
      <c r="X242" s="277" t="n">
        <v>2050</v>
      </c>
      <c r="Y242" s="277" t="n">
        <v>2050</v>
      </c>
      <c r="Z242" s="277" t="n">
        <v>2050</v>
      </c>
      <c r="AA242" s="277" t="n">
        <v>2050</v>
      </c>
      <c r="AB242" s="277" t="n">
        <v>2050</v>
      </c>
      <c r="AC242" s="277" t="n">
        <v>2050</v>
      </c>
      <c r="AD242" s="277" t="n">
        <v>2050</v>
      </c>
      <c r="AE242" s="277" t="n">
        <v>2050</v>
      </c>
      <c r="AF242" s="277" t="n">
        <v>2050</v>
      </c>
      <c r="AG242" s="277" t="n">
        <v>2050</v>
      </c>
      <c r="AH242" s="277" t="n">
        <v>2050</v>
      </c>
      <c r="AI242" s="277" t="n">
        <v>2050</v>
      </c>
      <c r="AJ242" s="277" t="n">
        <v>2050</v>
      </c>
      <c r="AK242" s="277" t="n">
        <v>2050</v>
      </c>
      <c r="AL242" s="277" t="n">
        <v>2050</v>
      </c>
      <c r="AM242" s="277" t="n">
        <v>2050</v>
      </c>
      <c r="AN242" s="277" t="n">
        <v>2050</v>
      </c>
      <c r="AO242" s="277" t="n">
        <v>2050</v>
      </c>
      <c r="AP242" s="277" t="n">
        <v>2050</v>
      </c>
      <c r="AQ242" s="277" t="n">
        <v>2050</v>
      </c>
      <c r="AR242" s="277" t="n">
        <v>2050</v>
      </c>
      <c r="AS242" s="277" t="n">
        <v>2050</v>
      </c>
      <c r="AT242" s="277" t="n">
        <v>2050</v>
      </c>
      <c r="AU242" s="277" t="n">
        <v>2050</v>
      </c>
      <c r="AV242" s="277" t="n">
        <v>2050</v>
      </c>
      <c r="AW242" s="277" t="n">
        <v>2050</v>
      </c>
      <c r="AX242" s="277" t="n">
        <v>2050</v>
      </c>
      <c r="AY242" s="277" t="n">
        <v>2050</v>
      </c>
      <c r="AZ242" s="277" t="n">
        <v>2050</v>
      </c>
    </row>
    <row r="243" customFormat="false" ht="15" hidden="false" customHeight="false" outlineLevel="0" collapsed="false">
      <c r="A243" s="275" t="s">
        <v>377</v>
      </c>
      <c r="B243" s="275"/>
      <c r="C243" s="276" t="n">
        <v>2050</v>
      </c>
      <c r="D243" s="276" t="n">
        <v>2050</v>
      </c>
      <c r="E243" s="276" t="n">
        <v>2050</v>
      </c>
      <c r="F243" s="276" t="n">
        <v>2050</v>
      </c>
      <c r="G243" s="276" t="n">
        <v>2050</v>
      </c>
      <c r="H243" s="276" t="n">
        <v>2050</v>
      </c>
      <c r="I243" s="276" t="n">
        <v>2050</v>
      </c>
      <c r="J243" s="276" t="n">
        <v>2050</v>
      </c>
      <c r="K243" s="276" t="n">
        <v>2050</v>
      </c>
      <c r="L243" s="276" t="n">
        <v>2050</v>
      </c>
      <c r="M243" s="276" t="n">
        <v>2050</v>
      </c>
      <c r="N243" s="276" t="n">
        <v>2050</v>
      </c>
      <c r="O243" s="276" t="n">
        <v>2050</v>
      </c>
      <c r="P243" s="276" t="n">
        <v>2050</v>
      </c>
      <c r="Q243" s="277" t="n">
        <v>2050</v>
      </c>
      <c r="R243" s="277" t="n">
        <v>2050</v>
      </c>
      <c r="S243" s="277" t="n">
        <v>2050</v>
      </c>
      <c r="T243" s="277" t="n">
        <v>2050</v>
      </c>
      <c r="U243" s="277" t="n">
        <v>2050</v>
      </c>
      <c r="V243" s="277" t="n">
        <v>2050</v>
      </c>
      <c r="W243" s="277" t="n">
        <v>2050</v>
      </c>
      <c r="X243" s="277" t="n">
        <v>2050</v>
      </c>
      <c r="Y243" s="277" t="n">
        <v>2050</v>
      </c>
      <c r="Z243" s="277" t="n">
        <v>2050</v>
      </c>
      <c r="AA243" s="277" t="n">
        <v>2050</v>
      </c>
      <c r="AB243" s="277" t="n">
        <v>2050</v>
      </c>
      <c r="AC243" s="277" t="n">
        <v>2050</v>
      </c>
      <c r="AD243" s="277" t="n">
        <v>2050</v>
      </c>
      <c r="AE243" s="277" t="n">
        <v>2050</v>
      </c>
      <c r="AF243" s="277" t="n">
        <v>2050</v>
      </c>
      <c r="AG243" s="277" t="n">
        <v>2050</v>
      </c>
      <c r="AH243" s="277" t="n">
        <v>2050</v>
      </c>
      <c r="AI243" s="277" t="n">
        <v>2050</v>
      </c>
      <c r="AJ243" s="277" t="n">
        <v>2050</v>
      </c>
      <c r="AK243" s="277" t="n">
        <v>2050</v>
      </c>
      <c r="AL243" s="277" t="n">
        <v>2050</v>
      </c>
      <c r="AM243" s="277" t="n">
        <v>2050</v>
      </c>
      <c r="AN243" s="277" t="n">
        <v>2050</v>
      </c>
      <c r="AO243" s="277" t="n">
        <v>2050</v>
      </c>
      <c r="AP243" s="277" t="n">
        <v>2050</v>
      </c>
      <c r="AQ243" s="277" t="n">
        <v>2050</v>
      </c>
      <c r="AR243" s="277" t="n">
        <v>2050</v>
      </c>
      <c r="AS243" s="277" t="n">
        <v>2050</v>
      </c>
      <c r="AT243" s="277" t="n">
        <v>2050</v>
      </c>
      <c r="AU243" s="277" t="n">
        <v>2050</v>
      </c>
      <c r="AV243" s="277" t="n">
        <v>2050</v>
      </c>
      <c r="AW243" s="277" t="n">
        <v>2050</v>
      </c>
      <c r="AX243" s="277" t="n">
        <v>2050</v>
      </c>
      <c r="AY243" s="277" t="n">
        <v>2050</v>
      </c>
      <c r="AZ243" s="277" t="n">
        <v>2050</v>
      </c>
    </row>
    <row r="244" customFormat="false" ht="15" hidden="false" customHeight="false" outlineLevel="0" collapsed="false">
      <c r="A244" s="275" t="s">
        <v>378</v>
      </c>
      <c r="B244" s="275"/>
      <c r="C244" s="278" t="n">
        <v>2050</v>
      </c>
      <c r="D244" s="278" t="n">
        <v>2050</v>
      </c>
      <c r="E244" s="278" t="n">
        <v>2050</v>
      </c>
      <c r="F244" s="278" t="n">
        <v>2050</v>
      </c>
      <c r="G244" s="278" t="n">
        <v>2050</v>
      </c>
      <c r="H244" s="278" t="n">
        <v>2050</v>
      </c>
      <c r="I244" s="278" t="n">
        <v>2050</v>
      </c>
      <c r="J244" s="278" t="n">
        <v>2050</v>
      </c>
      <c r="K244" s="278" t="n">
        <v>2050</v>
      </c>
      <c r="L244" s="278" t="n">
        <v>2050</v>
      </c>
      <c r="M244" s="278" t="n">
        <v>2050</v>
      </c>
      <c r="N244" s="278" t="n">
        <v>2050</v>
      </c>
      <c r="O244" s="278" t="n">
        <v>2050</v>
      </c>
      <c r="P244" s="278" t="n">
        <v>2050</v>
      </c>
      <c r="Q244" s="279" t="n">
        <v>2050</v>
      </c>
      <c r="R244" s="279" t="n">
        <v>2050</v>
      </c>
      <c r="S244" s="279" t="n">
        <v>2050</v>
      </c>
      <c r="T244" s="279" t="n">
        <v>2050</v>
      </c>
      <c r="U244" s="279" t="n">
        <v>2050</v>
      </c>
      <c r="V244" s="279" t="n">
        <v>2050</v>
      </c>
      <c r="W244" s="279" t="n">
        <v>2050</v>
      </c>
      <c r="X244" s="279" t="n">
        <v>2050</v>
      </c>
      <c r="Y244" s="279" t="n">
        <v>2050</v>
      </c>
      <c r="Z244" s="279" t="n">
        <v>2050</v>
      </c>
      <c r="AA244" s="279" t="n">
        <v>2050</v>
      </c>
      <c r="AB244" s="279" t="n">
        <v>2050</v>
      </c>
      <c r="AC244" s="279" t="n">
        <v>2050</v>
      </c>
      <c r="AD244" s="279" t="n">
        <v>2050</v>
      </c>
      <c r="AE244" s="279" t="n">
        <v>2050</v>
      </c>
      <c r="AF244" s="279" t="n">
        <v>2050</v>
      </c>
      <c r="AG244" s="279" t="n">
        <v>2050</v>
      </c>
      <c r="AH244" s="279" t="n">
        <v>2050</v>
      </c>
      <c r="AI244" s="279" t="n">
        <v>2050</v>
      </c>
      <c r="AJ244" s="279" t="n">
        <v>2050</v>
      </c>
      <c r="AK244" s="279" t="n">
        <v>2050</v>
      </c>
      <c r="AL244" s="279" t="n">
        <v>2050</v>
      </c>
      <c r="AM244" s="279" t="n">
        <v>2050</v>
      </c>
      <c r="AN244" s="279" t="n">
        <v>2050</v>
      </c>
      <c r="AO244" s="279" t="n">
        <v>2050</v>
      </c>
      <c r="AP244" s="279" t="n">
        <v>2050</v>
      </c>
      <c r="AQ244" s="279" t="n">
        <v>2050</v>
      </c>
      <c r="AR244" s="279" t="n">
        <v>2050</v>
      </c>
      <c r="AS244" s="279" t="n">
        <v>2050</v>
      </c>
      <c r="AT244" s="279" t="n">
        <v>2050</v>
      </c>
      <c r="AU244" s="279" t="n">
        <v>2050</v>
      </c>
      <c r="AV244" s="279" t="n">
        <v>2050</v>
      </c>
      <c r="AW244" s="279" t="n">
        <v>2050</v>
      </c>
      <c r="AX244" s="279" t="n">
        <v>2050</v>
      </c>
      <c r="AY244" s="279" t="n">
        <v>2050</v>
      </c>
      <c r="AZ244" s="279" t="n">
        <v>2050</v>
      </c>
    </row>
    <row r="246" customFormat="false" ht="23.25" hidden="false" customHeight="true" outlineLevel="0" collapsed="false">
      <c r="A246" s="200" t="s">
        <v>386</v>
      </c>
      <c r="B246" s="200"/>
      <c r="C246" s="200"/>
    </row>
    <row r="247" customFormat="false" ht="15.75" hidden="false" customHeight="true" outlineLevel="0" collapsed="false">
      <c r="A247" s="245" t="s">
        <v>387</v>
      </c>
      <c r="B247" s="280" t="s">
        <v>388</v>
      </c>
      <c r="C247" s="281" t="n">
        <v>1</v>
      </c>
    </row>
    <row r="248" customFormat="false" ht="14.25" hidden="false" customHeight="true" outlineLevel="0" collapsed="false">
      <c r="A248" s="245"/>
      <c r="B248" s="280" t="s">
        <v>389</v>
      </c>
      <c r="C248" s="281"/>
    </row>
    <row r="249" customFormat="false" ht="15" hidden="false" customHeight="false" outlineLevel="0" collapsed="false">
      <c r="A249" s="208" t="s">
        <v>648</v>
      </c>
      <c r="B249" s="280" t="s">
        <v>36</v>
      </c>
      <c r="C249" s="204" t="n">
        <v>2020</v>
      </c>
    </row>
    <row r="250" customFormat="false" ht="15" hidden="false" customHeight="false" outlineLevel="0" collapsed="false">
      <c r="A250" s="282" t="s">
        <v>390</v>
      </c>
      <c r="B250" s="283" t="s">
        <v>36</v>
      </c>
      <c r="C250" s="284" t="n">
        <v>2050</v>
      </c>
    </row>
    <row r="251" customFormat="false" ht="14.25" hidden="false" customHeight="true" outlineLevel="0" collapsed="false">
      <c r="A251" s="200" t="s">
        <v>394</v>
      </c>
      <c r="B251" s="200"/>
      <c r="C251" s="200"/>
      <c r="D251" s="200"/>
      <c r="E251" s="200"/>
      <c r="F251" s="200"/>
      <c r="G251" s="200"/>
      <c r="H251" s="200"/>
      <c r="I251" s="200"/>
      <c r="J251" s="200"/>
      <c r="K251" s="200"/>
      <c r="L251" s="200"/>
      <c r="M251" s="200"/>
      <c r="N251" s="200"/>
      <c r="O251" s="200"/>
      <c r="P251" s="200"/>
      <c r="Q251" s="200"/>
    </row>
    <row r="252" customFormat="false" ht="15" hidden="false" customHeight="false" outlineLevel="0" collapsed="false">
      <c r="A252" s="285" t="s">
        <v>649</v>
      </c>
      <c r="B252" s="285"/>
      <c r="C252" s="273" t="s">
        <v>580</v>
      </c>
      <c r="D252" s="273" t="s">
        <v>597</v>
      </c>
      <c r="E252" s="273" t="s">
        <v>598</v>
      </c>
      <c r="F252" s="273" t="s">
        <v>599</v>
      </c>
      <c r="G252" s="273" t="s">
        <v>600</v>
      </c>
      <c r="H252" s="273" t="s">
        <v>601</v>
      </c>
      <c r="I252" s="273" t="s">
        <v>602</v>
      </c>
      <c r="J252" s="273" t="s">
        <v>603</v>
      </c>
      <c r="K252" s="273" t="s">
        <v>354</v>
      </c>
      <c r="L252" s="273" t="s">
        <v>369</v>
      </c>
      <c r="M252" s="273" t="s">
        <v>604</v>
      </c>
      <c r="N252" s="273" t="s">
        <v>605</v>
      </c>
      <c r="O252" s="273" t="s">
        <v>606</v>
      </c>
      <c r="P252" s="273" t="s">
        <v>607</v>
      </c>
      <c r="Q252" s="274" t="s">
        <v>608</v>
      </c>
      <c r="R252" s="274" t="s">
        <v>609</v>
      </c>
      <c r="S252" s="274" t="s">
        <v>610</v>
      </c>
      <c r="T252" s="274" t="s">
        <v>611</v>
      </c>
      <c r="U252" s="274" t="s">
        <v>612</v>
      </c>
      <c r="V252" s="274" t="s">
        <v>613</v>
      </c>
      <c r="W252" s="274" t="s">
        <v>614</v>
      </c>
      <c r="X252" s="274" t="s">
        <v>615</v>
      </c>
      <c r="Y252" s="274" t="s">
        <v>616</v>
      </c>
      <c r="Z252" s="274" t="s">
        <v>617</v>
      </c>
      <c r="AA252" s="274" t="s">
        <v>618</v>
      </c>
      <c r="AB252" s="274" t="s">
        <v>619</v>
      </c>
      <c r="AC252" s="274" t="s">
        <v>620</v>
      </c>
      <c r="AD252" s="274" t="s">
        <v>621</v>
      </c>
      <c r="AE252" s="1" t="s">
        <v>622</v>
      </c>
      <c r="AF252" s="1" t="s">
        <v>623</v>
      </c>
      <c r="AG252" s="1" t="s">
        <v>624</v>
      </c>
      <c r="AH252" s="1" t="s">
        <v>625</v>
      </c>
      <c r="AI252" s="1" t="s">
        <v>626</v>
      </c>
      <c r="AJ252" s="1" t="s">
        <v>627</v>
      </c>
      <c r="AK252" s="1" t="s">
        <v>628</v>
      </c>
      <c r="AL252" s="1" t="s">
        <v>629</v>
      </c>
      <c r="AM252" s="1" t="s">
        <v>630</v>
      </c>
      <c r="AN252" s="1" t="s">
        <v>631</v>
      </c>
      <c r="AO252" s="1" t="s">
        <v>632</v>
      </c>
      <c r="AP252" s="1" t="s">
        <v>633</v>
      </c>
      <c r="AQ252" s="1" t="s">
        <v>634</v>
      </c>
      <c r="AR252" s="1" t="s">
        <v>635</v>
      </c>
      <c r="AS252" s="1" t="s">
        <v>636</v>
      </c>
      <c r="AT252" s="1" t="s">
        <v>637</v>
      </c>
      <c r="AU252" s="1" t="s">
        <v>638</v>
      </c>
      <c r="AV252" s="1" t="s">
        <v>639</v>
      </c>
      <c r="AW252" s="1" t="s">
        <v>640</v>
      </c>
      <c r="AX252" s="1" t="s">
        <v>641</v>
      </c>
      <c r="AY252" s="1" t="s">
        <v>642</v>
      </c>
      <c r="AZ252" s="1" t="s">
        <v>643</v>
      </c>
    </row>
    <row r="253" customFormat="false" ht="16.4" hidden="false" customHeight="false" outlineLevel="0" collapsed="false">
      <c r="A253" s="286" t="s">
        <v>374</v>
      </c>
      <c r="B253" s="286"/>
      <c r="C253" s="287" t="n">
        <v>6.63886470341898E-007</v>
      </c>
      <c r="D253" s="287" t="n">
        <v>3.94150567716759E-007</v>
      </c>
      <c r="E253" s="287" t="n">
        <v>2.60568742418199E-007</v>
      </c>
      <c r="F253" s="287" t="n">
        <v>6.18039564557812E-007</v>
      </c>
      <c r="G253" s="287" t="n">
        <v>9.7945182522388E-012</v>
      </c>
      <c r="H253" s="287" t="n">
        <v>7.30787418870611E-007</v>
      </c>
      <c r="I253" s="287" t="n">
        <v>3.79996708414692E-007</v>
      </c>
      <c r="J253" s="287" t="n">
        <v>5.57245049378412E-008</v>
      </c>
      <c r="K253" s="287" t="n">
        <v>3.61288267486793E-008</v>
      </c>
      <c r="L253" s="287" t="n">
        <v>2.5952047310106E-007</v>
      </c>
      <c r="M253" s="287" t="n">
        <v>8.27091816090622E-007</v>
      </c>
      <c r="N253" s="287" t="n">
        <v>5.65420601412154E-007</v>
      </c>
      <c r="O253" s="287" t="n">
        <v>7.21581299965534E-008</v>
      </c>
      <c r="P253" s="287" t="n">
        <v>1.15467604006966E-007</v>
      </c>
      <c r="Q253" s="287" t="n">
        <v>5.86077156941521E-007</v>
      </c>
      <c r="R253" s="287" t="n">
        <v>1.79320763389123E-008</v>
      </c>
      <c r="S253" s="287" t="n">
        <v>6.43633772333513E-008</v>
      </c>
      <c r="T253" s="287" t="n">
        <v>2.23024552956448E-007</v>
      </c>
      <c r="U253" s="287" t="n">
        <v>6.40515485778184E-008</v>
      </c>
      <c r="V253" s="287" t="n">
        <v>1.99496814280996E-007</v>
      </c>
      <c r="W253" s="287" t="n">
        <v>2.16510736064606E-007</v>
      </c>
      <c r="X253" s="287" t="n">
        <v>2.30452333108599E-009</v>
      </c>
      <c r="Y253" s="287" t="n">
        <v>1.70445443975063E-007</v>
      </c>
      <c r="Z253" s="287" t="n">
        <v>2.14575741626411E-007</v>
      </c>
      <c r="AA253" s="287" t="n">
        <v>1.05813934184632E-007</v>
      </c>
      <c r="AB253" s="287" t="n">
        <v>1.43702630489252E-007</v>
      </c>
      <c r="AC253" s="287" t="n">
        <v>7.13526139338255E-007</v>
      </c>
      <c r="AD253" s="287" t="n">
        <v>5.78349221314126E-008</v>
      </c>
      <c r="AE253" s="287" t="n">
        <v>4.55283697897388E-007</v>
      </c>
      <c r="AF253" s="287" t="n">
        <v>1.4631072238219E-012</v>
      </c>
      <c r="AG253" s="287" t="n">
        <v>8.90634162582962E-007</v>
      </c>
      <c r="AH253" s="287" t="n">
        <v>9.95236494024349E-008</v>
      </c>
      <c r="AI253" s="287" t="n">
        <v>4.39854052739937E-007</v>
      </c>
      <c r="AJ253" s="287" t="n">
        <v>1.54705102206599E-006</v>
      </c>
      <c r="AK253" s="287" t="n">
        <v>1.67290094289979E-007</v>
      </c>
      <c r="AL253" s="287" t="n">
        <v>4.80047702366887E-008</v>
      </c>
      <c r="AM253" s="287" t="n">
        <v>2.43605175777352E-007</v>
      </c>
      <c r="AN253" s="287" t="n">
        <v>2.14930417487574E-007</v>
      </c>
      <c r="AO253" s="287" t="n">
        <v>5.2163583308111E-007</v>
      </c>
      <c r="AP253" s="287" t="n">
        <v>4.57953895527142E-008</v>
      </c>
      <c r="AQ253" s="287" t="n">
        <v>2.21076614024649E-007</v>
      </c>
      <c r="AR253" s="287" t="n">
        <v>7.17335252429736E-007</v>
      </c>
      <c r="AS253" s="287" t="n">
        <v>2.29855691026717E-007</v>
      </c>
      <c r="AT253" s="287" t="n">
        <v>3.59353945637237E-007</v>
      </c>
      <c r="AU253" s="287" t="n">
        <v>5.55277486818566E-008</v>
      </c>
      <c r="AV253" s="287" t="n">
        <v>2.76146559048761E-007</v>
      </c>
      <c r="AW253" s="287" t="n">
        <v>1.2478451666421E-007</v>
      </c>
      <c r="AX253" s="287" t="n">
        <v>7.90194845804216E-007</v>
      </c>
      <c r="AY253" s="287" t="n">
        <v>1.76720754271825E-007</v>
      </c>
      <c r="AZ253" s="287" t="n">
        <v>2.83769321539764E-007</v>
      </c>
    </row>
    <row r="254" customFormat="false" ht="16.4" hidden="false" customHeight="false" outlineLevel="0" collapsed="false">
      <c r="A254" s="286" t="s">
        <v>375</v>
      </c>
      <c r="B254" s="286"/>
      <c r="C254" s="287" t="n">
        <v>2.96516881270739E-007</v>
      </c>
      <c r="D254" s="287" t="n">
        <v>8.10772503054704E-008</v>
      </c>
      <c r="E254" s="287" t="n">
        <v>7.89829863900569E-008</v>
      </c>
      <c r="F254" s="287" t="n">
        <v>6.20388803050883E-008</v>
      </c>
      <c r="G254" s="287" t="n">
        <v>0</v>
      </c>
      <c r="H254" s="287" t="n">
        <v>4.7908817149566E-007</v>
      </c>
      <c r="I254" s="287" t="n">
        <v>3.57502383554569E-007</v>
      </c>
      <c r="J254" s="287" t="n">
        <v>1.06554192034763E-008</v>
      </c>
      <c r="K254" s="287" t="n">
        <v>7.99584554772683E-010</v>
      </c>
      <c r="L254" s="287" t="n">
        <v>8.52185138273226E-008</v>
      </c>
      <c r="M254" s="287" t="n">
        <v>2.14852762100774E-007</v>
      </c>
      <c r="N254" s="287" t="n">
        <v>1.10895766402122E-007</v>
      </c>
      <c r="O254" s="287" t="n">
        <v>1.39506978647443E-008</v>
      </c>
      <c r="P254" s="287" t="n">
        <v>1.51103032914926E-010</v>
      </c>
      <c r="Q254" s="287" t="n">
        <v>1.10118569158592E-007</v>
      </c>
      <c r="R254" s="287" t="n">
        <v>1.80174543212224E-008</v>
      </c>
      <c r="S254" s="287" t="n">
        <v>2.71629176508381E-008</v>
      </c>
      <c r="T254" s="287" t="n">
        <v>3.77721969217409E-008</v>
      </c>
      <c r="U254" s="287" t="n">
        <v>1.76200452781978E-008</v>
      </c>
      <c r="V254" s="287" t="n">
        <v>2.19715555458601E-011</v>
      </c>
      <c r="W254" s="287" t="n">
        <v>1.58704076568663E-008</v>
      </c>
      <c r="X254" s="287" t="n">
        <v>3.74917296314513E-011</v>
      </c>
      <c r="Y254" s="287" t="n">
        <v>1.34122216941754E-008</v>
      </c>
      <c r="Z254" s="287" t="n">
        <v>4.03874291054144E-008</v>
      </c>
      <c r="AA254" s="287" t="n">
        <v>8.53530814195144E-009</v>
      </c>
      <c r="AB254" s="287" t="n">
        <v>2.66228149798063E-008</v>
      </c>
      <c r="AC254" s="287" t="n">
        <v>4.70114190176689E-008</v>
      </c>
      <c r="AD254" s="287" t="n">
        <v>7.65154022401153E-009</v>
      </c>
      <c r="AE254" s="287" t="n">
        <v>1.32331150029219E-007</v>
      </c>
      <c r="AF254" s="287" t="n">
        <v>6.39098839548138E-013</v>
      </c>
      <c r="AG254" s="287" t="n">
        <v>5.12692740849996E-008</v>
      </c>
      <c r="AH254" s="287" t="n">
        <v>1.54183260641453E-008</v>
      </c>
      <c r="AI254" s="287" t="n">
        <v>5.08338935291531E-008</v>
      </c>
      <c r="AJ254" s="287" t="n">
        <v>4.53503147387902E-007</v>
      </c>
      <c r="AK254" s="287" t="n">
        <v>2.39586561887609E-008</v>
      </c>
      <c r="AL254" s="287" t="n">
        <v>3.50964702072094E-010</v>
      </c>
      <c r="AM254" s="287" t="n">
        <v>5.11551738455244E-008</v>
      </c>
      <c r="AN254" s="287" t="n">
        <v>5.09548143847647E-008</v>
      </c>
      <c r="AO254" s="287" t="n">
        <v>6.64316566547081E-008</v>
      </c>
      <c r="AP254" s="287" t="n">
        <v>1.18680324465321E-008</v>
      </c>
      <c r="AQ254" s="287" t="n">
        <v>2.72388475655604E-008</v>
      </c>
      <c r="AR254" s="287" t="n">
        <v>1.19222167639975E-007</v>
      </c>
      <c r="AS254" s="287" t="n">
        <v>4.49207481195052E-008</v>
      </c>
      <c r="AT254" s="287" t="n">
        <v>5.30722949091413E-008</v>
      </c>
      <c r="AU254" s="287" t="n">
        <v>9.59470293662527E-009</v>
      </c>
      <c r="AV254" s="287" t="n">
        <v>3.42310884882536E-008</v>
      </c>
      <c r="AW254" s="287" t="n">
        <v>2.95967932048111E-008</v>
      </c>
      <c r="AX254" s="287" t="n">
        <v>2.02052307354887E-007</v>
      </c>
      <c r="AY254" s="287" t="n">
        <v>3.54878329047639E-008</v>
      </c>
      <c r="AZ254" s="287" t="n">
        <v>9.76491392770843E-008</v>
      </c>
    </row>
    <row r="255" customFormat="false" ht="16.4" hidden="false" customHeight="false" outlineLevel="0" collapsed="false">
      <c r="A255" s="286" t="s">
        <v>376</v>
      </c>
      <c r="B255" s="286"/>
      <c r="C255" s="287" t="n">
        <v>1.03985060477212E-007</v>
      </c>
      <c r="D255" s="287" t="n">
        <v>1.05816095143156E-008</v>
      </c>
      <c r="E255" s="287" t="n">
        <v>8.62963840675025E-009</v>
      </c>
      <c r="F255" s="287" t="n">
        <v>6.39515827658307E-007</v>
      </c>
      <c r="G255" s="287" t="n">
        <v>2.59538869563096E-006</v>
      </c>
      <c r="H255" s="287" t="n">
        <v>1.45063395572007E-007</v>
      </c>
      <c r="I255" s="287" t="n">
        <v>7.71028297251538E-007</v>
      </c>
      <c r="J255" s="287" t="n">
        <v>4.84240843028939E-009</v>
      </c>
      <c r="K255" s="287" t="n">
        <v>3.11908643205391E-008</v>
      </c>
      <c r="L255" s="287" t="n">
        <v>7.14265826479656E-009</v>
      </c>
      <c r="M255" s="287" t="n">
        <v>3.56275094935266E-009</v>
      </c>
      <c r="N255" s="287" t="n">
        <v>5.24606565118125E-008</v>
      </c>
      <c r="O255" s="287" t="n">
        <v>4.64960103230333E-009</v>
      </c>
      <c r="P255" s="287" t="n">
        <v>6.18316953439596E-007</v>
      </c>
      <c r="Q255" s="287" t="n">
        <v>2.62773167010878E-008</v>
      </c>
      <c r="R255" s="287" t="n">
        <v>9.57826879928728E-008</v>
      </c>
      <c r="S255" s="287" t="n">
        <v>2.65813949416685E-009</v>
      </c>
      <c r="T255" s="287" t="n">
        <v>6.98132192781577E-009</v>
      </c>
      <c r="U255" s="287" t="n">
        <v>7.59936250316163E-009</v>
      </c>
      <c r="V255" s="287" t="n">
        <v>0</v>
      </c>
      <c r="W255" s="287" t="n">
        <v>7.51070502157832E-009</v>
      </c>
      <c r="X255" s="287" t="n">
        <v>0</v>
      </c>
      <c r="Y255" s="287" t="n">
        <v>4.05931896677906E-009</v>
      </c>
      <c r="Z255" s="287" t="n">
        <v>0</v>
      </c>
      <c r="AA255" s="287" t="n">
        <v>0</v>
      </c>
      <c r="AB255" s="287" t="n">
        <v>0</v>
      </c>
      <c r="AC255" s="287" t="n">
        <v>0</v>
      </c>
      <c r="AD255" s="287" t="n">
        <v>0</v>
      </c>
      <c r="AE255" s="287" t="n">
        <v>0</v>
      </c>
      <c r="AF255" s="287" t="n">
        <v>1.86869684099419E-006</v>
      </c>
      <c r="AG255" s="287" t="n">
        <v>1.61004890655885E-008</v>
      </c>
      <c r="AH255" s="287" t="n">
        <v>1.02044014948275E-008</v>
      </c>
      <c r="AI255" s="287" t="n">
        <v>2.24791935659965E-008</v>
      </c>
      <c r="AJ255" s="287" t="n">
        <v>2.75313261448201E-008</v>
      </c>
      <c r="AK255" s="287" t="n">
        <v>7.35478089435239E-009</v>
      </c>
      <c r="AL255" s="287" t="n">
        <v>3.13860550502194E-009</v>
      </c>
      <c r="AM255" s="287" t="n">
        <v>1.42818807900209E-008</v>
      </c>
      <c r="AN255" s="287" t="n">
        <v>4.29677219161295E-009</v>
      </c>
      <c r="AO255" s="287" t="n">
        <v>9.58563143408979E-009</v>
      </c>
      <c r="AP255" s="287" t="n">
        <v>1.62907973119895E-008</v>
      </c>
      <c r="AQ255" s="287" t="n">
        <v>1.12366081406735E-008</v>
      </c>
      <c r="AR255" s="287" t="n">
        <v>3.0619441960548E-008</v>
      </c>
      <c r="AS255" s="287" t="n">
        <v>2.18427314304282E-008</v>
      </c>
      <c r="AT255" s="287" t="n">
        <v>2.11221032080138E-008</v>
      </c>
      <c r="AU255" s="287" t="n">
        <v>6.35867131517186E-009</v>
      </c>
      <c r="AV255" s="287" t="n">
        <v>7.51800346755243E-009</v>
      </c>
      <c r="AW255" s="287" t="n">
        <v>8.26424165067171E-009</v>
      </c>
      <c r="AX255" s="287" t="n">
        <v>1.32083817894127E-008</v>
      </c>
      <c r="AY255" s="287" t="n">
        <v>1.98862491171199E-008</v>
      </c>
      <c r="AZ255" s="287" t="n">
        <v>8.93467073806494E-009</v>
      </c>
    </row>
    <row r="256" customFormat="false" ht="16.4" hidden="false" customHeight="false" outlineLevel="0" collapsed="false">
      <c r="A256" s="286" t="s">
        <v>377</v>
      </c>
      <c r="B256" s="286"/>
      <c r="C256" s="287" t="n">
        <v>2.37805242084638E-007</v>
      </c>
      <c r="D256" s="287" t="n">
        <v>2.41590751071734E-008</v>
      </c>
      <c r="E256" s="287" t="n">
        <v>1.64535942486436E-007</v>
      </c>
      <c r="F256" s="287" t="n">
        <v>1.6366374270558E-007</v>
      </c>
      <c r="G256" s="287" t="n">
        <v>1.23252359463612E-013</v>
      </c>
      <c r="H256" s="287" t="n">
        <v>2.12205292907869E-007</v>
      </c>
      <c r="I256" s="287" t="n">
        <v>3.0042902981562E-007</v>
      </c>
      <c r="J256" s="287" t="n">
        <v>2.06433622855199E-009</v>
      </c>
      <c r="K256" s="287" t="n">
        <v>8.02757779372753E-009</v>
      </c>
      <c r="L256" s="287" t="n">
        <v>5.1665115339739E-008</v>
      </c>
      <c r="M256" s="287" t="n">
        <v>3.09001090236525E-008</v>
      </c>
      <c r="N256" s="287" t="n">
        <v>1.52742359319682E-007</v>
      </c>
      <c r="O256" s="287" t="n">
        <v>9.39539928774511E-009</v>
      </c>
      <c r="P256" s="287" t="n">
        <v>1.73427341625118E-010</v>
      </c>
      <c r="Q256" s="287" t="n">
        <v>2.03760195363012E-007</v>
      </c>
      <c r="R256" s="287" t="n">
        <v>4.45075967337456E-009</v>
      </c>
      <c r="S256" s="287" t="n">
        <v>1.44876128952679E-008</v>
      </c>
      <c r="T256" s="287" t="n">
        <v>3.62943782334155E-008</v>
      </c>
      <c r="U256" s="287" t="n">
        <v>1.83385587676844E-008</v>
      </c>
      <c r="V256" s="287" t="n">
        <v>0</v>
      </c>
      <c r="W256" s="287" t="n">
        <v>4.24162858292576E-008</v>
      </c>
      <c r="X256" s="287" t="n">
        <v>0</v>
      </c>
      <c r="Y256" s="287" t="n">
        <v>2.81370479987201E-008</v>
      </c>
      <c r="Z256" s="287" t="n">
        <v>0</v>
      </c>
      <c r="AA256" s="287" t="n">
        <v>0</v>
      </c>
      <c r="AB256" s="287" t="n">
        <v>0</v>
      </c>
      <c r="AC256" s="287" t="n">
        <v>0</v>
      </c>
      <c r="AD256" s="287" t="n">
        <v>0</v>
      </c>
      <c r="AE256" s="287" t="n">
        <v>0</v>
      </c>
      <c r="AF256" s="287" t="n">
        <v>4.998673491132E-011</v>
      </c>
      <c r="AG256" s="287" t="n">
        <v>2.53513941095283E-007</v>
      </c>
      <c r="AH256" s="287" t="n">
        <v>7.55867901348769E-009</v>
      </c>
      <c r="AI256" s="287" t="n">
        <v>2.78354650919815E-008</v>
      </c>
      <c r="AJ256" s="287" t="n">
        <v>2.67083013381304E-007</v>
      </c>
      <c r="AK256" s="287" t="n">
        <v>4.15935189990369E-009</v>
      </c>
      <c r="AL256" s="287" t="n">
        <v>7.72133429019673E-007</v>
      </c>
      <c r="AM256" s="287" t="n">
        <v>1.58984479678419E-007</v>
      </c>
      <c r="AN256" s="287" t="n">
        <v>3.0208541449537E-009</v>
      </c>
      <c r="AO256" s="287" t="n">
        <v>7.62737548565083E-009</v>
      </c>
      <c r="AP256" s="287" t="n">
        <v>5.46632593848939E-009</v>
      </c>
      <c r="AQ256" s="287" t="n">
        <v>2.79167899693875E-008</v>
      </c>
      <c r="AR256" s="287" t="n">
        <v>2.83142259225388E-008</v>
      </c>
      <c r="AS256" s="287" t="n">
        <v>1.40315060224337E-008</v>
      </c>
      <c r="AT256" s="287" t="n">
        <v>4.08162195231356E-008</v>
      </c>
      <c r="AU256" s="287" t="n">
        <v>2.9850469705488E-008</v>
      </c>
      <c r="AV256" s="287" t="n">
        <v>8.10993964528122E-008</v>
      </c>
      <c r="AW256" s="287" t="n">
        <v>5.37079390876278E-009</v>
      </c>
      <c r="AX256" s="287" t="n">
        <v>9.51620164224819E-009</v>
      </c>
      <c r="AY256" s="287" t="n">
        <v>1.75384761655157E-008</v>
      </c>
      <c r="AZ256" s="287" t="n">
        <v>1.50128470573686E-008</v>
      </c>
    </row>
    <row r="257" customFormat="false" ht="16.4" hidden="false" customHeight="false" outlineLevel="0" collapsed="false">
      <c r="A257" s="288" t="s">
        <v>378</v>
      </c>
      <c r="B257" s="288"/>
      <c r="C257" s="287" t="n">
        <v>3.55254103935776E-007</v>
      </c>
      <c r="D257" s="287" t="n">
        <v>2.293184615359E-008</v>
      </c>
      <c r="E257" s="287" t="n">
        <v>6.11663711445528E-009</v>
      </c>
      <c r="F257" s="287" t="n">
        <v>1.72830341553575E-007</v>
      </c>
      <c r="G257" s="287" t="n">
        <v>4.23282798205905E-013</v>
      </c>
      <c r="H257" s="287" t="n">
        <v>1.02715463588318E-007</v>
      </c>
      <c r="I257" s="287" t="n">
        <v>2.54317389315155E-008</v>
      </c>
      <c r="J257" s="287" t="n">
        <v>1.44538316904563E-009</v>
      </c>
      <c r="K257" s="287" t="n">
        <v>8.27837885813566E-010</v>
      </c>
      <c r="L257" s="287" t="n">
        <v>7.32648755899637E-009</v>
      </c>
      <c r="M257" s="287" t="n">
        <v>1.32935668929863E-009</v>
      </c>
      <c r="N257" s="287" t="n">
        <v>6.48770648693752E-008</v>
      </c>
      <c r="O257" s="287" t="n">
        <v>2.19454217543183E-009</v>
      </c>
      <c r="P257" s="287" t="n">
        <v>1.59725642227265E-010</v>
      </c>
      <c r="Q257" s="287" t="n">
        <v>7.79524843134575E-008</v>
      </c>
      <c r="R257" s="287" t="n">
        <v>1.33218730349096E-007</v>
      </c>
      <c r="S257" s="287" t="n">
        <v>1.05842679959771E-008</v>
      </c>
      <c r="T257" s="287" t="n">
        <v>6.79219205852576E-009</v>
      </c>
      <c r="U257" s="287" t="n">
        <v>3.66888073402148E-009</v>
      </c>
      <c r="V257" s="287" t="n">
        <v>0</v>
      </c>
      <c r="W257" s="287" t="n">
        <v>4.06295820779553E-009</v>
      </c>
      <c r="X257" s="287" t="n">
        <v>0</v>
      </c>
      <c r="Y257" s="287" t="n">
        <v>1.74158675806592E-009</v>
      </c>
      <c r="Z257" s="287" t="n">
        <v>0</v>
      </c>
      <c r="AA257" s="287" t="n">
        <v>0</v>
      </c>
      <c r="AB257" s="287" t="n">
        <v>0</v>
      </c>
      <c r="AC257" s="287" t="n">
        <v>0</v>
      </c>
      <c r="AD257" s="287" t="n">
        <v>0</v>
      </c>
      <c r="AE257" s="287" t="n">
        <v>0</v>
      </c>
      <c r="AF257" s="287" t="n">
        <v>1.45230268881311E-013</v>
      </c>
      <c r="AG257" s="287" t="n">
        <v>1.7072629561898E-007</v>
      </c>
      <c r="AH257" s="287" t="n">
        <v>1.29452428734285E-008</v>
      </c>
      <c r="AI257" s="287" t="n">
        <v>1.52206927646019E-008</v>
      </c>
      <c r="AJ257" s="287" t="n">
        <v>1.74492038373036E-006</v>
      </c>
      <c r="AK257" s="287" t="n">
        <v>1.26760646242401E-009</v>
      </c>
      <c r="AL257" s="287" t="n">
        <v>3.50321801908544E-008</v>
      </c>
      <c r="AM257" s="287" t="n">
        <v>1.09165823370552E-008</v>
      </c>
      <c r="AN257" s="287" t="n">
        <v>7.03100193637215E-009</v>
      </c>
      <c r="AO257" s="287" t="n">
        <v>1.22885410104119E-008</v>
      </c>
      <c r="AP257" s="287" t="n">
        <v>2.93787471176384E-009</v>
      </c>
      <c r="AQ257" s="287" t="n">
        <v>1.3604627215381E-008</v>
      </c>
      <c r="AR257" s="287" t="n">
        <v>8.4049425998585E-009</v>
      </c>
      <c r="AS257" s="287" t="n">
        <v>7.25992206017063E-009</v>
      </c>
      <c r="AT257" s="287" t="n">
        <v>3.53340067381558E-008</v>
      </c>
      <c r="AU257" s="287" t="n">
        <v>3.52975990925663E-009</v>
      </c>
      <c r="AV257" s="287" t="n">
        <v>6.55218761879912E-009</v>
      </c>
      <c r="AW257" s="287" t="n">
        <v>3.41862512974805E-009</v>
      </c>
      <c r="AX257" s="287" t="n">
        <v>1.66424261223756E-008</v>
      </c>
      <c r="AY257" s="287" t="n">
        <v>9.60120680639634E-009</v>
      </c>
      <c r="AZ257" s="287" t="n">
        <v>4.02920443706696E-007</v>
      </c>
    </row>
    <row r="258" customFormat="false" ht="17.35" hidden="false" customHeight="false" outlineLevel="0" collapsed="false">
      <c r="A258" s="200" t="s">
        <v>397</v>
      </c>
      <c r="B258" s="200"/>
      <c r="C258" s="200"/>
    </row>
    <row r="259" customFormat="false" ht="31.3" hidden="false" customHeight="false" outlineLevel="0" collapsed="false">
      <c r="A259" s="289" t="s">
        <v>398</v>
      </c>
      <c r="B259" s="280" t="s">
        <v>36</v>
      </c>
      <c r="C259" s="204" t="n">
        <v>2020</v>
      </c>
    </row>
    <row r="260" customFormat="false" ht="31.3" hidden="false" customHeight="false" outlineLevel="0" collapsed="false">
      <c r="A260" s="272" t="s">
        <v>399</v>
      </c>
      <c r="B260" s="290" t="s">
        <v>327</v>
      </c>
      <c r="C260" s="244" t="n">
        <v>-0.3</v>
      </c>
    </row>
    <row r="262" customFormat="false" ht="14.25" hidden="false" customHeight="true" outlineLevel="0" collapsed="false">
      <c r="A262" s="200" t="s">
        <v>400</v>
      </c>
      <c r="B262" s="200"/>
      <c r="C262" s="200"/>
    </row>
    <row r="263" customFormat="false" ht="28.5" hidden="false" customHeight="true" outlineLevel="0" collapsed="false">
      <c r="A263" s="291" t="s">
        <v>401</v>
      </c>
      <c r="B263" s="280" t="s">
        <v>28</v>
      </c>
      <c r="C263" s="281" t="n">
        <v>1</v>
      </c>
    </row>
    <row r="264" customFormat="false" ht="14.25" hidden="false" customHeight="true" outlineLevel="0" collapsed="false">
      <c r="A264" s="292" t="s">
        <v>403</v>
      </c>
      <c r="B264" s="280" t="s">
        <v>404</v>
      </c>
      <c r="C264" s="293" t="n">
        <v>1</v>
      </c>
    </row>
    <row r="265" customFormat="false" ht="15" hidden="false" customHeight="false" outlineLevel="0" collapsed="false">
      <c r="A265" s="292"/>
      <c r="B265" s="280" t="s">
        <v>408</v>
      </c>
      <c r="C265" s="293"/>
    </row>
    <row r="266" customFormat="false" ht="15" hidden="false" customHeight="false" outlineLevel="0" collapsed="false">
      <c r="A266" s="292"/>
      <c r="B266" s="280" t="s">
        <v>409</v>
      </c>
      <c r="C266" s="293"/>
    </row>
    <row r="267" customFormat="false" ht="16.4" hidden="false" customHeight="false" outlineLevel="0" collapsed="false">
      <c r="A267" s="291" t="s">
        <v>650</v>
      </c>
      <c r="B267" s="280" t="s">
        <v>651</v>
      </c>
      <c r="C267" s="204" t="n">
        <v>0.1</v>
      </c>
    </row>
    <row r="268" customFormat="false" ht="15" hidden="false" customHeight="true" outlineLevel="0" collapsed="false">
      <c r="A268" s="292" t="s">
        <v>406</v>
      </c>
      <c r="B268" s="280" t="s">
        <v>404</v>
      </c>
      <c r="C268" s="293" t="n">
        <v>1</v>
      </c>
    </row>
    <row r="269" customFormat="false" ht="15" hidden="false" customHeight="false" outlineLevel="0" collapsed="false">
      <c r="A269" s="292"/>
      <c r="B269" s="280" t="s">
        <v>408</v>
      </c>
      <c r="C269" s="293"/>
    </row>
    <row r="270" customFormat="false" ht="15" hidden="false" customHeight="false" outlineLevel="0" collapsed="false">
      <c r="A270" s="292"/>
      <c r="B270" s="280" t="s">
        <v>409</v>
      </c>
      <c r="C270" s="293"/>
    </row>
    <row r="271" customFormat="false" ht="16.4" hidden="false" customHeight="false" outlineLevel="0" collapsed="false">
      <c r="A271" s="294" t="s">
        <v>413</v>
      </c>
      <c r="B271" s="290" t="s">
        <v>651</v>
      </c>
      <c r="C271" s="244" t="n">
        <v>0.1</v>
      </c>
    </row>
    <row r="274" customFormat="false" ht="24.45" hidden="false" customHeight="false" outlineLevel="0" collapsed="false">
      <c r="A274" s="199" t="s">
        <v>652</v>
      </c>
    </row>
    <row r="275" customFormat="false" ht="15.75" hidden="false" customHeight="true" outlineLevel="0" collapsed="false">
      <c r="A275" s="200" t="s">
        <v>429</v>
      </c>
      <c r="B275" s="200"/>
      <c r="C275" s="200"/>
      <c r="D275" s="200"/>
    </row>
    <row r="276" customFormat="false" ht="15.75" hidden="false" customHeight="true" outlineLevel="0" collapsed="false">
      <c r="A276" s="295" t="s">
        <v>430</v>
      </c>
      <c r="B276" s="295"/>
      <c r="C276" s="295"/>
      <c r="D276" s="295"/>
    </row>
    <row r="277" customFormat="false" ht="15" hidden="false" customHeight="true" outlineLevel="0" collapsed="false">
      <c r="A277" s="291" t="s">
        <v>431</v>
      </c>
      <c r="B277" s="291"/>
      <c r="C277" s="291"/>
      <c r="D277" s="296" t="n">
        <v>2</v>
      </c>
    </row>
    <row r="278" customFormat="false" ht="16.4" hidden="false" customHeight="false" outlineLevel="0" collapsed="false">
      <c r="A278" s="297" t="s">
        <v>432</v>
      </c>
      <c r="B278" s="298"/>
      <c r="C278" s="298"/>
      <c r="D278" s="299"/>
    </row>
    <row r="279" customFormat="false" ht="15" hidden="false" customHeight="false" outlineLevel="0" collapsed="false">
      <c r="A279" s="300" t="s">
        <v>433</v>
      </c>
      <c r="B279" s="301" t="n">
        <v>2050</v>
      </c>
      <c r="C279" s="302"/>
      <c r="D279" s="302"/>
      <c r="E279" s="302"/>
    </row>
    <row r="280" customFormat="false" ht="16.4" hidden="false" customHeight="false" outlineLevel="0" collapsed="false">
      <c r="A280" s="303" t="s">
        <v>435</v>
      </c>
      <c r="B280" s="304" t="n">
        <v>2020</v>
      </c>
      <c r="C280" s="203"/>
      <c r="D280" s="305" t="s">
        <v>437</v>
      </c>
      <c r="E280" s="306" t="s">
        <v>438</v>
      </c>
    </row>
    <row r="281" customFormat="false" ht="13.5" hidden="false" customHeight="true" outlineLevel="0" collapsed="false">
      <c r="A281" s="307" t="s">
        <v>439</v>
      </c>
      <c r="B281" s="308" t="s">
        <v>440</v>
      </c>
      <c r="C281" s="280" t="s">
        <v>653</v>
      </c>
      <c r="D281" s="259" t="n">
        <v>0.201666666666667</v>
      </c>
      <c r="E281" s="226" t="n">
        <v>0.605</v>
      </c>
    </row>
    <row r="282" customFormat="false" ht="15" hidden="false" customHeight="false" outlineLevel="0" collapsed="false">
      <c r="A282" s="307"/>
      <c r="B282" s="308" t="s">
        <v>443</v>
      </c>
      <c r="C282" s="280" t="s">
        <v>653</v>
      </c>
      <c r="D282" s="259" t="n">
        <v>0.05</v>
      </c>
      <c r="E282" s="226" t="n">
        <v>0.15</v>
      </c>
    </row>
    <row r="283" customFormat="false" ht="15" hidden="false" customHeight="false" outlineLevel="0" collapsed="false">
      <c r="A283" s="307"/>
      <c r="B283" s="308" t="s">
        <v>444</v>
      </c>
      <c r="C283" s="280" t="s">
        <v>653</v>
      </c>
      <c r="D283" s="259" t="n">
        <v>0.196666666666667</v>
      </c>
      <c r="E283" s="226" t="n">
        <v>0.59</v>
      </c>
    </row>
    <row r="284" customFormat="false" ht="15" hidden="false" customHeight="false" outlineLevel="0" collapsed="false">
      <c r="A284" s="307"/>
      <c r="B284" s="308" t="s">
        <v>445</v>
      </c>
      <c r="C284" s="280" t="s">
        <v>653</v>
      </c>
      <c r="D284" s="259" t="n">
        <v>0.163333333333333</v>
      </c>
      <c r="E284" s="226" t="n">
        <v>0.49</v>
      </c>
    </row>
    <row r="285" customFormat="false" ht="15" hidden="false" customHeight="false" outlineLevel="0" collapsed="false">
      <c r="A285" s="307"/>
      <c r="B285" s="308" t="s">
        <v>446</v>
      </c>
      <c r="C285" s="280" t="s">
        <v>653</v>
      </c>
      <c r="D285" s="259" t="n">
        <v>0.00166666666666667</v>
      </c>
      <c r="E285" s="226" t="n">
        <v>0.005</v>
      </c>
    </row>
    <row r="286" customFormat="false" ht="15" hidden="false" customHeight="false" outlineLevel="0" collapsed="false">
      <c r="A286" s="307"/>
      <c r="B286" s="308" t="s">
        <v>447</v>
      </c>
      <c r="C286" s="280" t="s">
        <v>653</v>
      </c>
      <c r="D286" s="259" t="n">
        <v>0.0633333333333333</v>
      </c>
      <c r="E286" s="226" t="n">
        <v>0.19</v>
      </c>
    </row>
    <row r="287" customFormat="false" ht="15" hidden="false" customHeight="false" outlineLevel="0" collapsed="false">
      <c r="A287" s="307"/>
      <c r="B287" s="308" t="s">
        <v>448</v>
      </c>
      <c r="C287" s="280" t="s">
        <v>653</v>
      </c>
      <c r="D287" s="259" t="n">
        <v>0.253333333333333</v>
      </c>
      <c r="E287" s="226" t="n">
        <v>0.76</v>
      </c>
    </row>
    <row r="288" customFormat="false" ht="15" hidden="false" customHeight="false" outlineLevel="0" collapsed="false">
      <c r="A288" s="307"/>
      <c r="B288" s="308" t="s">
        <v>449</v>
      </c>
      <c r="C288" s="280" t="s">
        <v>653</v>
      </c>
      <c r="D288" s="259" t="n">
        <v>0.00166666666666667</v>
      </c>
      <c r="E288" s="226" t="n">
        <v>0.005</v>
      </c>
    </row>
    <row r="289" customFormat="false" ht="15" hidden="false" customHeight="false" outlineLevel="0" collapsed="false">
      <c r="A289" s="307"/>
      <c r="B289" s="308" t="s">
        <v>450</v>
      </c>
      <c r="C289" s="280" t="s">
        <v>653</v>
      </c>
      <c r="D289" s="259" t="n">
        <v>0.13</v>
      </c>
      <c r="E289" s="226" t="n">
        <v>0.39</v>
      </c>
    </row>
    <row r="290" customFormat="false" ht="15" hidden="false" customHeight="false" outlineLevel="0" collapsed="false">
      <c r="A290" s="307"/>
      <c r="B290" s="308" t="s">
        <v>451</v>
      </c>
      <c r="C290" s="280" t="s">
        <v>653</v>
      </c>
      <c r="D290" s="259" t="n">
        <v>0.176666666666667</v>
      </c>
      <c r="E290" s="226" t="n">
        <v>0.53</v>
      </c>
    </row>
    <row r="291" customFormat="false" ht="15" hidden="false" customHeight="false" outlineLevel="0" collapsed="false">
      <c r="A291" s="307"/>
      <c r="B291" s="308" t="s">
        <v>452</v>
      </c>
      <c r="C291" s="280" t="s">
        <v>653</v>
      </c>
      <c r="D291" s="259" t="n">
        <v>0.116666666666667</v>
      </c>
      <c r="E291" s="226" t="n">
        <v>0.35</v>
      </c>
    </row>
    <row r="292" customFormat="false" ht="15" hidden="false" customHeight="false" outlineLevel="0" collapsed="false">
      <c r="A292" s="307"/>
      <c r="B292" s="308" t="s">
        <v>453</v>
      </c>
      <c r="C292" s="280" t="s">
        <v>653</v>
      </c>
      <c r="D292" s="259" t="n">
        <v>0.188333333333333</v>
      </c>
      <c r="E292" s="226" t="n">
        <v>0.565</v>
      </c>
    </row>
    <row r="293" customFormat="false" ht="15" hidden="false" customHeight="false" outlineLevel="0" collapsed="false">
      <c r="A293" s="307"/>
      <c r="B293" s="308" t="s">
        <v>454</v>
      </c>
      <c r="C293" s="280" t="s">
        <v>653</v>
      </c>
      <c r="D293" s="259" t="n">
        <v>0.245</v>
      </c>
      <c r="E293" s="226" t="n">
        <v>0.735</v>
      </c>
    </row>
    <row r="294" customFormat="false" ht="15" hidden="false" customHeight="false" outlineLevel="0" collapsed="false">
      <c r="A294" s="307"/>
      <c r="B294" s="308" t="s">
        <v>455</v>
      </c>
      <c r="C294" s="280" t="s">
        <v>653</v>
      </c>
      <c r="D294" s="259" t="n">
        <v>0.191666666666667</v>
      </c>
      <c r="E294" s="226" t="n">
        <v>0.575</v>
      </c>
    </row>
    <row r="295" customFormat="false" ht="15" hidden="false" customHeight="false" outlineLevel="0" collapsed="false">
      <c r="A295" s="307"/>
      <c r="B295" s="308" t="s">
        <v>456</v>
      </c>
      <c r="C295" s="280" t="s">
        <v>653</v>
      </c>
      <c r="D295" s="259" t="n">
        <v>0.101666666666667</v>
      </c>
      <c r="E295" s="226" t="n">
        <v>0.305</v>
      </c>
    </row>
    <row r="296" customFormat="false" ht="15" hidden="false" customHeight="false" outlineLevel="0" collapsed="false">
      <c r="A296" s="307"/>
      <c r="B296" s="308" t="s">
        <v>457</v>
      </c>
      <c r="C296" s="280" t="s">
        <v>653</v>
      </c>
      <c r="D296" s="259" t="n">
        <v>0.00166666666666667</v>
      </c>
      <c r="E296" s="226" t="n">
        <v>0.005</v>
      </c>
    </row>
    <row r="297" customFormat="false" ht="15" hidden="false" customHeight="false" outlineLevel="0" collapsed="false">
      <c r="A297" s="307"/>
      <c r="B297" s="308" t="s">
        <v>458</v>
      </c>
      <c r="C297" s="280" t="s">
        <v>653</v>
      </c>
      <c r="D297" s="259" t="n">
        <v>0.303333333333333</v>
      </c>
      <c r="E297" s="226" t="n">
        <v>0.91</v>
      </c>
    </row>
    <row r="298" customFormat="false" ht="15" hidden="false" customHeight="false" outlineLevel="0" collapsed="false">
      <c r="A298" s="307"/>
      <c r="B298" s="308" t="s">
        <v>459</v>
      </c>
      <c r="C298" s="280" t="s">
        <v>653</v>
      </c>
      <c r="D298" s="259" t="n">
        <v>0.00166666666666667</v>
      </c>
      <c r="E298" s="226" t="n">
        <v>0.005</v>
      </c>
    </row>
    <row r="299" customFormat="false" ht="15" hidden="false" customHeight="false" outlineLevel="0" collapsed="false">
      <c r="A299" s="307"/>
      <c r="B299" s="309" t="s">
        <v>460</v>
      </c>
      <c r="C299" s="290" t="s">
        <v>653</v>
      </c>
      <c r="D299" s="206" t="n">
        <v>0.183333333333333</v>
      </c>
      <c r="E299" s="207" t="n">
        <v>0.55</v>
      </c>
    </row>
    <row r="300" customFormat="false" ht="15" hidden="false" customHeight="true" outlineLevel="0" collapsed="false">
      <c r="A300" s="310" t="s">
        <v>461</v>
      </c>
      <c r="B300" s="310"/>
      <c r="C300" s="310"/>
    </row>
    <row r="301" customFormat="false" ht="31.3" hidden="false" customHeight="false" outlineLevel="0" collapsed="false">
      <c r="A301" s="291" t="s">
        <v>654</v>
      </c>
      <c r="B301" s="280" t="s">
        <v>655</v>
      </c>
      <c r="C301" s="311" t="n">
        <v>0.014</v>
      </c>
    </row>
    <row r="302" customFormat="false" ht="16.4" hidden="false" customHeight="false" outlineLevel="0" collapsed="false">
      <c r="A302" s="291" t="s">
        <v>656</v>
      </c>
      <c r="B302" s="280" t="s">
        <v>423</v>
      </c>
      <c r="C302" s="204" t="n">
        <v>2020</v>
      </c>
    </row>
    <row r="303" customFormat="false" ht="16.4" hidden="false" customHeight="false" outlineLevel="0" collapsed="false">
      <c r="A303" s="291" t="s">
        <v>657</v>
      </c>
      <c r="B303" s="280" t="s">
        <v>655</v>
      </c>
      <c r="C303" s="311" t="n">
        <v>0.014</v>
      </c>
    </row>
    <row r="304" customFormat="false" ht="16.4" hidden="false" customHeight="false" outlineLevel="0" collapsed="false">
      <c r="A304" s="294" t="s">
        <v>658</v>
      </c>
      <c r="B304" s="290" t="s">
        <v>423</v>
      </c>
      <c r="C304" s="244" t="n">
        <v>2020</v>
      </c>
    </row>
    <row r="306" customFormat="false" ht="17.35" hidden="false" customHeight="false" outlineLevel="0" collapsed="false">
      <c r="A306" s="200" t="s">
        <v>232</v>
      </c>
      <c r="B306" s="200"/>
      <c r="C306" s="200"/>
    </row>
    <row r="307" customFormat="false" ht="15" hidden="false" customHeight="false" outlineLevel="0" collapsed="false">
      <c r="A307" s="312" t="s">
        <v>233</v>
      </c>
      <c r="B307" s="312"/>
      <c r="C307" s="312"/>
      <c r="H307" s="54"/>
      <c r="J307" s="57"/>
    </row>
    <row r="308" customFormat="false" ht="16.4" hidden="false" customHeight="false" outlineLevel="0" collapsed="false">
      <c r="A308" s="291" t="s">
        <v>234</v>
      </c>
      <c r="B308" s="203" t="s">
        <v>28</v>
      </c>
      <c r="C308" s="313" t="n">
        <v>1</v>
      </c>
      <c r="H308" s="54"/>
      <c r="J308" s="57"/>
    </row>
    <row r="309" customFormat="false" ht="15" hidden="false" customHeight="false" outlineLevel="0" collapsed="false">
      <c r="A309" s="312" t="s">
        <v>659</v>
      </c>
      <c r="B309" s="312"/>
      <c r="C309" s="312"/>
      <c r="H309" s="54"/>
      <c r="J309" s="57"/>
    </row>
    <row r="310" customFormat="false" ht="15" hidden="false" customHeight="true" outlineLevel="0" collapsed="false">
      <c r="A310" s="307" t="s">
        <v>660</v>
      </c>
      <c r="B310" s="280" t="s">
        <v>661</v>
      </c>
      <c r="C310" s="314" t="n">
        <v>4</v>
      </c>
      <c r="H310" s="54"/>
      <c r="J310" s="57"/>
    </row>
    <row r="311" customFormat="false" ht="15" hidden="false" customHeight="false" outlineLevel="0" collapsed="false">
      <c r="A311" s="307"/>
      <c r="B311" s="280" t="s">
        <v>662</v>
      </c>
      <c r="C311" s="314"/>
      <c r="H311" s="54"/>
      <c r="J311" s="57"/>
    </row>
    <row r="312" customFormat="false" ht="15" hidden="false" customHeight="false" outlineLevel="0" collapsed="false">
      <c r="A312" s="307"/>
      <c r="B312" s="280" t="s">
        <v>663</v>
      </c>
      <c r="C312" s="314"/>
      <c r="H312" s="54"/>
      <c r="J312" s="57"/>
    </row>
    <row r="313" customFormat="false" ht="15" hidden="false" customHeight="false" outlineLevel="0" collapsed="false">
      <c r="A313" s="307"/>
      <c r="B313" s="290" t="s">
        <v>664</v>
      </c>
      <c r="C313" s="314"/>
      <c r="H313" s="54"/>
      <c r="J313" s="57"/>
    </row>
    <row r="314" customFormat="false" ht="15" hidden="false" customHeight="false" outlineLevel="0" collapsed="false">
      <c r="H314" s="54"/>
      <c r="J314" s="57"/>
    </row>
    <row r="315" customFormat="false" ht="15" hidden="false" customHeight="false" outlineLevel="0" collapsed="false">
      <c r="A315" s="315" t="s">
        <v>164</v>
      </c>
      <c r="B315" s="316"/>
      <c r="H315" s="54"/>
      <c r="J315" s="57"/>
    </row>
    <row r="316" customFormat="false" ht="15" hidden="false" customHeight="false" outlineLevel="0" collapsed="false">
      <c r="A316" s="317" t="s">
        <v>165</v>
      </c>
      <c r="B316" s="318" t="n">
        <v>1</v>
      </c>
      <c r="H316" s="54"/>
      <c r="J316" s="57"/>
    </row>
    <row r="317" customFormat="false" ht="15" hidden="false" customHeight="false" outlineLevel="0" collapsed="false">
      <c r="H317" s="54"/>
      <c r="J317" s="57"/>
    </row>
    <row r="318" customFormat="false" ht="17.35" hidden="false" customHeight="false" outlineLevel="0" collapsed="false">
      <c r="A318" s="200" t="s">
        <v>665</v>
      </c>
      <c r="B318" s="200"/>
      <c r="C318" s="200"/>
      <c r="D318" s="200"/>
      <c r="E318" s="200"/>
      <c r="F318" s="200"/>
      <c r="G318" s="200"/>
      <c r="H318" s="200"/>
      <c r="I318" s="200"/>
      <c r="J318" s="57"/>
    </row>
    <row r="319" customFormat="false" ht="15" hidden="false" customHeight="false" outlineLevel="0" collapsed="false">
      <c r="A319" s="319" t="s">
        <v>666</v>
      </c>
      <c r="B319" s="202" t="s">
        <v>36</v>
      </c>
      <c r="C319" s="203" t="n">
        <v>2020</v>
      </c>
      <c r="D319" s="203" t="n">
        <v>2025</v>
      </c>
      <c r="E319" s="203" t="n">
        <v>2030</v>
      </c>
      <c r="F319" s="203" t="n">
        <v>2035</v>
      </c>
      <c r="G319" s="203" t="n">
        <v>2040</v>
      </c>
      <c r="H319" s="203" t="n">
        <v>2045</v>
      </c>
      <c r="I319" s="204" t="n">
        <v>2050</v>
      </c>
      <c r="J319" s="57"/>
    </row>
    <row r="320" customFormat="false" ht="15" hidden="false" customHeight="false" outlineLevel="0" collapsed="false">
      <c r="A320" s="319" t="s">
        <v>580</v>
      </c>
      <c r="B320" s="202" t="s">
        <v>499</v>
      </c>
      <c r="C320" s="203" t="n">
        <v>0</v>
      </c>
      <c r="D320" s="203" t="n">
        <v>0</v>
      </c>
      <c r="E320" s="203" t="n">
        <v>0</v>
      </c>
      <c r="F320" s="203" t="n">
        <v>0</v>
      </c>
      <c r="G320" s="203" t="n">
        <v>0</v>
      </c>
      <c r="H320" s="203" t="n">
        <v>0</v>
      </c>
      <c r="I320" s="204" t="n">
        <v>0</v>
      </c>
      <c r="J320" s="57"/>
    </row>
    <row r="321" customFormat="false" ht="15" hidden="false" customHeight="false" outlineLevel="0" collapsed="false">
      <c r="A321" s="319" t="s">
        <v>597</v>
      </c>
      <c r="B321" s="202"/>
      <c r="C321" s="203" t="n">
        <v>0</v>
      </c>
      <c r="D321" s="203" t="n">
        <v>0</v>
      </c>
      <c r="E321" s="203" t="n">
        <v>0</v>
      </c>
      <c r="F321" s="203" t="n">
        <v>0</v>
      </c>
      <c r="G321" s="203" t="n">
        <v>0</v>
      </c>
      <c r="H321" s="203" t="n">
        <v>0</v>
      </c>
      <c r="I321" s="204" t="n">
        <v>0</v>
      </c>
      <c r="J321" s="57"/>
    </row>
    <row r="322" customFormat="false" ht="15" hidden="false" customHeight="false" outlineLevel="0" collapsed="false">
      <c r="A322" s="319" t="s">
        <v>598</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19" t="s">
        <v>599</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19" t="s">
        <v>600</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19" t="s">
        <v>601</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19" t="s">
        <v>602</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19" t="s">
        <v>603</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19" t="s">
        <v>354</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19" t="s">
        <v>369</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19" t="s">
        <v>604</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19" t="s">
        <v>605</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19" t="s">
        <v>606</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19" t="s">
        <v>607</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19" t="s">
        <v>608</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19" t="s">
        <v>609</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19" t="s">
        <v>610</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19" t="s">
        <v>611</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19" t="s">
        <v>612</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19" t="s">
        <v>613</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19" t="s">
        <v>614</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19" t="s">
        <v>615</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19" t="s">
        <v>616</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19" t="s">
        <v>617</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19" t="s">
        <v>618</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19" t="s">
        <v>619</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19" t="s">
        <v>620</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19" t="s">
        <v>621</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19" t="s">
        <v>622</v>
      </c>
      <c r="B348" s="202" t="s">
        <v>499</v>
      </c>
      <c r="C348" s="203" t="n">
        <v>0</v>
      </c>
      <c r="D348" s="203" t="n">
        <v>0</v>
      </c>
      <c r="E348" s="203" t="n">
        <v>0</v>
      </c>
      <c r="F348" s="203" t="n">
        <v>0</v>
      </c>
      <c r="G348" s="203" t="n">
        <v>0</v>
      </c>
      <c r="H348" s="203" t="n">
        <v>0</v>
      </c>
      <c r="I348" s="204" t="n">
        <v>0</v>
      </c>
      <c r="J348" s="57"/>
    </row>
    <row r="349" customFormat="false" ht="15" hidden="false" customHeight="false" outlineLevel="0" collapsed="false">
      <c r="A349" s="319" t="s">
        <v>623</v>
      </c>
      <c r="B349" s="202" t="s">
        <v>499</v>
      </c>
      <c r="C349" s="203" t="n">
        <v>0</v>
      </c>
      <c r="D349" s="203" t="n">
        <v>0</v>
      </c>
      <c r="E349" s="203" t="n">
        <v>0</v>
      </c>
      <c r="F349" s="203" t="n">
        <v>0</v>
      </c>
      <c r="G349" s="203" t="n">
        <v>0</v>
      </c>
      <c r="H349" s="203" t="n">
        <v>0</v>
      </c>
      <c r="I349" s="204" t="n">
        <v>0</v>
      </c>
      <c r="J349" s="57"/>
    </row>
    <row r="350" customFormat="false" ht="15" hidden="false" customHeight="false" outlineLevel="0" collapsed="false">
      <c r="A350" s="319" t="s">
        <v>624</v>
      </c>
      <c r="B350" s="202" t="s">
        <v>499</v>
      </c>
      <c r="C350" s="203" t="n">
        <v>0</v>
      </c>
      <c r="D350" s="203" t="n">
        <v>0</v>
      </c>
      <c r="E350" s="203" t="n">
        <v>0.00086013</v>
      </c>
      <c r="F350" s="203" t="n">
        <v>0.001453609</v>
      </c>
      <c r="G350" s="203" t="n">
        <v>0.002036738</v>
      </c>
      <c r="H350" s="203" t="n">
        <v>0.002500292</v>
      </c>
      <c r="I350" s="204" t="n">
        <v>0.002963845</v>
      </c>
      <c r="J350" s="57"/>
    </row>
    <row r="351" customFormat="false" ht="15" hidden="false" customHeight="false" outlineLevel="0" collapsed="false">
      <c r="A351" s="319" t="s">
        <v>625</v>
      </c>
      <c r="B351" s="202" t="s">
        <v>499</v>
      </c>
      <c r="C351" s="203" t="n">
        <v>0</v>
      </c>
      <c r="D351" s="203" t="n">
        <v>0</v>
      </c>
      <c r="E351" s="203" t="n">
        <v>0</v>
      </c>
      <c r="F351" s="203" t="n">
        <v>0</v>
      </c>
      <c r="G351" s="203" t="n">
        <v>0</v>
      </c>
      <c r="H351" s="203" t="n">
        <v>0</v>
      </c>
      <c r="I351" s="204" t="n">
        <v>0</v>
      </c>
      <c r="J351" s="57"/>
    </row>
    <row r="352" customFormat="false" ht="15" hidden="false" customHeight="false" outlineLevel="0" collapsed="false">
      <c r="A352" s="319" t="s">
        <v>626</v>
      </c>
      <c r="B352" s="202" t="s">
        <v>499</v>
      </c>
      <c r="C352" s="203" t="n">
        <v>0</v>
      </c>
      <c r="D352" s="203" t="n">
        <v>0</v>
      </c>
      <c r="E352" s="203" t="n">
        <v>0.00086013</v>
      </c>
      <c r="F352" s="203" t="n">
        <v>0.001453609</v>
      </c>
      <c r="G352" s="203" t="n">
        <v>0.002036738</v>
      </c>
      <c r="H352" s="203" t="n">
        <v>0.002500292</v>
      </c>
      <c r="I352" s="204" t="n">
        <v>0.002963845</v>
      </c>
      <c r="J352" s="57"/>
    </row>
    <row r="353" customFormat="false" ht="15" hidden="false" customHeight="false" outlineLevel="0" collapsed="false">
      <c r="A353" s="319" t="s">
        <v>627</v>
      </c>
      <c r="B353" s="202" t="s">
        <v>499</v>
      </c>
      <c r="C353" s="203" t="n">
        <v>0</v>
      </c>
      <c r="D353" s="203" t="n">
        <v>0</v>
      </c>
      <c r="E353" s="203" t="n">
        <v>0</v>
      </c>
      <c r="F353" s="203" t="n">
        <v>0</v>
      </c>
      <c r="G353" s="203" t="n">
        <v>0</v>
      </c>
      <c r="H353" s="203" t="n">
        <v>0</v>
      </c>
      <c r="I353" s="204" t="n">
        <v>0</v>
      </c>
      <c r="J353" s="57"/>
    </row>
    <row r="354" customFormat="false" ht="15" hidden="false" customHeight="false" outlineLevel="0" collapsed="false">
      <c r="A354" s="319" t="s">
        <v>628</v>
      </c>
      <c r="B354" s="202" t="s">
        <v>499</v>
      </c>
      <c r="C354" s="203" t="n">
        <v>0</v>
      </c>
      <c r="D354" s="203" t="n">
        <v>0</v>
      </c>
      <c r="E354" s="203" t="n">
        <v>0</v>
      </c>
      <c r="F354" s="203" t="n">
        <v>0</v>
      </c>
      <c r="G354" s="203" t="n">
        <v>0</v>
      </c>
      <c r="H354" s="203" t="n">
        <v>0</v>
      </c>
      <c r="I354" s="204" t="n">
        <v>0</v>
      </c>
      <c r="J354" s="57"/>
    </row>
    <row r="355" customFormat="false" ht="15" hidden="false" customHeight="false" outlineLevel="0" collapsed="false">
      <c r="A355" s="319" t="s">
        <v>629</v>
      </c>
      <c r="B355" s="202" t="s">
        <v>499</v>
      </c>
      <c r="C355" s="203" t="n">
        <v>0</v>
      </c>
      <c r="D355" s="203" t="n">
        <v>0</v>
      </c>
      <c r="E355" s="203" t="n">
        <v>0.001290195</v>
      </c>
      <c r="F355" s="203" t="n">
        <v>0.002180414</v>
      </c>
      <c r="G355" s="203" t="n">
        <v>0.003055107</v>
      </c>
      <c r="H355" s="203" t="n">
        <v>0.003750438</v>
      </c>
      <c r="I355" s="204" t="n">
        <v>0.004445768</v>
      </c>
      <c r="J355" s="57"/>
    </row>
    <row r="356" customFormat="false" ht="15" hidden="false" customHeight="false" outlineLevel="0" collapsed="false">
      <c r="A356" s="319" t="s">
        <v>630</v>
      </c>
      <c r="B356" s="202" t="s">
        <v>499</v>
      </c>
      <c r="C356" s="203" t="n">
        <v>0</v>
      </c>
      <c r="D356" s="203" t="n">
        <v>0</v>
      </c>
      <c r="E356" s="203" t="n">
        <v>0</v>
      </c>
      <c r="F356" s="203" t="n">
        <v>0</v>
      </c>
      <c r="G356" s="203" t="n">
        <v>0</v>
      </c>
      <c r="H356" s="203" t="n">
        <v>0</v>
      </c>
      <c r="I356" s="204" t="n">
        <v>0</v>
      </c>
      <c r="J356" s="57"/>
    </row>
    <row r="357" customFormat="false" ht="15" hidden="false" customHeight="false" outlineLevel="0" collapsed="false">
      <c r="A357" s="319" t="s">
        <v>631</v>
      </c>
      <c r="B357" s="202" t="s">
        <v>499</v>
      </c>
      <c r="C357" s="203" t="n">
        <v>0</v>
      </c>
      <c r="D357" s="203" t="n">
        <v>0</v>
      </c>
      <c r="E357" s="203" t="n">
        <v>0</v>
      </c>
      <c r="F357" s="203" t="n">
        <v>0</v>
      </c>
      <c r="G357" s="203" t="n">
        <v>0</v>
      </c>
      <c r="H357" s="203" t="n">
        <v>0</v>
      </c>
      <c r="I357" s="204" t="n">
        <v>0</v>
      </c>
      <c r="J357" s="57"/>
    </row>
    <row r="358" customFormat="false" ht="15" hidden="false" customHeight="false" outlineLevel="0" collapsed="false">
      <c r="A358" s="319" t="s">
        <v>632</v>
      </c>
      <c r="B358" s="202" t="s">
        <v>499</v>
      </c>
      <c r="C358" s="203" t="n">
        <v>0</v>
      </c>
      <c r="D358" s="203" t="n">
        <v>0</v>
      </c>
      <c r="E358" s="203" t="n">
        <v>0.001290195</v>
      </c>
      <c r="F358" s="203" t="n">
        <v>0.002180414</v>
      </c>
      <c r="G358" s="203" t="n">
        <v>0.003055107</v>
      </c>
      <c r="H358" s="203" t="n">
        <v>0.003750438</v>
      </c>
      <c r="I358" s="204" t="n">
        <v>0.004445768</v>
      </c>
      <c r="J358" s="57"/>
    </row>
    <row r="359" customFormat="false" ht="15" hidden="false" customHeight="false" outlineLevel="0" collapsed="false">
      <c r="A359" s="319" t="s">
        <v>633</v>
      </c>
      <c r="B359" s="202" t="s">
        <v>499</v>
      </c>
      <c r="C359" s="203" t="n">
        <v>0</v>
      </c>
      <c r="D359" s="203" t="n">
        <v>0</v>
      </c>
      <c r="E359" s="203" t="n">
        <v>0</v>
      </c>
      <c r="F359" s="203" t="n">
        <v>0</v>
      </c>
      <c r="G359" s="203" t="n">
        <v>0</v>
      </c>
      <c r="H359" s="203" t="n">
        <v>0</v>
      </c>
      <c r="I359" s="204" t="n">
        <v>0</v>
      </c>
      <c r="J359" s="57"/>
    </row>
    <row r="360" customFormat="false" ht="15" hidden="false" customHeight="false" outlineLevel="0" collapsed="false">
      <c r="A360" s="319" t="s">
        <v>634</v>
      </c>
      <c r="B360" s="202" t="s">
        <v>499</v>
      </c>
      <c r="C360" s="203" t="n">
        <v>0</v>
      </c>
      <c r="D360" s="203" t="n">
        <v>0</v>
      </c>
      <c r="E360" s="203" t="n">
        <v>0</v>
      </c>
      <c r="F360" s="203" t="n">
        <v>0</v>
      </c>
      <c r="G360" s="203" t="n">
        <v>0</v>
      </c>
      <c r="H360" s="203" t="n">
        <v>0</v>
      </c>
      <c r="I360" s="204" t="n">
        <v>0</v>
      </c>
      <c r="J360" s="57"/>
    </row>
    <row r="361" customFormat="false" ht="15" hidden="false" customHeight="false" outlineLevel="0" collapsed="false">
      <c r="A361" s="319" t="s">
        <v>635</v>
      </c>
      <c r="B361" s="202" t="s">
        <v>499</v>
      </c>
      <c r="C361" s="203" t="n">
        <v>0</v>
      </c>
      <c r="D361" s="203" t="n">
        <v>0</v>
      </c>
      <c r="E361" s="203" t="n">
        <v>0.00086013</v>
      </c>
      <c r="F361" s="203" t="n">
        <v>0.001453609</v>
      </c>
      <c r="G361" s="203" t="n">
        <v>0.002036738</v>
      </c>
      <c r="H361" s="203" t="n">
        <v>0.002500292</v>
      </c>
      <c r="I361" s="204" t="n">
        <v>0.002963845</v>
      </c>
      <c r="J361" s="57"/>
    </row>
    <row r="362" customFormat="false" ht="15" hidden="false" customHeight="false" outlineLevel="0" collapsed="false">
      <c r="A362" s="319" t="s">
        <v>636</v>
      </c>
      <c r="B362" s="202" t="s">
        <v>499</v>
      </c>
      <c r="C362" s="203" t="n">
        <v>0</v>
      </c>
      <c r="D362" s="203" t="n">
        <v>0</v>
      </c>
      <c r="E362" s="203" t="n">
        <v>0</v>
      </c>
      <c r="F362" s="203" t="n">
        <v>0</v>
      </c>
      <c r="G362" s="203" t="n">
        <v>0</v>
      </c>
      <c r="H362" s="203" t="n">
        <v>0</v>
      </c>
      <c r="I362" s="204" t="n">
        <v>0</v>
      </c>
      <c r="J362" s="57"/>
    </row>
    <row r="363" customFormat="false" ht="15" hidden="false" customHeight="false" outlineLevel="0" collapsed="false">
      <c r="A363" s="319" t="s">
        <v>637</v>
      </c>
      <c r="B363" s="202" t="s">
        <v>499</v>
      </c>
      <c r="C363" s="203" t="n">
        <v>0</v>
      </c>
      <c r="D363" s="203" t="n">
        <v>0</v>
      </c>
      <c r="E363" s="203" t="n">
        <v>0.000430065</v>
      </c>
      <c r="F363" s="203" t="n">
        <v>0.000726805</v>
      </c>
      <c r="G363" s="203" t="n">
        <v>0.001018369</v>
      </c>
      <c r="H363" s="203" t="n">
        <v>0.001250146</v>
      </c>
      <c r="I363" s="204" t="n">
        <v>0.001481923</v>
      </c>
      <c r="J363" s="57"/>
    </row>
    <row r="364" customFormat="false" ht="15" hidden="false" customHeight="false" outlineLevel="0" collapsed="false">
      <c r="A364" s="319" t="s">
        <v>638</v>
      </c>
      <c r="B364" s="202" t="s">
        <v>499</v>
      </c>
      <c r="C364" s="203" t="n">
        <v>0</v>
      </c>
      <c r="D364" s="203" t="n">
        <v>0</v>
      </c>
      <c r="E364" s="203" t="n">
        <v>0.001290195</v>
      </c>
      <c r="F364" s="203" t="n">
        <v>0.002180414</v>
      </c>
      <c r="G364" s="203" t="n">
        <v>0.003055107</v>
      </c>
      <c r="H364" s="203" t="n">
        <v>0.003750438</v>
      </c>
      <c r="I364" s="204" t="n">
        <v>0.004445768</v>
      </c>
      <c r="J364" s="57"/>
    </row>
    <row r="365" customFormat="false" ht="15" hidden="false" customHeight="false" outlineLevel="0" collapsed="false">
      <c r="A365" s="319" t="s">
        <v>639</v>
      </c>
      <c r="B365" s="202" t="s">
        <v>499</v>
      </c>
      <c r="C365" s="203" t="n">
        <v>0</v>
      </c>
      <c r="D365" s="203" t="n">
        <v>0</v>
      </c>
      <c r="E365" s="203" t="n">
        <v>0</v>
      </c>
      <c r="F365" s="203" t="n">
        <v>0</v>
      </c>
      <c r="G365" s="203" t="n">
        <v>0</v>
      </c>
      <c r="H365" s="203" t="n">
        <v>0</v>
      </c>
      <c r="I365" s="204" t="n">
        <v>0</v>
      </c>
      <c r="J365" s="57"/>
    </row>
    <row r="366" customFormat="false" ht="15" hidden="false" customHeight="false" outlineLevel="0" collapsed="false">
      <c r="A366" s="319" t="s">
        <v>640</v>
      </c>
      <c r="B366" s="202" t="s">
        <v>499</v>
      </c>
      <c r="C366" s="203" t="n">
        <v>0</v>
      </c>
      <c r="D366" s="203" t="n">
        <v>0</v>
      </c>
      <c r="E366" s="203" t="n">
        <v>0.00086013</v>
      </c>
      <c r="F366" s="203" t="n">
        <v>0.001453609</v>
      </c>
      <c r="G366" s="203" t="n">
        <v>0.002036738</v>
      </c>
      <c r="H366" s="203" t="n">
        <v>0.002500292</v>
      </c>
      <c r="I366" s="204" t="n">
        <v>0.002963845</v>
      </c>
      <c r="J366" s="57"/>
    </row>
    <row r="367" customFormat="false" ht="15" hidden="false" customHeight="false" outlineLevel="0" collapsed="false">
      <c r="A367" s="319" t="s">
        <v>641</v>
      </c>
      <c r="B367" s="202" t="s">
        <v>499</v>
      </c>
      <c r="C367" s="203" t="n">
        <v>0</v>
      </c>
      <c r="D367" s="203" t="n">
        <v>0</v>
      </c>
      <c r="E367" s="203" t="n">
        <v>0</v>
      </c>
      <c r="F367" s="203" t="n">
        <v>0</v>
      </c>
      <c r="G367" s="203" t="n">
        <v>0</v>
      </c>
      <c r="H367" s="203" t="n">
        <v>0</v>
      </c>
      <c r="I367" s="204" t="n">
        <v>0</v>
      </c>
      <c r="J367" s="57"/>
    </row>
    <row r="368" customFormat="false" ht="15" hidden="false" customHeight="false" outlineLevel="0" collapsed="false">
      <c r="A368" s="319" t="s">
        <v>642</v>
      </c>
      <c r="B368" s="202" t="s">
        <v>499</v>
      </c>
      <c r="C368" s="203" t="n">
        <v>0</v>
      </c>
      <c r="D368" s="203" t="n">
        <v>0</v>
      </c>
      <c r="E368" s="203" t="n">
        <v>0.00086013</v>
      </c>
      <c r="F368" s="203" t="n">
        <v>0.001453609</v>
      </c>
      <c r="G368" s="203" t="n">
        <v>0.002036738</v>
      </c>
      <c r="H368" s="203" t="n">
        <v>0.002500292</v>
      </c>
      <c r="I368" s="204" t="n">
        <v>0.002963845</v>
      </c>
      <c r="J368" s="57"/>
    </row>
    <row r="369" customFormat="false" ht="15" hidden="false" customHeight="false" outlineLevel="0" collapsed="false">
      <c r="A369" s="319" t="s">
        <v>643</v>
      </c>
      <c r="B369" s="202" t="s">
        <v>499</v>
      </c>
      <c r="C369" s="203" t="n">
        <v>0</v>
      </c>
      <c r="D369" s="203" t="n">
        <v>0</v>
      </c>
      <c r="E369" s="203" t="n">
        <v>0</v>
      </c>
      <c r="F369" s="203" t="n">
        <v>0</v>
      </c>
      <c r="G369" s="203" t="n">
        <v>0</v>
      </c>
      <c r="H369" s="203" t="n">
        <v>0</v>
      </c>
      <c r="I369" s="204" t="n">
        <v>0</v>
      </c>
      <c r="J369" s="57"/>
    </row>
    <row r="370" customFormat="false" ht="15" hidden="false" customHeight="false" outlineLevel="0" collapsed="false">
      <c r="A370" s="320" t="s">
        <v>667</v>
      </c>
      <c r="B370" s="321"/>
      <c r="C370" s="321"/>
      <c r="D370" s="321"/>
      <c r="E370" s="321"/>
      <c r="F370" s="321"/>
      <c r="G370" s="321"/>
      <c r="H370" s="322"/>
      <c r="I370" s="321"/>
      <c r="J370" s="57"/>
    </row>
    <row r="371" customFormat="false" ht="15" hidden="false" customHeight="false" outlineLevel="0" collapsed="false">
      <c r="A371" s="319" t="s">
        <v>580</v>
      </c>
      <c r="B371" s="202" t="s">
        <v>28</v>
      </c>
      <c r="C371" s="203" t="n">
        <v>0.189349112426035</v>
      </c>
      <c r="D371" s="203" t="n">
        <v>0.189349112426035</v>
      </c>
      <c r="E371" s="203" t="n">
        <v>0.189349112426035</v>
      </c>
      <c r="F371" s="203" t="n">
        <v>0.189349112426035</v>
      </c>
      <c r="G371" s="203" t="n">
        <v>0.189349112426035</v>
      </c>
      <c r="H371" s="203" t="n">
        <f aca="false">G371+(I371-G371)/2</f>
        <v>0.238653613804641</v>
      </c>
      <c r="I371" s="203" t="n">
        <v>0.287958115183246</v>
      </c>
      <c r="J371" s="57"/>
    </row>
    <row r="372" customFormat="false" ht="15" hidden="false" customHeight="false" outlineLevel="0" collapsed="false">
      <c r="A372" s="319" t="s">
        <v>597</v>
      </c>
      <c r="B372" s="202" t="s">
        <v>28</v>
      </c>
      <c r="C372" s="203" t="n">
        <v>0.189349112</v>
      </c>
      <c r="D372" s="203" t="n">
        <v>0.189349112</v>
      </c>
      <c r="E372" s="203" t="n">
        <v>0.189349112</v>
      </c>
      <c r="F372" s="203" t="n">
        <v>0.189349112</v>
      </c>
      <c r="G372" s="203" t="n">
        <v>0.189349112</v>
      </c>
      <c r="H372" s="203" t="n">
        <v>0.238653614</v>
      </c>
      <c r="I372" s="203" t="n">
        <v>0.287958115</v>
      </c>
      <c r="J372" s="57"/>
    </row>
    <row r="373" customFormat="false" ht="15" hidden="false" customHeight="false" outlineLevel="0" collapsed="false">
      <c r="A373" s="319" t="s">
        <v>598</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19" t="s">
        <v>599</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19" t="s">
        <v>600</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19" t="s">
        <v>601</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19" t="s">
        <v>602</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19" t="s">
        <v>603</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19" t="s">
        <v>354</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19" t="s">
        <v>369</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19" t="s">
        <v>604</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19" t="s">
        <v>605</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19" t="s">
        <v>606</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19" t="s">
        <v>607</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19" t="s">
        <v>608</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19" t="s">
        <v>609</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19" t="s">
        <v>610</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19" t="s">
        <v>611</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19" t="s">
        <v>612</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19" t="s">
        <v>613</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19" t="s">
        <v>614</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19" t="s">
        <v>615</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19" t="s">
        <v>616</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19" t="s">
        <v>617</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19" t="s">
        <v>618</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19" t="s">
        <v>619</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19" t="s">
        <v>620</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19" t="s">
        <v>621</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19" t="s">
        <v>622</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19" t="s">
        <v>623</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19" t="s">
        <v>624</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19" t="s">
        <v>625</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19" t="s">
        <v>626</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19" t="s">
        <v>627</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19" t="s">
        <v>628</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19" t="s">
        <v>629</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19" t="s">
        <v>630</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19" t="s">
        <v>631</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19" t="s">
        <v>632</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19" t="s">
        <v>633</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19" t="s">
        <v>634</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19" t="s">
        <v>635</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19" t="s">
        <v>636</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19" t="s">
        <v>637</v>
      </c>
      <c r="B414" s="202" t="s">
        <v>28</v>
      </c>
      <c r="C414" s="203" t="n">
        <v>0.189349112</v>
      </c>
      <c r="D414" s="203" t="n">
        <v>0.189349112</v>
      </c>
      <c r="E414" s="203" t="n">
        <v>0.189349112</v>
      </c>
      <c r="F414" s="203" t="n">
        <v>0.189349112</v>
      </c>
      <c r="G414" s="203" t="n">
        <v>0.189349112</v>
      </c>
      <c r="H414" s="203" t="n">
        <v>0.169674556</v>
      </c>
      <c r="I414" s="203" t="n">
        <v>0.15</v>
      </c>
      <c r="J414" s="57"/>
    </row>
    <row r="415" customFormat="false" ht="15" hidden="false" customHeight="false" outlineLevel="0" collapsed="false">
      <c r="A415" s="319" t="s">
        <v>638</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19" t="s">
        <v>639</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19" t="s">
        <v>640</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19" t="s">
        <v>641</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19" t="s">
        <v>642</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19" t="s">
        <v>643</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8" hidden="false" customHeight="true" outlineLevel="0" collapsed="false">
      <c r="A421" s="200" t="s">
        <v>668</v>
      </c>
      <c r="B421" s="200"/>
      <c r="C421" s="200"/>
      <c r="D421" s="200"/>
      <c r="E421" s="200"/>
      <c r="F421" s="200"/>
      <c r="G421" s="200"/>
      <c r="H421" s="200"/>
      <c r="I421" s="200"/>
    </row>
    <row r="422" customFormat="false" ht="15" hidden="false" customHeight="false" outlineLevel="0" collapsed="false">
      <c r="A422" s="319" t="s">
        <v>669</v>
      </c>
      <c r="B422" s="219" t="s">
        <v>499</v>
      </c>
      <c r="C422" s="203" t="n">
        <v>0</v>
      </c>
      <c r="D422" s="203" t="n">
        <v>0.00625343327625571</v>
      </c>
      <c r="E422" s="203" t="n">
        <v>0.0125068665525114</v>
      </c>
      <c r="F422" s="203" t="n">
        <v>0.0135108581335616</v>
      </c>
      <c r="G422" s="203" t="n">
        <v>0.0145148497146119</v>
      </c>
      <c r="H422" s="203" t="n">
        <v>0.0155188412956621</v>
      </c>
      <c r="I422" s="203" t="n">
        <v>0.0165228328767123</v>
      </c>
    </row>
    <row r="423" customFormat="false" ht="15" hidden="false" customHeight="false" outlineLevel="0" collapsed="false">
      <c r="H423" s="54"/>
      <c r="J423" s="57"/>
    </row>
    <row r="424" customFormat="false" ht="17.35" hidden="false" customHeight="false" outlineLevel="0" collapsed="false">
      <c r="A424" s="323" t="s">
        <v>670</v>
      </c>
      <c r="B424" s="324"/>
      <c r="C424" s="325"/>
    </row>
    <row r="425" customFormat="false" ht="15" hidden="false" customHeight="false" outlineLevel="0" collapsed="false">
      <c r="A425" s="319" t="s">
        <v>434</v>
      </c>
      <c r="B425" s="202" t="s">
        <v>36</v>
      </c>
      <c r="C425" s="204" t="n">
        <v>2050</v>
      </c>
    </row>
    <row r="426" customFormat="false" ht="15" hidden="false" customHeight="false" outlineLevel="0" collapsed="false">
      <c r="A426" s="326" t="s">
        <v>671</v>
      </c>
      <c r="B426" s="205" t="s">
        <v>327</v>
      </c>
      <c r="C426" s="327" t="n">
        <v>0.05</v>
      </c>
    </row>
    <row r="428" customFormat="false" ht="17.35" hidden="false" customHeight="false" outlineLevel="0" collapsed="false">
      <c r="A428" s="323" t="s">
        <v>672</v>
      </c>
      <c r="B428" s="323"/>
      <c r="C428" s="323"/>
      <c r="D428" s="323"/>
      <c r="E428" s="323"/>
      <c r="F428" s="323"/>
      <c r="G428" s="323"/>
      <c r="H428" s="323"/>
      <c r="I428" s="323"/>
    </row>
    <row r="429" customFormat="false" ht="15" hidden="false" customHeight="false" outlineLevel="0" collapsed="false">
      <c r="A429" s="319" t="s">
        <v>673</v>
      </c>
      <c r="B429" s="202" t="s">
        <v>36</v>
      </c>
      <c r="C429" s="203" t="n">
        <v>2020</v>
      </c>
      <c r="D429" s="203" t="n">
        <f aca="false">C429+5</f>
        <v>2025</v>
      </c>
      <c r="E429" s="203" t="n">
        <f aca="false">D429+5</f>
        <v>2030</v>
      </c>
      <c r="F429" s="203" t="n">
        <f aca="false">E429+5</f>
        <v>2035</v>
      </c>
      <c r="G429" s="203" t="n">
        <f aca="false">F429+5</f>
        <v>2040</v>
      </c>
      <c r="H429" s="203" t="n">
        <f aca="false">G429+5</f>
        <v>2045</v>
      </c>
      <c r="I429" s="203" t="n">
        <f aca="false">H429+5</f>
        <v>2050</v>
      </c>
    </row>
    <row r="430" customFormat="false" ht="15" hidden="false" customHeight="false" outlineLevel="0" collapsed="false">
      <c r="A430" s="319" t="s">
        <v>674</v>
      </c>
      <c r="B430" s="202" t="s">
        <v>675</v>
      </c>
      <c r="C430" s="203" t="n">
        <v>0</v>
      </c>
      <c r="D430" s="203" t="n">
        <v>0</v>
      </c>
      <c r="E430" s="203" t="n">
        <v>0</v>
      </c>
      <c r="F430" s="203" t="n">
        <v>0</v>
      </c>
      <c r="G430" s="203" t="n">
        <v>0</v>
      </c>
      <c r="H430" s="203" t="n">
        <v>0</v>
      </c>
      <c r="I430" s="203" t="n">
        <v>0</v>
      </c>
      <c r="M430" s="198"/>
      <c r="Q430" s="198"/>
      <c r="U430" s="198"/>
    </row>
    <row r="432" customFormat="false" ht="17.35" hidden="false" customHeight="false" outlineLevel="0" collapsed="false">
      <c r="A432" s="323" t="s">
        <v>676</v>
      </c>
      <c r="B432" s="323"/>
      <c r="C432" s="323"/>
      <c r="D432" s="323"/>
      <c r="E432" s="323"/>
      <c r="F432" s="323"/>
      <c r="G432" s="323"/>
      <c r="H432" s="323"/>
      <c r="I432" s="323"/>
      <c r="J432" s="323"/>
      <c r="K432" s="323"/>
      <c r="L432" s="323"/>
      <c r="M432" s="323"/>
      <c r="N432" s="323"/>
      <c r="O432" s="323"/>
      <c r="P432" s="323"/>
      <c r="Q432" s="323"/>
      <c r="R432" s="323"/>
      <c r="S432" s="323"/>
      <c r="T432" s="323"/>
      <c r="U432" s="323"/>
      <c r="V432" s="323"/>
      <c r="W432" s="323"/>
      <c r="X432" s="323"/>
    </row>
    <row r="433" customFormat="false" ht="15" hidden="false" customHeight="false" outlineLevel="0" collapsed="false">
      <c r="A433" s="319" t="s">
        <v>673</v>
      </c>
      <c r="B433" s="202" t="s">
        <v>36</v>
      </c>
      <c r="C433" s="203" t="n">
        <v>1980</v>
      </c>
      <c r="D433" s="203" t="n">
        <v>2020</v>
      </c>
      <c r="E433" s="203" t="n">
        <f aca="false">D433+5</f>
        <v>2025</v>
      </c>
      <c r="F433" s="203" t="n">
        <f aca="false">E433+5</f>
        <v>2030</v>
      </c>
      <c r="G433" s="203" t="n">
        <f aca="false">F433+5</f>
        <v>2035</v>
      </c>
      <c r="H433" s="203" t="n">
        <f aca="false">G433+5</f>
        <v>2040</v>
      </c>
      <c r="I433" s="203" t="n">
        <f aca="false">H433+5</f>
        <v>2045</v>
      </c>
      <c r="J433" s="203" t="n">
        <f aca="false">I433+5</f>
        <v>2050</v>
      </c>
      <c r="K433" s="203" t="n">
        <f aca="false">J433+5</f>
        <v>2055</v>
      </c>
      <c r="L433" s="203" t="n">
        <f aca="false">K433+5</f>
        <v>2060</v>
      </c>
      <c r="M433" s="203" t="n">
        <f aca="false">L433+5</f>
        <v>2065</v>
      </c>
      <c r="N433" s="203" t="n">
        <f aca="false">M433+5</f>
        <v>2070</v>
      </c>
      <c r="O433" s="203" t="n">
        <f aca="false">N433+5</f>
        <v>2075</v>
      </c>
      <c r="P433" s="203" t="n">
        <f aca="false">O433+5</f>
        <v>2080</v>
      </c>
      <c r="Q433" s="203" t="n">
        <f aca="false">P433+5</f>
        <v>2085</v>
      </c>
      <c r="R433" s="203" t="n">
        <f aca="false">Q433+5</f>
        <v>2090</v>
      </c>
      <c r="S433" s="203" t="n">
        <f aca="false">R433+5</f>
        <v>2095</v>
      </c>
      <c r="T433" s="203" t="n">
        <f aca="false">S433+5</f>
        <v>2100</v>
      </c>
      <c r="U433" s="203" t="n">
        <f aca="false">T433+5</f>
        <v>2105</v>
      </c>
      <c r="V433" s="203" t="n">
        <f aca="false">U433+5</f>
        <v>2110</v>
      </c>
      <c r="W433" s="203" t="n">
        <f aca="false">V433+5</f>
        <v>2115</v>
      </c>
      <c r="X433" s="203" t="n">
        <f aca="false">W433+5</f>
        <v>2120</v>
      </c>
    </row>
    <row r="434" customFormat="false" ht="15" hidden="false" customHeight="false" outlineLevel="0" collapsed="false">
      <c r="A434" s="319" t="s">
        <v>676</v>
      </c>
      <c r="B434" s="202" t="s">
        <v>677</v>
      </c>
      <c r="C434" s="203"/>
      <c r="D434" s="203" t="n">
        <v>345</v>
      </c>
      <c r="E434" s="203"/>
      <c r="F434" s="203" t="n">
        <v>345</v>
      </c>
      <c r="G434" s="203"/>
      <c r="H434" s="203" t="n">
        <v>298</v>
      </c>
      <c r="I434" s="203"/>
      <c r="J434" s="203" t="n">
        <v>333</v>
      </c>
      <c r="K434" s="203"/>
      <c r="L434" s="203"/>
      <c r="M434" s="203"/>
      <c r="N434" s="203"/>
      <c r="O434" s="203"/>
      <c r="P434" s="203"/>
      <c r="Q434" s="203"/>
      <c r="R434" s="203"/>
      <c r="S434" s="203"/>
      <c r="T434" s="203"/>
      <c r="U434" s="203"/>
      <c r="V434" s="203"/>
      <c r="W434" s="203"/>
      <c r="X434" s="203"/>
    </row>
    <row r="435" customFormat="false" ht="15" hidden="false" customHeight="false" outlineLevel="0" collapsed="false">
      <c r="H435" s="54"/>
      <c r="J435" s="57"/>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24.45" hidden="false" customHeight="false" outlineLevel="0" collapsed="false">
      <c r="A440" s="199" t="s">
        <v>678</v>
      </c>
    </row>
    <row r="443" customFormat="false" ht="15" hidden="false" customHeight="false" outlineLevel="0" collapsed="false">
      <c r="H443" s="328"/>
    </row>
    <row r="444" customFormat="false" ht="15" hidden="false" customHeight="false" outlineLevel="0" collapsed="false">
      <c r="H444" s="328"/>
    </row>
    <row r="445" customFormat="false" ht="17.35" hidden="false" customHeight="false" outlineLevel="0" collapsed="false">
      <c r="A445" s="200" t="s">
        <v>679</v>
      </c>
      <c r="B445" s="200"/>
      <c r="C445" s="200"/>
      <c r="D445" s="200"/>
      <c r="E445" s="200"/>
      <c r="F445" s="200"/>
      <c r="G445" s="200"/>
      <c r="H445" s="200"/>
    </row>
    <row r="446" customFormat="false" ht="15" hidden="false" customHeight="false" outlineLevel="0" collapsed="false">
      <c r="A446" s="329" t="s">
        <v>36</v>
      </c>
      <c r="B446" s="203" t="n">
        <v>2020</v>
      </c>
      <c r="C446" s="203" t="n">
        <v>2025</v>
      </c>
      <c r="D446" s="203" t="n">
        <v>2030</v>
      </c>
      <c r="E446" s="203" t="n">
        <v>2035</v>
      </c>
      <c r="F446" s="203" t="n">
        <v>2040</v>
      </c>
      <c r="G446" s="203" t="n">
        <v>2045</v>
      </c>
      <c r="H446" s="204" t="n">
        <v>2050</v>
      </c>
    </row>
    <row r="447" customFormat="false" ht="15" hidden="false" customHeight="false" outlineLevel="0" collapsed="false">
      <c r="A447" s="312" t="s">
        <v>472</v>
      </c>
      <c r="B447" s="312"/>
      <c r="C447" s="312"/>
      <c r="D447" s="312"/>
      <c r="E447" s="312"/>
      <c r="F447" s="312"/>
      <c r="G447" s="312"/>
      <c r="H447" s="312"/>
    </row>
    <row r="448" customFormat="false" ht="15" hidden="false" customHeight="false" outlineLevel="0" collapsed="false">
      <c r="A448" s="330" t="s">
        <v>680</v>
      </c>
      <c r="B448" s="203" t="n">
        <v>18.8</v>
      </c>
      <c r="C448" s="203" t="n">
        <v>16.1316315</v>
      </c>
      <c r="D448" s="203" t="n">
        <v>13.486491</v>
      </c>
      <c r="E448" s="203" t="n">
        <v>10.8413505</v>
      </c>
      <c r="F448" s="203" t="n">
        <v>8.19621</v>
      </c>
      <c r="G448" s="203" t="n">
        <v>5.5510695</v>
      </c>
      <c r="H448" s="204" t="n">
        <v>2.9</v>
      </c>
    </row>
    <row r="449" customFormat="false" ht="15" hidden="false" customHeight="false" outlineLevel="0" collapsed="false">
      <c r="A449" s="312" t="s">
        <v>479</v>
      </c>
      <c r="B449" s="312"/>
      <c r="C449" s="312"/>
      <c r="D449" s="312"/>
      <c r="E449" s="312"/>
      <c r="F449" s="312"/>
      <c r="G449" s="312"/>
      <c r="H449" s="312"/>
      <c r="I449" s="57"/>
    </row>
    <row r="450" customFormat="false" ht="15" hidden="false" customHeight="false" outlineLevel="0" collapsed="false">
      <c r="A450" s="330" t="s">
        <v>680</v>
      </c>
      <c r="B450" s="203" t="n">
        <v>13.3</v>
      </c>
      <c r="C450" s="203" t="n">
        <v>11.39042</v>
      </c>
      <c r="D450" s="203" t="n">
        <v>9.52904</v>
      </c>
      <c r="E450" s="203" t="n">
        <v>7.66766</v>
      </c>
      <c r="F450" s="203" t="n">
        <v>5.80628</v>
      </c>
      <c r="G450" s="203" t="n">
        <v>3.9449</v>
      </c>
      <c r="H450" s="204" t="n">
        <v>2.1</v>
      </c>
    </row>
    <row r="451" customFormat="false" ht="15" hidden="false" customHeight="false" outlineLevel="0" collapsed="false">
      <c r="A451" s="312" t="s">
        <v>485</v>
      </c>
      <c r="B451" s="312"/>
      <c r="C451" s="312"/>
      <c r="D451" s="312"/>
      <c r="E451" s="312"/>
      <c r="F451" s="312"/>
      <c r="G451" s="312"/>
      <c r="H451" s="312"/>
      <c r="I451" s="57"/>
    </row>
    <row r="452" customFormat="false" ht="15" hidden="false" customHeight="false" outlineLevel="0" collapsed="false">
      <c r="A452" s="331" t="s">
        <v>680</v>
      </c>
      <c r="B452" s="332" t="n">
        <v>2.4</v>
      </c>
      <c r="C452" s="332" t="n">
        <v>2.083</v>
      </c>
      <c r="D452" s="332" t="n">
        <v>1.769</v>
      </c>
      <c r="E452" s="332" t="n">
        <v>1.455</v>
      </c>
      <c r="F452" s="332" t="n">
        <v>3</v>
      </c>
      <c r="G452" s="332" t="n">
        <v>3</v>
      </c>
      <c r="H452" s="332" t="n">
        <v>1.141</v>
      </c>
    </row>
    <row r="453" customFormat="false" ht="15" hidden="false" customHeight="false" outlineLevel="0" collapsed="false">
      <c r="F453" s="332" t="n">
        <v>1.141</v>
      </c>
      <c r="G453" s="332" t="n">
        <v>0.827</v>
      </c>
      <c r="H453" s="244" t="n">
        <v>0.5</v>
      </c>
    </row>
    <row r="454" customFormat="false" ht="17.35" hidden="false" customHeight="false" outlineLevel="0" collapsed="false">
      <c r="A454" s="200" t="s">
        <v>681</v>
      </c>
      <c r="B454" s="200"/>
      <c r="C454" s="200"/>
      <c r="D454" s="200"/>
      <c r="E454" s="200"/>
      <c r="F454" s="200"/>
      <c r="G454" s="200"/>
      <c r="H454" s="200"/>
      <c r="I454" s="200"/>
    </row>
    <row r="455" customFormat="false" ht="15" hidden="false" customHeight="false" outlineLevel="0" collapsed="false">
      <c r="A455" s="333"/>
      <c r="B455" s="202" t="s">
        <v>36</v>
      </c>
      <c r="C455" s="203" t="n">
        <v>2020</v>
      </c>
      <c r="D455" s="203" t="n">
        <v>2025</v>
      </c>
      <c r="E455" s="203" t="n">
        <v>2030</v>
      </c>
      <c r="F455" s="203" t="n">
        <v>2035</v>
      </c>
      <c r="G455" s="203" t="n">
        <v>2040</v>
      </c>
      <c r="H455" s="203" t="n">
        <v>2045</v>
      </c>
      <c r="I455" s="204" t="n">
        <v>2050</v>
      </c>
    </row>
    <row r="456" customFormat="false" ht="15" hidden="false" customHeight="false" outlineLevel="0" collapsed="false">
      <c r="A456" s="319" t="s">
        <v>682</v>
      </c>
      <c r="B456" s="202" t="s">
        <v>146</v>
      </c>
      <c r="C456" s="204" t="n">
        <v>-0.01</v>
      </c>
      <c r="D456" s="204" t="n">
        <v>-0.013</v>
      </c>
      <c r="E456" s="204" t="n">
        <v>-0.016</v>
      </c>
      <c r="F456" s="204" t="n">
        <v>-0.019</v>
      </c>
      <c r="G456" s="204" t="n">
        <v>-0.023</v>
      </c>
      <c r="H456" s="204" t="n">
        <v>-0.026</v>
      </c>
      <c r="I456" s="204" t="n">
        <v>-0.029</v>
      </c>
    </row>
    <row r="457" customFormat="false" ht="15" hidden="false" customHeight="false" outlineLevel="0" collapsed="false">
      <c r="A457" s="326" t="s">
        <v>683</v>
      </c>
      <c r="B457" s="205" t="s">
        <v>327</v>
      </c>
      <c r="C457" s="311" t="n">
        <v>0</v>
      </c>
      <c r="D457" s="311" t="n">
        <v>0</v>
      </c>
      <c r="E457" s="311" t="n">
        <v>0</v>
      </c>
      <c r="F457" s="311" t="n">
        <v>0</v>
      </c>
      <c r="G457" s="311" t="n">
        <v>0</v>
      </c>
      <c r="H457" s="311" t="n">
        <v>0</v>
      </c>
      <c r="I457" s="311" t="n">
        <v>0</v>
      </c>
    </row>
    <row r="461" customFormat="false" ht="24.45" hidden="false" customHeight="false" outlineLevel="0" collapsed="false">
      <c r="A461" s="199" t="s">
        <v>684</v>
      </c>
      <c r="H461" s="54"/>
      <c r="J461" s="57"/>
    </row>
    <row r="462" customFormat="false" ht="17.35" hidden="false" customHeight="false" outlineLevel="0" collapsed="false">
      <c r="A462" s="200" t="s">
        <v>685</v>
      </c>
      <c r="B462" s="200"/>
      <c r="C462" s="200"/>
      <c r="H462" s="54"/>
      <c r="J462" s="57"/>
    </row>
    <row r="463" customFormat="false" ht="15" hidden="false" customHeight="false" outlineLevel="0" collapsed="false">
      <c r="A463" s="319" t="s">
        <v>416</v>
      </c>
      <c r="B463" s="202" t="s">
        <v>28</v>
      </c>
      <c r="C463" s="204" t="n">
        <v>0</v>
      </c>
    </row>
    <row r="464" customFormat="false" ht="15" hidden="false" customHeight="false" outlineLevel="0" collapsed="false">
      <c r="A464" s="319" t="s">
        <v>418</v>
      </c>
      <c r="B464" s="202" t="s">
        <v>125</v>
      </c>
      <c r="C464" s="204" t="n">
        <v>200</v>
      </c>
    </row>
    <row r="465" customFormat="false" ht="15" hidden="false" customHeight="false" outlineLevel="0" collapsed="false">
      <c r="A465" s="319" t="s">
        <v>420</v>
      </c>
      <c r="B465" s="202" t="s">
        <v>686</v>
      </c>
      <c r="C465" s="258" t="n">
        <v>0.0074</v>
      </c>
    </row>
    <row r="466" customFormat="false" ht="15" hidden="false" customHeight="false" outlineLevel="0" collapsed="false">
      <c r="A466" s="319" t="s">
        <v>687</v>
      </c>
      <c r="B466" s="202" t="s">
        <v>36</v>
      </c>
      <c r="C466" s="204" t="n">
        <v>2020</v>
      </c>
    </row>
    <row r="467" customFormat="false" ht="15" hidden="false" customHeight="false" outlineLevel="0" collapsed="false">
      <c r="A467" s="319" t="s">
        <v>424</v>
      </c>
      <c r="B467" s="202" t="s">
        <v>688</v>
      </c>
      <c r="C467" s="204" t="n">
        <v>185</v>
      </c>
    </row>
    <row r="468" customFormat="false" ht="15" hidden="false" customHeight="false" outlineLevel="0" collapsed="false">
      <c r="A468" s="319" t="s">
        <v>427</v>
      </c>
      <c r="B468" s="202" t="s">
        <v>36</v>
      </c>
      <c r="C468" s="204" t="n">
        <v>2020</v>
      </c>
    </row>
    <row r="469" customFormat="false" ht="15" hidden="false" customHeight="false" outlineLevel="0" collapsed="false">
      <c r="A469" s="326" t="s">
        <v>428</v>
      </c>
      <c r="B469" s="205" t="s">
        <v>36</v>
      </c>
      <c r="C469" s="244" t="n">
        <v>2050</v>
      </c>
    </row>
    <row r="471" customFormat="false" ht="14.25" hidden="false" customHeight="true" outlineLevel="0" collapsed="false">
      <c r="A471" s="334" t="s">
        <v>70</v>
      </c>
      <c r="B471" s="334"/>
      <c r="C471" s="334"/>
      <c r="F471" s="328"/>
      <c r="G471" s="328"/>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c r="AD471" s="328"/>
      <c r="AE471" s="328"/>
      <c r="AF471" s="328"/>
      <c r="AG471" s="328"/>
      <c r="AH471" s="328"/>
      <c r="AI471" s="328"/>
      <c r="AJ471" s="328"/>
      <c r="AK471" s="328"/>
      <c r="AL471" s="328"/>
    </row>
    <row r="472" customFormat="false" ht="15" hidden="false" customHeight="false" outlineLevel="0" collapsed="false">
      <c r="A472" s="335" t="s">
        <v>75</v>
      </c>
      <c r="B472" s="270" t="s">
        <v>76</v>
      </c>
      <c r="C472" s="336" t="n">
        <v>135</v>
      </c>
      <c r="F472" s="328"/>
      <c r="G472" s="328"/>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c r="AD472" s="328"/>
      <c r="AE472" s="328"/>
      <c r="AF472" s="328"/>
      <c r="AG472" s="328"/>
      <c r="AH472" s="328"/>
      <c r="AI472" s="328"/>
      <c r="AJ472" s="328"/>
      <c r="AK472" s="328"/>
      <c r="AL472" s="328"/>
    </row>
    <row r="473" customFormat="false" ht="15" hidden="false" customHeight="false" outlineLevel="0" collapsed="false">
      <c r="A473" s="319" t="s">
        <v>74</v>
      </c>
      <c r="B473" s="202" t="s">
        <v>28</v>
      </c>
      <c r="C473" s="204" t="n">
        <v>0.2</v>
      </c>
      <c r="F473" s="328"/>
      <c r="G473" s="328"/>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c r="AD473" s="328"/>
      <c r="AE473" s="328"/>
      <c r="AF473" s="328"/>
      <c r="AG473" s="328"/>
      <c r="AH473" s="328"/>
      <c r="AI473" s="328"/>
      <c r="AJ473" s="328"/>
      <c r="AK473" s="328"/>
      <c r="AL473" s="328"/>
    </row>
    <row r="474" customFormat="false" ht="15" hidden="false" customHeight="false" outlineLevel="0" collapsed="false">
      <c r="A474" s="319" t="s">
        <v>80</v>
      </c>
      <c r="B474" s="202" t="s">
        <v>28</v>
      </c>
      <c r="C474" s="204" t="n">
        <v>2020</v>
      </c>
      <c r="F474" s="328"/>
      <c r="G474" s="328"/>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c r="AD474" s="328"/>
      <c r="AE474" s="328"/>
      <c r="AF474" s="328"/>
      <c r="AG474" s="328"/>
      <c r="AH474" s="328"/>
      <c r="AI474" s="328"/>
      <c r="AJ474" s="328"/>
      <c r="AK474" s="328"/>
      <c r="AL474" s="328"/>
    </row>
    <row r="475" customFormat="false" ht="15" hidden="false" customHeight="false" outlineLevel="0" collapsed="false">
      <c r="A475" s="326" t="s">
        <v>83</v>
      </c>
      <c r="B475" s="205" t="s">
        <v>28</v>
      </c>
      <c r="C475" s="244" t="n">
        <v>2050</v>
      </c>
      <c r="F475" s="328"/>
      <c r="G475" s="328"/>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c r="AD475" s="328"/>
      <c r="AE475" s="328"/>
      <c r="AF475" s="328"/>
      <c r="AG475" s="328"/>
      <c r="AH475" s="328"/>
      <c r="AI475" s="328"/>
      <c r="AJ475" s="328"/>
      <c r="AK475" s="328"/>
      <c r="AL475" s="328"/>
    </row>
    <row r="478" customFormat="false" ht="17.35" hidden="false" customHeight="false" outlineLevel="0" collapsed="false">
      <c r="A478" s="334" t="s">
        <v>86</v>
      </c>
      <c r="B478" s="334"/>
      <c r="C478" s="334"/>
    </row>
    <row r="479" customFormat="false" ht="15" hidden="false" customHeight="false" outlineLevel="0" collapsed="false">
      <c r="A479" s="319" t="s">
        <v>89</v>
      </c>
      <c r="B479" s="202" t="s">
        <v>28</v>
      </c>
      <c r="C479" s="311" t="n">
        <v>0.5</v>
      </c>
    </row>
    <row r="480" customFormat="false" ht="15" hidden="false" customHeight="false" outlineLevel="0" collapsed="false">
      <c r="A480" s="319" t="s">
        <v>92</v>
      </c>
      <c r="B480" s="202" t="s">
        <v>28</v>
      </c>
      <c r="C480" s="311" t="n">
        <v>0.5</v>
      </c>
    </row>
    <row r="481" customFormat="false" ht="15" hidden="false" customHeight="false" outlineLevel="0" collapsed="false">
      <c r="A481" s="319" t="s">
        <v>93</v>
      </c>
      <c r="B481" s="202" t="s">
        <v>28</v>
      </c>
      <c r="C481" s="311" t="n">
        <v>0.5</v>
      </c>
    </row>
    <row r="482" customFormat="false" ht="15" hidden="false" customHeight="false" outlineLevel="0" collapsed="false">
      <c r="A482" s="326" t="s">
        <v>118</v>
      </c>
      <c r="B482" s="205" t="s">
        <v>28</v>
      </c>
      <c r="C482" s="337" t="n">
        <v>0.5</v>
      </c>
    </row>
    <row r="484" customFormat="false" ht="15.75" hidden="false" customHeight="true" outlineLevel="0" collapsed="false">
      <c r="A484" s="334" t="s">
        <v>689</v>
      </c>
      <c r="B484" s="334"/>
      <c r="C484" s="338" t="s">
        <v>580</v>
      </c>
      <c r="D484" s="339" t="s">
        <v>690</v>
      </c>
      <c r="E484" s="339" t="s">
        <v>691</v>
      </c>
      <c r="F484" s="339" t="s">
        <v>692</v>
      </c>
      <c r="G484" s="339" t="s">
        <v>693</v>
      </c>
      <c r="H484" s="339" t="s">
        <v>694</v>
      </c>
      <c r="I484" s="339" t="s">
        <v>695</v>
      </c>
      <c r="J484" s="339" t="s">
        <v>696</v>
      </c>
      <c r="K484" s="339" t="s">
        <v>354</v>
      </c>
      <c r="L484" s="339" t="s">
        <v>697</v>
      </c>
      <c r="M484" s="339" t="s">
        <v>698</v>
      </c>
      <c r="N484" s="339" t="s">
        <v>699</v>
      </c>
      <c r="O484" s="339" t="s">
        <v>700</v>
      </c>
      <c r="P484" s="339" t="s">
        <v>701</v>
      </c>
      <c r="Q484" s="340" t="s">
        <v>702</v>
      </c>
    </row>
    <row r="485" customFormat="false" ht="15" hidden="false" customHeight="false" outlineLevel="0" collapsed="false">
      <c r="A485" s="319" t="s">
        <v>703</v>
      </c>
      <c r="B485" s="341" t="s">
        <v>374</v>
      </c>
      <c r="C485" s="204" t="s">
        <v>704</v>
      </c>
      <c r="D485" s="204" t="s">
        <v>704</v>
      </c>
      <c r="E485" s="204" t="s">
        <v>704</v>
      </c>
      <c r="F485" s="204" t="s">
        <v>704</v>
      </c>
      <c r="G485" s="204" t="s">
        <v>704</v>
      </c>
      <c r="H485" s="204" t="s">
        <v>704</v>
      </c>
      <c r="I485" s="204" t="s">
        <v>704</v>
      </c>
      <c r="J485" s="204" t="s">
        <v>704</v>
      </c>
      <c r="K485" s="204" t="s">
        <v>704</v>
      </c>
      <c r="L485" s="204" t="s">
        <v>704</v>
      </c>
      <c r="M485" s="204" t="s">
        <v>704</v>
      </c>
      <c r="N485" s="204" t="s">
        <v>704</v>
      </c>
      <c r="O485" s="204" t="s">
        <v>704</v>
      </c>
      <c r="P485" s="204" t="s">
        <v>704</v>
      </c>
      <c r="Q485" s="204" t="s">
        <v>704</v>
      </c>
    </row>
    <row r="486" customFormat="false" ht="15" hidden="false" customHeight="false" outlineLevel="0" collapsed="false">
      <c r="A486" s="319" t="s">
        <v>705</v>
      </c>
      <c r="B486" s="341"/>
      <c r="C486" s="204" t="s">
        <v>704</v>
      </c>
      <c r="D486" s="204" t="s">
        <v>704</v>
      </c>
      <c r="E486" s="204" t="s">
        <v>704</v>
      </c>
      <c r="F486" s="204" t="s">
        <v>704</v>
      </c>
      <c r="G486" s="204" t="s">
        <v>704</v>
      </c>
      <c r="H486" s="204" t="s">
        <v>704</v>
      </c>
      <c r="I486" s="204" t="s">
        <v>704</v>
      </c>
      <c r="J486" s="204" t="s">
        <v>704</v>
      </c>
      <c r="K486" s="204" t="s">
        <v>704</v>
      </c>
      <c r="L486" s="204" t="s">
        <v>704</v>
      </c>
      <c r="M486" s="204" t="s">
        <v>704</v>
      </c>
      <c r="N486" s="204" t="s">
        <v>704</v>
      </c>
      <c r="O486" s="204" t="s">
        <v>704</v>
      </c>
      <c r="P486" s="204" t="s">
        <v>704</v>
      </c>
      <c r="Q486" s="204" t="s">
        <v>704</v>
      </c>
    </row>
    <row r="487" customFormat="false" ht="15" hidden="false" customHeight="false" outlineLevel="0" collapsed="false">
      <c r="A487" s="319" t="s">
        <v>706</v>
      </c>
      <c r="B487" s="341"/>
      <c r="C487" s="204" t="s">
        <v>704</v>
      </c>
      <c r="D487" s="204" t="s">
        <v>704</v>
      </c>
      <c r="E487" s="204" t="s">
        <v>704</v>
      </c>
      <c r="F487" s="204" t="s">
        <v>704</v>
      </c>
      <c r="G487" s="204" t="s">
        <v>704</v>
      </c>
      <c r="H487" s="204" t="s">
        <v>704</v>
      </c>
      <c r="I487" s="204" t="s">
        <v>704</v>
      </c>
      <c r="J487" s="204" t="s">
        <v>704</v>
      </c>
      <c r="K487" s="204" t="s">
        <v>704</v>
      </c>
      <c r="L487" s="204" t="s">
        <v>704</v>
      </c>
      <c r="M487" s="204" t="s">
        <v>704</v>
      </c>
      <c r="N487" s="204" t="s">
        <v>704</v>
      </c>
      <c r="O487" s="204" t="s">
        <v>704</v>
      </c>
      <c r="P487" s="204" t="s">
        <v>704</v>
      </c>
      <c r="Q487" s="204" t="s">
        <v>704</v>
      </c>
    </row>
    <row r="488" customFormat="false" ht="15" hidden="false" customHeight="false" outlineLevel="0" collapsed="false">
      <c r="A488" s="319" t="s">
        <v>707</v>
      </c>
      <c r="B488" s="341"/>
      <c r="C488" s="204" t="s">
        <v>704</v>
      </c>
      <c r="D488" s="204" t="s">
        <v>704</v>
      </c>
      <c r="E488" s="204" t="s">
        <v>704</v>
      </c>
      <c r="F488" s="204" t="s">
        <v>704</v>
      </c>
      <c r="G488" s="204" t="s">
        <v>704</v>
      </c>
      <c r="H488" s="204" t="s">
        <v>704</v>
      </c>
      <c r="I488" s="204" t="s">
        <v>704</v>
      </c>
      <c r="J488" s="204" t="s">
        <v>704</v>
      </c>
      <c r="K488" s="204" t="s">
        <v>704</v>
      </c>
      <c r="L488" s="204" t="s">
        <v>704</v>
      </c>
      <c r="M488" s="204" t="s">
        <v>704</v>
      </c>
      <c r="N488" s="204" t="s">
        <v>704</v>
      </c>
      <c r="O488" s="204" t="s">
        <v>704</v>
      </c>
      <c r="P488" s="204" t="s">
        <v>704</v>
      </c>
      <c r="Q488" s="204" t="s">
        <v>704</v>
      </c>
    </row>
    <row r="489" customFormat="false" ht="15" hidden="false" customHeight="false" outlineLevel="0" collapsed="false">
      <c r="A489" s="319" t="s">
        <v>708</v>
      </c>
      <c r="B489" s="341"/>
      <c r="C489" s="204" t="s">
        <v>704</v>
      </c>
      <c r="D489" s="204" t="s">
        <v>704</v>
      </c>
      <c r="E489" s="204" t="s">
        <v>704</v>
      </c>
      <c r="F489" s="204" t="s">
        <v>704</v>
      </c>
      <c r="G489" s="204" t="s">
        <v>704</v>
      </c>
      <c r="H489" s="204" t="s">
        <v>704</v>
      </c>
      <c r="I489" s="204" t="s">
        <v>704</v>
      </c>
      <c r="J489" s="204" t="s">
        <v>704</v>
      </c>
      <c r="K489" s="204" t="s">
        <v>704</v>
      </c>
      <c r="L489" s="204" t="s">
        <v>704</v>
      </c>
      <c r="M489" s="204" t="s">
        <v>704</v>
      </c>
      <c r="N489" s="204" t="s">
        <v>704</v>
      </c>
      <c r="O489" s="204" t="s">
        <v>704</v>
      </c>
      <c r="P489" s="204" t="s">
        <v>704</v>
      </c>
      <c r="Q489" s="204" t="s">
        <v>704</v>
      </c>
    </row>
    <row r="490" customFormat="false" ht="15" hidden="false" customHeight="false" outlineLevel="0" collapsed="false">
      <c r="A490" s="319" t="s">
        <v>703</v>
      </c>
      <c r="B490" s="341" t="s">
        <v>375</v>
      </c>
      <c r="C490" s="204" t="s">
        <v>704</v>
      </c>
      <c r="D490" s="204" t="s">
        <v>704</v>
      </c>
      <c r="E490" s="204" t="s">
        <v>704</v>
      </c>
      <c r="F490" s="204" t="s">
        <v>704</v>
      </c>
      <c r="G490" s="204" t="s">
        <v>704</v>
      </c>
      <c r="H490" s="204" t="s">
        <v>704</v>
      </c>
      <c r="I490" s="204" t="s">
        <v>704</v>
      </c>
      <c r="J490" s="204" t="s">
        <v>704</v>
      </c>
      <c r="K490" s="204" t="s">
        <v>704</v>
      </c>
      <c r="L490" s="204" t="s">
        <v>704</v>
      </c>
      <c r="M490" s="204" t="s">
        <v>704</v>
      </c>
      <c r="N490" s="204" t="s">
        <v>704</v>
      </c>
      <c r="O490" s="204" t="s">
        <v>704</v>
      </c>
      <c r="P490" s="204" t="s">
        <v>704</v>
      </c>
      <c r="Q490" s="204" t="s">
        <v>704</v>
      </c>
    </row>
    <row r="491" customFormat="false" ht="15" hidden="false" customHeight="false" outlineLevel="0" collapsed="false">
      <c r="A491" s="319" t="s">
        <v>705</v>
      </c>
      <c r="B491" s="341"/>
      <c r="C491" s="204" t="s">
        <v>704</v>
      </c>
      <c r="D491" s="204" t="s">
        <v>704</v>
      </c>
      <c r="E491" s="204" t="s">
        <v>704</v>
      </c>
      <c r="F491" s="204" t="s">
        <v>704</v>
      </c>
      <c r="G491" s="204" t="s">
        <v>704</v>
      </c>
      <c r="H491" s="204" t="s">
        <v>704</v>
      </c>
      <c r="I491" s="204" t="s">
        <v>704</v>
      </c>
      <c r="J491" s="204" t="s">
        <v>704</v>
      </c>
      <c r="K491" s="204" t="s">
        <v>704</v>
      </c>
      <c r="L491" s="204" t="s">
        <v>704</v>
      </c>
      <c r="M491" s="204" t="s">
        <v>704</v>
      </c>
      <c r="N491" s="204" t="s">
        <v>704</v>
      </c>
      <c r="O491" s="204" t="s">
        <v>704</v>
      </c>
      <c r="P491" s="204" t="s">
        <v>704</v>
      </c>
      <c r="Q491" s="204" t="s">
        <v>704</v>
      </c>
    </row>
    <row r="492" customFormat="false" ht="15" hidden="false" customHeight="false" outlineLevel="0" collapsed="false">
      <c r="A492" s="319" t="s">
        <v>706</v>
      </c>
      <c r="B492" s="341"/>
      <c r="C492" s="204" t="s">
        <v>704</v>
      </c>
      <c r="D492" s="204" t="s">
        <v>704</v>
      </c>
      <c r="E492" s="204" t="s">
        <v>704</v>
      </c>
      <c r="F492" s="204" t="s">
        <v>704</v>
      </c>
      <c r="G492" s="204" t="s">
        <v>704</v>
      </c>
      <c r="H492" s="204" t="s">
        <v>704</v>
      </c>
      <c r="I492" s="204" t="s">
        <v>704</v>
      </c>
      <c r="J492" s="204" t="s">
        <v>704</v>
      </c>
      <c r="K492" s="204" t="s">
        <v>704</v>
      </c>
      <c r="L492" s="204" t="s">
        <v>704</v>
      </c>
      <c r="M492" s="204" t="s">
        <v>704</v>
      </c>
      <c r="N492" s="204" t="s">
        <v>704</v>
      </c>
      <c r="O492" s="204" t="s">
        <v>704</v>
      </c>
      <c r="P492" s="204" t="s">
        <v>704</v>
      </c>
      <c r="Q492" s="204" t="s">
        <v>704</v>
      </c>
    </row>
    <row r="493" customFormat="false" ht="15" hidden="false" customHeight="false" outlineLevel="0" collapsed="false">
      <c r="A493" s="319" t="s">
        <v>707</v>
      </c>
      <c r="B493" s="341"/>
      <c r="C493" s="204" t="s">
        <v>704</v>
      </c>
      <c r="D493" s="204" t="s">
        <v>704</v>
      </c>
      <c r="E493" s="204" t="s">
        <v>704</v>
      </c>
      <c r="F493" s="204" t="s">
        <v>704</v>
      </c>
      <c r="G493" s="204" t="s">
        <v>704</v>
      </c>
      <c r="H493" s="204" t="s">
        <v>704</v>
      </c>
      <c r="I493" s="204" t="s">
        <v>704</v>
      </c>
      <c r="J493" s="204" t="s">
        <v>704</v>
      </c>
      <c r="K493" s="204" t="s">
        <v>704</v>
      </c>
      <c r="L493" s="204" t="s">
        <v>704</v>
      </c>
      <c r="M493" s="204" t="s">
        <v>704</v>
      </c>
      <c r="N493" s="204" t="s">
        <v>704</v>
      </c>
      <c r="O493" s="204" t="s">
        <v>704</v>
      </c>
      <c r="P493" s="204" t="s">
        <v>704</v>
      </c>
      <c r="Q493" s="204" t="s">
        <v>704</v>
      </c>
    </row>
    <row r="494" customFormat="false" ht="15" hidden="false" customHeight="false" outlineLevel="0" collapsed="false">
      <c r="A494" s="319" t="s">
        <v>708</v>
      </c>
      <c r="B494" s="341"/>
      <c r="C494" s="204" t="s">
        <v>704</v>
      </c>
      <c r="D494" s="204" t="s">
        <v>704</v>
      </c>
      <c r="E494" s="204" t="s">
        <v>704</v>
      </c>
      <c r="F494" s="204" t="s">
        <v>704</v>
      </c>
      <c r="G494" s="204" t="s">
        <v>704</v>
      </c>
      <c r="H494" s="204" t="s">
        <v>704</v>
      </c>
      <c r="I494" s="204" t="s">
        <v>704</v>
      </c>
      <c r="J494" s="204" t="s">
        <v>704</v>
      </c>
      <c r="K494" s="204" t="s">
        <v>704</v>
      </c>
      <c r="L494" s="204" t="s">
        <v>704</v>
      </c>
      <c r="M494" s="204" t="s">
        <v>704</v>
      </c>
      <c r="N494" s="204" t="s">
        <v>704</v>
      </c>
      <c r="O494" s="204" t="s">
        <v>704</v>
      </c>
      <c r="P494" s="204" t="s">
        <v>704</v>
      </c>
      <c r="Q494" s="204" t="s">
        <v>704</v>
      </c>
    </row>
    <row r="495" customFormat="false" ht="15" hidden="false" customHeight="false" outlineLevel="0" collapsed="false">
      <c r="A495" s="319" t="s">
        <v>709</v>
      </c>
      <c r="B495" s="341" t="s">
        <v>376</v>
      </c>
      <c r="C495" s="204" t="s">
        <v>704</v>
      </c>
      <c r="D495" s="204" t="s">
        <v>704</v>
      </c>
      <c r="E495" s="204" t="s">
        <v>704</v>
      </c>
      <c r="F495" s="204" t="s">
        <v>704</v>
      </c>
      <c r="G495" s="204" t="s">
        <v>704</v>
      </c>
      <c r="H495" s="204" t="s">
        <v>704</v>
      </c>
      <c r="I495" s="204" t="s">
        <v>704</v>
      </c>
      <c r="J495" s="204" t="s">
        <v>704</v>
      </c>
      <c r="K495" s="204" t="s">
        <v>704</v>
      </c>
      <c r="L495" s="204" t="s">
        <v>704</v>
      </c>
      <c r="M495" s="204" t="s">
        <v>704</v>
      </c>
      <c r="N495" s="204" t="s">
        <v>704</v>
      </c>
      <c r="O495" s="204" t="s">
        <v>704</v>
      </c>
      <c r="P495" s="204" t="s">
        <v>704</v>
      </c>
      <c r="Q495" s="204" t="s">
        <v>704</v>
      </c>
    </row>
    <row r="496" customFormat="false" ht="15" hidden="false" customHeight="false" outlineLevel="0" collapsed="false">
      <c r="A496" s="319" t="s">
        <v>705</v>
      </c>
      <c r="B496" s="341"/>
      <c r="C496" s="204" t="s">
        <v>704</v>
      </c>
      <c r="D496" s="204" t="s">
        <v>704</v>
      </c>
      <c r="E496" s="204" t="s">
        <v>704</v>
      </c>
      <c r="F496" s="204" t="s">
        <v>704</v>
      </c>
      <c r="G496" s="204" t="s">
        <v>704</v>
      </c>
      <c r="H496" s="204" t="s">
        <v>704</v>
      </c>
      <c r="I496" s="204" t="s">
        <v>704</v>
      </c>
      <c r="J496" s="204" t="s">
        <v>704</v>
      </c>
      <c r="K496" s="204" t="s">
        <v>704</v>
      </c>
      <c r="L496" s="204" t="s">
        <v>704</v>
      </c>
      <c r="M496" s="204" t="s">
        <v>704</v>
      </c>
      <c r="N496" s="204" t="s">
        <v>704</v>
      </c>
      <c r="O496" s="204" t="s">
        <v>704</v>
      </c>
      <c r="P496" s="204" t="s">
        <v>704</v>
      </c>
      <c r="Q496" s="204" t="s">
        <v>704</v>
      </c>
    </row>
    <row r="497" customFormat="false" ht="15" hidden="false" customHeight="false" outlineLevel="0" collapsed="false">
      <c r="A497" s="319" t="s">
        <v>706</v>
      </c>
      <c r="B497" s="341"/>
      <c r="C497" s="204" t="s">
        <v>704</v>
      </c>
      <c r="D497" s="204" t="s">
        <v>704</v>
      </c>
      <c r="E497" s="204" t="s">
        <v>704</v>
      </c>
      <c r="F497" s="204" t="s">
        <v>704</v>
      </c>
      <c r="G497" s="204" t="s">
        <v>704</v>
      </c>
      <c r="H497" s="204" t="s">
        <v>704</v>
      </c>
      <c r="I497" s="204" t="s">
        <v>704</v>
      </c>
      <c r="J497" s="204" t="s">
        <v>704</v>
      </c>
      <c r="K497" s="204" t="s">
        <v>704</v>
      </c>
      <c r="L497" s="204" t="s">
        <v>704</v>
      </c>
      <c r="M497" s="204" t="s">
        <v>704</v>
      </c>
      <c r="N497" s="204" t="s">
        <v>704</v>
      </c>
      <c r="O497" s="204" t="s">
        <v>704</v>
      </c>
      <c r="P497" s="204" t="s">
        <v>704</v>
      </c>
      <c r="Q497" s="204" t="s">
        <v>704</v>
      </c>
    </row>
    <row r="498" customFormat="false" ht="15" hidden="false" customHeight="false" outlineLevel="0" collapsed="false">
      <c r="A498" s="319" t="s">
        <v>707</v>
      </c>
      <c r="B498" s="341"/>
      <c r="C498" s="204" t="s">
        <v>704</v>
      </c>
      <c r="D498" s="204" t="s">
        <v>704</v>
      </c>
      <c r="E498" s="204" t="s">
        <v>704</v>
      </c>
      <c r="F498" s="204" t="s">
        <v>704</v>
      </c>
      <c r="G498" s="204" t="s">
        <v>704</v>
      </c>
      <c r="H498" s="204" t="s">
        <v>704</v>
      </c>
      <c r="I498" s="204" t="s">
        <v>704</v>
      </c>
      <c r="J498" s="204" t="s">
        <v>704</v>
      </c>
      <c r="K498" s="204" t="s">
        <v>704</v>
      </c>
      <c r="L498" s="204" t="s">
        <v>704</v>
      </c>
      <c r="M498" s="204" t="s">
        <v>704</v>
      </c>
      <c r="N498" s="204" t="s">
        <v>704</v>
      </c>
      <c r="O498" s="204" t="s">
        <v>704</v>
      </c>
      <c r="P498" s="204" t="s">
        <v>704</v>
      </c>
      <c r="Q498" s="204" t="s">
        <v>704</v>
      </c>
    </row>
    <row r="499" customFormat="false" ht="15" hidden="false" customHeight="false" outlineLevel="0" collapsed="false">
      <c r="A499" s="319" t="s">
        <v>708</v>
      </c>
      <c r="B499" s="341"/>
      <c r="C499" s="204" t="s">
        <v>704</v>
      </c>
      <c r="D499" s="204" t="s">
        <v>704</v>
      </c>
      <c r="E499" s="204" t="s">
        <v>704</v>
      </c>
      <c r="F499" s="204" t="s">
        <v>704</v>
      </c>
      <c r="G499" s="204" t="s">
        <v>704</v>
      </c>
      <c r="H499" s="204" t="s">
        <v>704</v>
      </c>
      <c r="I499" s="204" t="s">
        <v>704</v>
      </c>
      <c r="J499" s="204" t="s">
        <v>704</v>
      </c>
      <c r="K499" s="204" t="s">
        <v>704</v>
      </c>
      <c r="L499" s="204" t="s">
        <v>704</v>
      </c>
      <c r="M499" s="204" t="s">
        <v>704</v>
      </c>
      <c r="N499" s="204" t="s">
        <v>704</v>
      </c>
      <c r="O499" s="204" t="s">
        <v>704</v>
      </c>
      <c r="P499" s="204" t="s">
        <v>704</v>
      </c>
      <c r="Q499" s="204" t="s">
        <v>704</v>
      </c>
    </row>
    <row r="500" customFormat="false" ht="15" hidden="false" customHeight="false" outlineLevel="0" collapsed="false">
      <c r="A500" s="319" t="s">
        <v>703</v>
      </c>
      <c r="B500" s="341" t="s">
        <v>377</v>
      </c>
      <c r="C500" s="204" t="s">
        <v>704</v>
      </c>
      <c r="D500" s="204" t="s">
        <v>704</v>
      </c>
      <c r="E500" s="204" t="s">
        <v>704</v>
      </c>
      <c r="F500" s="204" t="s">
        <v>704</v>
      </c>
      <c r="G500" s="204" t="s">
        <v>704</v>
      </c>
      <c r="H500" s="204" t="s">
        <v>704</v>
      </c>
      <c r="I500" s="204" t="s">
        <v>704</v>
      </c>
      <c r="J500" s="204" t="s">
        <v>704</v>
      </c>
      <c r="K500" s="204" t="s">
        <v>704</v>
      </c>
      <c r="L500" s="204" t="s">
        <v>704</v>
      </c>
      <c r="M500" s="204" t="s">
        <v>704</v>
      </c>
      <c r="N500" s="204" t="s">
        <v>704</v>
      </c>
      <c r="O500" s="204" t="s">
        <v>704</v>
      </c>
      <c r="P500" s="204" t="s">
        <v>704</v>
      </c>
      <c r="Q500" s="204" t="s">
        <v>704</v>
      </c>
    </row>
    <row r="501" customFormat="false" ht="15" hidden="false" customHeight="false" outlineLevel="0" collapsed="false">
      <c r="A501" s="319" t="s">
        <v>705</v>
      </c>
      <c r="B501" s="341"/>
      <c r="C501" s="204" t="s">
        <v>704</v>
      </c>
      <c r="D501" s="204" t="s">
        <v>704</v>
      </c>
      <c r="E501" s="204" t="s">
        <v>704</v>
      </c>
      <c r="F501" s="204" t="s">
        <v>704</v>
      </c>
      <c r="G501" s="204" t="s">
        <v>704</v>
      </c>
      <c r="H501" s="204" t="s">
        <v>704</v>
      </c>
      <c r="I501" s="204" t="s">
        <v>704</v>
      </c>
      <c r="J501" s="204" t="s">
        <v>704</v>
      </c>
      <c r="K501" s="204" t="s">
        <v>704</v>
      </c>
      <c r="L501" s="204" t="s">
        <v>704</v>
      </c>
      <c r="M501" s="204" t="s">
        <v>704</v>
      </c>
      <c r="N501" s="204" t="s">
        <v>704</v>
      </c>
      <c r="O501" s="204" t="s">
        <v>704</v>
      </c>
      <c r="P501" s="204" t="s">
        <v>704</v>
      </c>
      <c r="Q501" s="204" t="s">
        <v>704</v>
      </c>
    </row>
    <row r="502" customFormat="false" ht="15" hidden="false" customHeight="false" outlineLevel="0" collapsed="false">
      <c r="A502" s="319" t="s">
        <v>706</v>
      </c>
      <c r="B502" s="341"/>
      <c r="C502" s="204" t="s">
        <v>704</v>
      </c>
      <c r="D502" s="204" t="s">
        <v>704</v>
      </c>
      <c r="E502" s="204" t="s">
        <v>704</v>
      </c>
      <c r="F502" s="204" t="s">
        <v>704</v>
      </c>
      <c r="G502" s="204" t="s">
        <v>704</v>
      </c>
      <c r="H502" s="204" t="s">
        <v>704</v>
      </c>
      <c r="I502" s="204" t="s">
        <v>704</v>
      </c>
      <c r="J502" s="204" t="s">
        <v>704</v>
      </c>
      <c r="K502" s="204" t="s">
        <v>704</v>
      </c>
      <c r="L502" s="204" t="s">
        <v>704</v>
      </c>
      <c r="M502" s="204" t="s">
        <v>704</v>
      </c>
      <c r="N502" s="204" t="s">
        <v>704</v>
      </c>
      <c r="O502" s="204" t="s">
        <v>704</v>
      </c>
      <c r="P502" s="204" t="s">
        <v>704</v>
      </c>
      <c r="Q502" s="204" t="s">
        <v>704</v>
      </c>
    </row>
    <row r="503" customFormat="false" ht="15" hidden="false" customHeight="false" outlineLevel="0" collapsed="false">
      <c r="A503" s="319" t="s">
        <v>707</v>
      </c>
      <c r="B503" s="341"/>
      <c r="C503" s="204" t="s">
        <v>704</v>
      </c>
      <c r="D503" s="204" t="s">
        <v>704</v>
      </c>
      <c r="E503" s="204" t="s">
        <v>704</v>
      </c>
      <c r="F503" s="204" t="s">
        <v>704</v>
      </c>
      <c r="G503" s="204" t="s">
        <v>704</v>
      </c>
      <c r="H503" s="204" t="s">
        <v>704</v>
      </c>
      <c r="I503" s="204" t="s">
        <v>704</v>
      </c>
      <c r="J503" s="204" t="s">
        <v>704</v>
      </c>
      <c r="K503" s="204" t="s">
        <v>704</v>
      </c>
      <c r="L503" s="204" t="s">
        <v>704</v>
      </c>
      <c r="M503" s="204" t="s">
        <v>704</v>
      </c>
      <c r="N503" s="204" t="s">
        <v>704</v>
      </c>
      <c r="O503" s="204" t="s">
        <v>704</v>
      </c>
      <c r="P503" s="204" t="s">
        <v>704</v>
      </c>
      <c r="Q503" s="204" t="s">
        <v>704</v>
      </c>
    </row>
    <row r="504" customFormat="false" ht="15" hidden="false" customHeight="false" outlineLevel="0" collapsed="false">
      <c r="A504" s="319" t="s">
        <v>708</v>
      </c>
      <c r="B504" s="341"/>
      <c r="C504" s="204" t="s">
        <v>704</v>
      </c>
      <c r="D504" s="204" t="s">
        <v>704</v>
      </c>
      <c r="E504" s="204" t="s">
        <v>704</v>
      </c>
      <c r="F504" s="204" t="s">
        <v>704</v>
      </c>
      <c r="G504" s="204" t="s">
        <v>704</v>
      </c>
      <c r="H504" s="204" t="s">
        <v>704</v>
      </c>
      <c r="I504" s="204" t="s">
        <v>704</v>
      </c>
      <c r="J504" s="204" t="s">
        <v>704</v>
      </c>
      <c r="K504" s="204" t="s">
        <v>704</v>
      </c>
      <c r="L504" s="204" t="s">
        <v>704</v>
      </c>
      <c r="M504" s="204" t="s">
        <v>704</v>
      </c>
      <c r="N504" s="204" t="s">
        <v>704</v>
      </c>
      <c r="O504" s="204" t="s">
        <v>704</v>
      </c>
      <c r="P504" s="204" t="s">
        <v>704</v>
      </c>
      <c r="Q504" s="204" t="s">
        <v>704</v>
      </c>
    </row>
    <row r="505" customFormat="false" ht="15" hidden="false" customHeight="false" outlineLevel="0" collapsed="false">
      <c r="A505" s="319" t="s">
        <v>703</v>
      </c>
      <c r="B505" s="341" t="s">
        <v>378</v>
      </c>
      <c r="C505" s="204" t="s">
        <v>704</v>
      </c>
      <c r="D505" s="204" t="s">
        <v>704</v>
      </c>
      <c r="E505" s="204" t="s">
        <v>704</v>
      </c>
      <c r="F505" s="204" t="s">
        <v>704</v>
      </c>
      <c r="G505" s="204" t="s">
        <v>704</v>
      </c>
      <c r="H505" s="204" t="s">
        <v>704</v>
      </c>
      <c r="I505" s="204" t="s">
        <v>704</v>
      </c>
      <c r="J505" s="204" t="s">
        <v>704</v>
      </c>
      <c r="K505" s="204" t="s">
        <v>704</v>
      </c>
      <c r="L505" s="204" t="s">
        <v>704</v>
      </c>
      <c r="M505" s="204" t="s">
        <v>704</v>
      </c>
      <c r="N505" s="204" t="s">
        <v>704</v>
      </c>
      <c r="O505" s="204" t="s">
        <v>704</v>
      </c>
      <c r="P505" s="204" t="s">
        <v>704</v>
      </c>
      <c r="Q505" s="204" t="s">
        <v>704</v>
      </c>
    </row>
    <row r="506" customFormat="false" ht="15" hidden="false" customHeight="false" outlineLevel="0" collapsed="false">
      <c r="A506" s="319" t="s">
        <v>705</v>
      </c>
      <c r="B506" s="341"/>
      <c r="C506" s="204" t="s">
        <v>704</v>
      </c>
      <c r="D506" s="204" t="s">
        <v>704</v>
      </c>
      <c r="E506" s="204" t="s">
        <v>704</v>
      </c>
      <c r="F506" s="204" t="s">
        <v>704</v>
      </c>
      <c r="G506" s="204" t="s">
        <v>704</v>
      </c>
      <c r="H506" s="204" t="s">
        <v>704</v>
      </c>
      <c r="I506" s="204" t="s">
        <v>704</v>
      </c>
      <c r="J506" s="204" t="s">
        <v>704</v>
      </c>
      <c r="K506" s="204" t="s">
        <v>704</v>
      </c>
      <c r="L506" s="204" t="s">
        <v>704</v>
      </c>
      <c r="M506" s="204" t="s">
        <v>704</v>
      </c>
      <c r="N506" s="204" t="s">
        <v>704</v>
      </c>
      <c r="O506" s="204" t="s">
        <v>704</v>
      </c>
      <c r="P506" s="204" t="s">
        <v>704</v>
      </c>
      <c r="Q506" s="204" t="s">
        <v>704</v>
      </c>
    </row>
    <row r="507" customFormat="false" ht="15" hidden="false" customHeight="false" outlineLevel="0" collapsed="false">
      <c r="A507" s="319" t="s">
        <v>706</v>
      </c>
      <c r="B507" s="341"/>
      <c r="C507" s="204" t="s">
        <v>704</v>
      </c>
      <c r="D507" s="204" t="s">
        <v>704</v>
      </c>
      <c r="E507" s="204" t="s">
        <v>704</v>
      </c>
      <c r="F507" s="204" t="s">
        <v>704</v>
      </c>
      <c r="G507" s="204" t="s">
        <v>704</v>
      </c>
      <c r="H507" s="204" t="s">
        <v>704</v>
      </c>
      <c r="I507" s="204" t="s">
        <v>704</v>
      </c>
      <c r="J507" s="204" t="s">
        <v>704</v>
      </c>
      <c r="K507" s="204" t="s">
        <v>704</v>
      </c>
      <c r="L507" s="204" t="s">
        <v>704</v>
      </c>
      <c r="M507" s="204" t="s">
        <v>704</v>
      </c>
      <c r="N507" s="204" t="s">
        <v>704</v>
      </c>
      <c r="O507" s="204" t="s">
        <v>704</v>
      </c>
      <c r="P507" s="204" t="s">
        <v>704</v>
      </c>
      <c r="Q507" s="204" t="s">
        <v>704</v>
      </c>
    </row>
    <row r="508" customFormat="false" ht="15" hidden="false" customHeight="false" outlineLevel="0" collapsed="false">
      <c r="A508" s="319" t="s">
        <v>707</v>
      </c>
      <c r="B508" s="341"/>
      <c r="C508" s="204" t="s">
        <v>704</v>
      </c>
      <c r="D508" s="204" t="s">
        <v>704</v>
      </c>
      <c r="E508" s="204" t="s">
        <v>704</v>
      </c>
      <c r="F508" s="204" t="s">
        <v>704</v>
      </c>
      <c r="G508" s="204" t="s">
        <v>704</v>
      </c>
      <c r="H508" s="204" t="s">
        <v>704</v>
      </c>
      <c r="I508" s="204" t="s">
        <v>704</v>
      </c>
      <c r="J508" s="204" t="s">
        <v>704</v>
      </c>
      <c r="K508" s="204" t="s">
        <v>704</v>
      </c>
      <c r="L508" s="204" t="s">
        <v>704</v>
      </c>
      <c r="M508" s="204" t="s">
        <v>704</v>
      </c>
      <c r="N508" s="204" t="s">
        <v>704</v>
      </c>
      <c r="O508" s="204" t="s">
        <v>704</v>
      </c>
      <c r="P508" s="204" t="s">
        <v>704</v>
      </c>
      <c r="Q508" s="204" t="s">
        <v>704</v>
      </c>
    </row>
    <row r="509" customFormat="false" ht="15" hidden="false" customHeight="false" outlineLevel="0" collapsed="false">
      <c r="A509" s="326" t="s">
        <v>708</v>
      </c>
      <c r="B509" s="341"/>
      <c r="C509" s="244" t="s">
        <v>704</v>
      </c>
      <c r="D509" s="244" t="s">
        <v>704</v>
      </c>
      <c r="E509" s="244" t="s">
        <v>704</v>
      </c>
      <c r="F509" s="244" t="s">
        <v>704</v>
      </c>
      <c r="G509" s="244" t="s">
        <v>704</v>
      </c>
      <c r="H509" s="244" t="s">
        <v>704</v>
      </c>
      <c r="I509" s="244" t="s">
        <v>704</v>
      </c>
      <c r="J509" s="244" t="s">
        <v>704</v>
      </c>
      <c r="K509" s="244" t="s">
        <v>704</v>
      </c>
      <c r="L509" s="244" t="s">
        <v>704</v>
      </c>
      <c r="M509" s="244" t="s">
        <v>704</v>
      </c>
      <c r="N509" s="244" t="s">
        <v>704</v>
      </c>
      <c r="O509" s="244" t="s">
        <v>704</v>
      </c>
      <c r="P509" s="244" t="s">
        <v>704</v>
      </c>
      <c r="Q509" s="244" t="s">
        <v>704</v>
      </c>
    </row>
  </sheetData>
  <mergeCells count="133">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7"/>
    <mergeCell ref="A128:A132"/>
    <mergeCell ref="A136:H136"/>
    <mergeCell ref="A138:A141"/>
    <mergeCell ref="A142:A145"/>
    <mergeCell ref="A146:A149"/>
    <mergeCell ref="A150:A153"/>
    <mergeCell ref="A154:A157"/>
    <mergeCell ref="A158:H158"/>
    <mergeCell ref="A160:A163"/>
    <mergeCell ref="A164:A167"/>
    <mergeCell ref="A168:A171"/>
    <mergeCell ref="A172:A175"/>
    <mergeCell ref="A176:A179"/>
    <mergeCell ref="A181:H181"/>
    <mergeCell ref="A183:A187"/>
    <mergeCell ref="A188:A192"/>
    <mergeCell ref="A193:A197"/>
    <mergeCell ref="A198:A202"/>
    <mergeCell ref="A205:E205"/>
    <mergeCell ref="A206:E206"/>
    <mergeCell ref="A208:A210"/>
    <mergeCell ref="C208:C210"/>
    <mergeCell ref="A212:C212"/>
    <mergeCell ref="A215:B215"/>
    <mergeCell ref="A216:B216"/>
    <mergeCell ref="A217:B217"/>
    <mergeCell ref="A218:B218"/>
    <mergeCell ref="A219:B219"/>
    <mergeCell ref="A220:B220"/>
    <mergeCell ref="A221:Q221"/>
    <mergeCell ref="A222:B222"/>
    <mergeCell ref="A223:B223"/>
    <mergeCell ref="A224:B224"/>
    <mergeCell ref="A225:B225"/>
    <mergeCell ref="A226:B226"/>
    <mergeCell ref="A227:Q227"/>
    <mergeCell ref="A228:B228"/>
    <mergeCell ref="A229:B229"/>
    <mergeCell ref="A230:B230"/>
    <mergeCell ref="A231:B231"/>
    <mergeCell ref="A232:B232"/>
    <mergeCell ref="A233:Q233"/>
    <mergeCell ref="A234:B234"/>
    <mergeCell ref="A235:B235"/>
    <mergeCell ref="A236:B236"/>
    <mergeCell ref="A237:B237"/>
    <mergeCell ref="A238:B238"/>
    <mergeCell ref="A239:Q239"/>
    <mergeCell ref="A240:B240"/>
    <mergeCell ref="A241:B241"/>
    <mergeCell ref="A242:B242"/>
    <mergeCell ref="A243:B243"/>
    <mergeCell ref="A244:B244"/>
    <mergeCell ref="A246:C246"/>
    <mergeCell ref="A247:A248"/>
    <mergeCell ref="C247:C248"/>
    <mergeCell ref="A251:Q251"/>
    <mergeCell ref="A252:B252"/>
    <mergeCell ref="A253:B253"/>
    <mergeCell ref="A254:B254"/>
    <mergeCell ref="A255:B255"/>
    <mergeCell ref="A256:B256"/>
    <mergeCell ref="A257:B257"/>
    <mergeCell ref="A258:C258"/>
    <mergeCell ref="A262:C262"/>
    <mergeCell ref="A264:A266"/>
    <mergeCell ref="C264:C266"/>
    <mergeCell ref="A268:A270"/>
    <mergeCell ref="C268:C270"/>
    <mergeCell ref="A275:D275"/>
    <mergeCell ref="A276:D276"/>
    <mergeCell ref="A277:C277"/>
    <mergeCell ref="C279:E279"/>
    <mergeCell ref="A281:A299"/>
    <mergeCell ref="A300:C300"/>
    <mergeCell ref="A306:C306"/>
    <mergeCell ref="A307:C307"/>
    <mergeCell ref="A309:C309"/>
    <mergeCell ref="A310:A313"/>
    <mergeCell ref="C310:C313"/>
    <mergeCell ref="A318:I318"/>
    <mergeCell ref="A421:I421"/>
    <mergeCell ref="A445:H445"/>
    <mergeCell ref="A447:H447"/>
    <mergeCell ref="A449:H449"/>
    <mergeCell ref="A451:H451"/>
    <mergeCell ref="A454:I454"/>
    <mergeCell ref="A462:C462"/>
    <mergeCell ref="A471:C471"/>
    <mergeCell ref="A478:C478"/>
    <mergeCell ref="A484:B484"/>
    <mergeCell ref="B485:B489"/>
    <mergeCell ref="B490:B494"/>
    <mergeCell ref="B495:B499"/>
    <mergeCell ref="B500:B504"/>
    <mergeCell ref="B505:B509"/>
  </mergeCells>
  <conditionalFormatting sqref="C253:AZ257">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Z509"/>
  <sheetViews>
    <sheetView showFormulas="false" showGridLines="true" showRowColHeaders="true" showZeros="true" rightToLeft="false" tabSelected="false" showOutlineSymbols="true" defaultGridColor="true" view="normal" topLeftCell="B115" colorId="64" zoomScale="85" zoomScaleNormal="85" zoomScalePageLayoutView="100" workbookViewId="0">
      <selection pane="topLeft" activeCell="D122" activeCellId="0" sqref="D122"/>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v>
      </c>
      <c r="N10" s="206"/>
      <c r="O10" s="206"/>
      <c r="P10" s="206"/>
      <c r="Q10" s="206"/>
      <c r="R10" s="206" t="n">
        <v>0.011</v>
      </c>
      <c r="S10" s="206"/>
      <c r="T10" s="206"/>
      <c r="U10" s="206"/>
      <c r="V10" s="206"/>
      <c r="W10" s="206"/>
      <c r="X10" s="206"/>
      <c r="Y10" s="206"/>
      <c r="Z10" s="206"/>
      <c r="AA10" s="206"/>
      <c r="AB10" s="206" t="n">
        <v>0</v>
      </c>
      <c r="AC10" s="206"/>
      <c r="AD10" s="206"/>
      <c r="AE10" s="206"/>
      <c r="AF10" s="206"/>
      <c r="AG10" s="206" t="n">
        <v>0</v>
      </c>
      <c r="AH10" s="206"/>
      <c r="AI10" s="206"/>
      <c r="AJ10" s="206"/>
      <c r="AK10" s="206"/>
      <c r="AL10" s="206" t="n">
        <v>0</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498</v>
      </c>
      <c r="B16" s="202" t="s">
        <v>499</v>
      </c>
      <c r="C16" s="212" t="n">
        <v>0.117609721833719</v>
      </c>
      <c r="D16" s="212" t="n">
        <v>0.126664781007908</v>
      </c>
      <c r="E16" s="212" t="n">
        <v>0.1268050283133</v>
      </c>
      <c r="F16" s="212" t="n">
        <v>0.135126859489025</v>
      </c>
      <c r="G16" s="212" t="n">
        <v>0.140282729162163</v>
      </c>
      <c r="H16" s="212" t="n">
        <v>0.146916832301251</v>
      </c>
      <c r="I16" s="213" t="n">
        <v>0.148630915135189</v>
      </c>
      <c r="J16" s="81"/>
      <c r="K16" s="160"/>
      <c r="L16" s="81"/>
    </row>
    <row r="17" customFormat="false" ht="1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5" hidden="false" customHeight="false" outlineLevel="0" collapsed="false">
      <c r="A18" s="211" t="s">
        <v>501</v>
      </c>
      <c r="B18" s="202" t="s">
        <v>499</v>
      </c>
      <c r="C18" s="212" t="n">
        <v>0.0374522</v>
      </c>
      <c r="D18" s="212" t="n">
        <v>0.043388</v>
      </c>
      <c r="E18" s="212" t="n">
        <v>0.06069115</v>
      </c>
      <c r="F18" s="214" t="n">
        <v>0.08975165</v>
      </c>
      <c r="G18" s="214" t="n">
        <v>0.12725</v>
      </c>
      <c r="H18" s="214" t="n">
        <v>0.1769065</v>
      </c>
      <c r="I18" s="213" t="n">
        <v>0.2118585</v>
      </c>
      <c r="J18" s="81"/>
      <c r="K18" s="81"/>
      <c r="L18" s="81"/>
    </row>
    <row r="19" customFormat="false" ht="15" hidden="false" customHeight="false" outlineLevel="0" collapsed="false">
      <c r="A19" s="211" t="s">
        <v>502</v>
      </c>
      <c r="B19" s="202" t="s">
        <v>499</v>
      </c>
      <c r="C19" s="212" t="n">
        <v>0.0008299085</v>
      </c>
      <c r="D19" s="212" t="n">
        <v>0.00444725</v>
      </c>
      <c r="E19" s="212" t="n">
        <v>0.014096475</v>
      </c>
      <c r="F19" s="214" t="n">
        <v>0.02532925</v>
      </c>
      <c r="G19" s="214" t="n">
        <v>0.03581605</v>
      </c>
      <c r="H19" s="214" t="n">
        <v>0.04635715</v>
      </c>
      <c r="I19" s="213" t="n">
        <v>0.05620975</v>
      </c>
      <c r="J19" s="160"/>
      <c r="K19" s="81"/>
      <c r="L19" s="81"/>
    </row>
    <row r="20" customFormat="false" ht="15" hidden="false" customHeight="false" outlineLevel="0" collapsed="false">
      <c r="A20" s="211" t="s">
        <v>503</v>
      </c>
      <c r="B20" s="202" t="s">
        <v>499</v>
      </c>
      <c r="C20" s="212" t="n">
        <v>0.146914125126844</v>
      </c>
      <c r="D20" s="212" t="n">
        <v>0.252394063397019</v>
      </c>
      <c r="E20" s="212" t="n">
        <v>0.359162426436101</v>
      </c>
      <c r="F20" s="214" t="n">
        <v>0.526015222710319</v>
      </c>
      <c r="G20" s="214" t="n">
        <v>0.6707412377823</v>
      </c>
      <c r="H20" s="214" t="n">
        <v>0.895000988463177</v>
      </c>
      <c r="I20" s="213" t="n">
        <v>1.01362210322222</v>
      </c>
    </row>
    <row r="21" customFormat="false" ht="15" hidden="false" customHeight="false" outlineLevel="0" collapsed="false">
      <c r="A21" s="211" t="s">
        <v>504</v>
      </c>
      <c r="B21" s="202" t="s">
        <v>499</v>
      </c>
      <c r="C21" s="212" t="n">
        <v>0.0121029772625668</v>
      </c>
      <c r="D21" s="212" t="n">
        <v>0.0294920972654814</v>
      </c>
      <c r="E21" s="212" t="n">
        <v>0.0638937271994091</v>
      </c>
      <c r="F21" s="214" t="n">
        <v>0.105000218961605</v>
      </c>
      <c r="G21" s="214" t="n">
        <v>0.186851022344914</v>
      </c>
      <c r="H21" s="214" t="n">
        <v>0.324965157175987</v>
      </c>
      <c r="I21" s="213" t="n">
        <v>0.362987208788995</v>
      </c>
      <c r="K21" s="81"/>
      <c r="L21" s="81"/>
    </row>
    <row r="22" customFormat="false" ht="15" hidden="false" customHeight="false" outlineLevel="0" collapsed="false">
      <c r="A22" s="211" t="s">
        <v>505</v>
      </c>
      <c r="B22" s="202" t="s">
        <v>499</v>
      </c>
      <c r="C22" s="212" t="n">
        <v>0.125671151626567</v>
      </c>
      <c r="D22" s="212" t="n">
        <v>0.243542844662369</v>
      </c>
      <c r="E22" s="212" t="n">
        <v>0.389285836686693</v>
      </c>
      <c r="F22" s="214" t="n">
        <v>0.545212013431527</v>
      </c>
      <c r="G22" s="214" t="n">
        <v>0.755351384766724</v>
      </c>
      <c r="H22" s="214" t="n">
        <v>0.97004701873674</v>
      </c>
      <c r="I22" s="213" t="n">
        <v>1.15086859750692</v>
      </c>
      <c r="K22" s="81"/>
      <c r="L22" s="81"/>
    </row>
    <row r="23" customFormat="false" ht="1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710</v>
      </c>
      <c r="B27" s="200"/>
      <c r="C27" s="200"/>
      <c r="D27" s="200"/>
      <c r="E27" s="200"/>
      <c r="F27" s="200"/>
      <c r="G27" s="200"/>
      <c r="H27" s="200"/>
      <c r="I27" s="200"/>
    </row>
    <row r="28" customFormat="false" ht="15" hidden="false" customHeight="false" outlineLevel="0" collapsed="false">
      <c r="A28" s="218" t="s">
        <v>510</v>
      </c>
      <c r="B28" s="219" t="s">
        <v>146</v>
      </c>
      <c r="C28" s="220" t="n">
        <v>0</v>
      </c>
      <c r="D28" s="220" t="n">
        <v>0</v>
      </c>
      <c r="E28" s="220" t="n">
        <v>0</v>
      </c>
      <c r="F28" s="220" t="n">
        <v>0</v>
      </c>
      <c r="G28" s="220" t="n">
        <v>0</v>
      </c>
      <c r="H28" s="220" t="n">
        <v>0</v>
      </c>
      <c r="I28" s="220" t="n">
        <v>0</v>
      </c>
    </row>
    <row r="29" customFormat="false" ht="1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511</v>
      </c>
      <c r="B31" s="222"/>
      <c r="C31" s="222"/>
      <c r="E31" s="81"/>
      <c r="F31" s="81"/>
      <c r="G31" s="81"/>
      <c r="H31" s="160"/>
      <c r="I31" s="81"/>
      <c r="L31" s="75"/>
    </row>
    <row r="32" customFormat="false" ht="15" hidden="false" customHeight="false" outlineLevel="0" collapsed="false">
      <c r="A32" s="211" t="s">
        <v>512</v>
      </c>
      <c r="B32" s="202" t="s">
        <v>513</v>
      </c>
      <c r="C32" s="226" t="n">
        <v>0.1</v>
      </c>
      <c r="H32" s="160"/>
      <c r="K32" s="45"/>
      <c r="M32" s="81"/>
    </row>
    <row r="33" customFormat="false" ht="15" hidden="false" customHeight="false" outlineLevel="0" collapsed="false">
      <c r="A33" s="211" t="s">
        <v>514</v>
      </c>
      <c r="B33" s="202" t="s">
        <v>36</v>
      </c>
      <c r="C33" s="204" t="n">
        <v>2035</v>
      </c>
      <c r="E33" s="81"/>
      <c r="F33" s="81"/>
      <c r="G33" s="81"/>
      <c r="H33" s="160"/>
      <c r="I33" s="81"/>
      <c r="J33" s="62"/>
    </row>
    <row r="34" customFormat="false" ht="15" hidden="false" customHeight="false" outlineLevel="0" collapsed="false">
      <c r="A34" s="211" t="s">
        <v>515</v>
      </c>
      <c r="B34" s="202" t="s">
        <v>513</v>
      </c>
      <c r="C34" s="227"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516</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517</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518</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519</v>
      </c>
      <c r="B38" s="202" t="s">
        <v>513</v>
      </c>
      <c r="C38" s="227"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520</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521</v>
      </c>
      <c r="B40" s="202" t="s">
        <v>513</v>
      </c>
      <c r="C40" s="227"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16" t="s">
        <v>522</v>
      </c>
      <c r="B42" s="205" t="s">
        <v>513</v>
      </c>
      <c r="C42" s="228"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16" t="s">
        <v>523</v>
      </c>
      <c r="B45" s="205" t="s">
        <v>513</v>
      </c>
      <c r="C45" s="228"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524</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525</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526</v>
      </c>
      <c r="B50" s="202" t="s">
        <v>513</v>
      </c>
      <c r="C50" s="227"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527</v>
      </c>
      <c r="B51" s="202" t="s">
        <v>513</v>
      </c>
      <c r="C51" s="227"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6" t="s">
        <v>528</v>
      </c>
      <c r="B52" s="205" t="s">
        <v>513</v>
      </c>
      <c r="C52" s="229" t="n">
        <v>0.01</v>
      </c>
      <c r="D52" s="229"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529</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row>
    <row r="54" customFormat="false" ht="15" hidden="false" customHeight="false" outlineLevel="0" collapsed="false">
      <c r="A54" s="230" t="s">
        <v>530</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row>
    <row r="55" customFormat="false" ht="15" hidden="false" customHeight="false" outlineLevel="0" collapsed="false">
      <c r="A55" s="230" t="s">
        <v>531</v>
      </c>
      <c r="B55" s="202" t="s">
        <v>532</v>
      </c>
      <c r="C55" s="231"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row>
    <row r="56" customFormat="false" ht="15" hidden="false" customHeight="false" outlineLevel="0" collapsed="false">
      <c r="A56" s="230" t="s">
        <v>533</v>
      </c>
      <c r="B56" s="202" t="s">
        <v>532</v>
      </c>
      <c r="C56" s="231"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row>
    <row r="57" customFormat="false" ht="15" hidden="false" customHeight="false" outlineLevel="0" collapsed="false">
      <c r="A57" s="230" t="s">
        <v>534</v>
      </c>
      <c r="B57" s="202" t="s">
        <v>532</v>
      </c>
      <c r="C57" s="231"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row>
    <row r="58" customFormat="false" ht="15" hidden="false" customHeight="false" outlineLevel="0" collapsed="false">
      <c r="A58" s="230" t="s">
        <v>535</v>
      </c>
      <c r="B58" s="202" t="s">
        <v>532</v>
      </c>
      <c r="C58" s="231"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row>
    <row r="59" customFormat="false" ht="1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row>
    <row r="60" customFormat="false" ht="17.35" hidden="false" customHeight="false" outlineLevel="0" collapsed="false">
      <c r="A60" s="200" t="s">
        <v>536</v>
      </c>
      <c r="B60" s="200"/>
      <c r="C60" s="200"/>
      <c r="D60" s="200"/>
      <c r="E60" s="200"/>
      <c r="F60" s="200"/>
      <c r="G60" s="200"/>
      <c r="H60" s="200"/>
      <c r="I60" s="200"/>
    </row>
    <row r="61" customFormat="false" ht="15" hidden="false" customHeight="false" outlineLevel="0" collapsed="false">
      <c r="A61" s="230" t="s">
        <v>36</v>
      </c>
      <c r="B61" s="202" t="s">
        <v>36</v>
      </c>
      <c r="C61" s="232" t="n">
        <v>2020</v>
      </c>
      <c r="D61" s="232" t="n">
        <v>2025</v>
      </c>
      <c r="E61" s="232" t="n">
        <v>2030</v>
      </c>
      <c r="F61" s="232" t="n">
        <v>2035</v>
      </c>
      <c r="G61" s="232" t="n">
        <v>2040</v>
      </c>
      <c r="H61" s="232" t="n">
        <v>2045</v>
      </c>
      <c r="I61" s="233" t="n">
        <v>2050</v>
      </c>
    </row>
    <row r="62" customFormat="false" ht="15" hidden="false" customHeight="false" outlineLevel="0" collapsed="false">
      <c r="A62" s="230" t="s">
        <v>537</v>
      </c>
      <c r="B62" s="202" t="s">
        <v>146</v>
      </c>
      <c r="C62" s="234" t="n">
        <v>0</v>
      </c>
      <c r="D62" s="234" t="n">
        <v>0</v>
      </c>
      <c r="E62" s="234" t="n">
        <v>0</v>
      </c>
      <c r="F62" s="234" t="n">
        <v>0</v>
      </c>
      <c r="G62" s="234" t="n">
        <v>0</v>
      </c>
      <c r="H62" s="234" t="n">
        <v>0</v>
      </c>
      <c r="I62" s="234" t="n">
        <v>0</v>
      </c>
      <c r="J62" s="221"/>
      <c r="K62" s="221"/>
    </row>
    <row r="63" customFormat="false" ht="15" hidden="false" customHeight="false" outlineLevel="0" collapsed="false">
      <c r="A63" s="230" t="s">
        <v>538</v>
      </c>
      <c r="B63" s="202" t="s">
        <v>146</v>
      </c>
      <c r="C63" s="234" t="n">
        <v>0</v>
      </c>
      <c r="D63" s="234" t="n">
        <v>0</v>
      </c>
      <c r="E63" s="234" t="n">
        <v>0.00189148985353949</v>
      </c>
      <c r="F63" s="234" t="n">
        <v>0.482964256198595</v>
      </c>
      <c r="G63" s="234" t="n">
        <v>1.23853129255308</v>
      </c>
      <c r="H63" s="234" t="n">
        <v>2.86141754184028</v>
      </c>
      <c r="I63" s="234" t="n">
        <v>2.81340799792693</v>
      </c>
      <c r="J63" s="221"/>
      <c r="K63" s="221"/>
    </row>
    <row r="64" customFormat="false" ht="15" hidden="false" customHeight="false" outlineLevel="0" collapsed="false">
      <c r="A64" s="230" t="s">
        <v>539</v>
      </c>
      <c r="B64" s="202" t="s">
        <v>146</v>
      </c>
      <c r="C64" s="234" t="n">
        <v>4.41217077793692E-005</v>
      </c>
      <c r="D64" s="234" t="n">
        <v>0.000751828466159761</v>
      </c>
      <c r="E64" s="234" t="n">
        <v>0.0152316875119172</v>
      </c>
      <c r="F64" s="234" t="n">
        <v>0.138807762777472</v>
      </c>
      <c r="G64" s="234" t="n">
        <v>0.868480719185939</v>
      </c>
      <c r="H64" s="234" t="n">
        <v>1.87867682957348</v>
      </c>
      <c r="I64" s="234" t="n">
        <v>2.78389156693196</v>
      </c>
    </row>
    <row r="65" customFormat="false" ht="15" hidden="false" customHeight="false" outlineLevel="0" collapsed="false">
      <c r="A65" s="230" t="s">
        <v>540</v>
      </c>
      <c r="B65" s="202" t="s">
        <v>146</v>
      </c>
      <c r="C65" s="234" t="n">
        <v>0</v>
      </c>
      <c r="D65" s="234" t="n">
        <v>0</v>
      </c>
      <c r="E65" s="234" t="n">
        <v>0</v>
      </c>
      <c r="F65" s="234" t="n">
        <v>0</v>
      </c>
      <c r="G65" s="234" t="n">
        <v>0</v>
      </c>
      <c r="H65" s="234" t="n">
        <v>0</v>
      </c>
      <c r="I65" s="234" t="n">
        <v>0</v>
      </c>
    </row>
    <row r="66" customFormat="false" ht="1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row>
    <row r="68" customFormat="false" ht="24.45" hidden="false" customHeight="false" outlineLevel="0" collapsed="false">
      <c r="A68" s="199" t="s">
        <v>541</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5" t="s">
        <v>168</v>
      </c>
      <c r="B69" s="236"/>
      <c r="C69" s="237"/>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8"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38"/>
      <c r="B71" s="205" t="s">
        <v>542</v>
      </c>
      <c r="C71" s="229"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8"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38"/>
      <c r="B75" s="205" t="s">
        <v>543</v>
      </c>
      <c r="C75" s="229"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9" t="s">
        <v>228</v>
      </c>
      <c r="B77" s="239"/>
      <c r="C77" s="239"/>
      <c r="D77" s="240" t="s">
        <v>544</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545</v>
      </c>
      <c r="B78" s="202" t="s">
        <v>546</v>
      </c>
      <c r="C78" s="231"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1" t="s">
        <v>230</v>
      </c>
      <c r="B79" s="241"/>
      <c r="C79" s="241"/>
      <c r="D79" s="242" t="s">
        <v>547</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548</v>
      </c>
      <c r="B80" s="205" t="s">
        <v>546</v>
      </c>
      <c r="C80" s="243" t="n">
        <v>0.2</v>
      </c>
      <c r="D80" s="244"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row>
    <row r="82" customFormat="false" ht="17.35" hidden="false" customHeight="false" outlineLevel="0" collapsed="false">
      <c r="A82" s="200" t="s">
        <v>236</v>
      </c>
      <c r="B82" s="200"/>
      <c r="C82" s="200"/>
    </row>
    <row r="83" customFormat="false" ht="15" hidden="false" customHeight="false" outlineLevel="0" collapsed="false">
      <c r="A83" s="245" t="s">
        <v>549</v>
      </c>
      <c r="B83" s="202" t="s">
        <v>550</v>
      </c>
      <c r="C83" s="246" t="n">
        <v>0</v>
      </c>
    </row>
    <row r="84" customFormat="false" ht="15" hidden="false" customHeight="false" outlineLevel="0" collapsed="false">
      <c r="A84" s="245"/>
      <c r="B84" s="202" t="s">
        <v>551</v>
      </c>
      <c r="C84" s="246" t="n">
        <v>2023</v>
      </c>
    </row>
    <row r="85" customFormat="false" ht="15" hidden="false" customHeight="false" outlineLevel="0" collapsed="false">
      <c r="A85" s="245" t="s">
        <v>237</v>
      </c>
      <c r="B85" s="202" t="s">
        <v>238</v>
      </c>
      <c r="C85" s="246"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45"/>
      <c r="B86" s="202" t="s">
        <v>241</v>
      </c>
      <c r="C86" s="247"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45" t="s">
        <v>243</v>
      </c>
      <c r="B87" s="202" t="s">
        <v>238</v>
      </c>
      <c r="C87" s="246" t="n">
        <v>2015</v>
      </c>
    </row>
    <row r="88" customFormat="false" ht="15" hidden="false" customHeight="false" outlineLevel="0" collapsed="false">
      <c r="A88" s="245"/>
      <c r="B88" s="202" t="s">
        <v>241</v>
      </c>
      <c r="C88" s="247" t="n">
        <v>0</v>
      </c>
    </row>
    <row r="89" customFormat="false" ht="15" hidden="false" customHeight="false" outlineLevel="0" collapsed="false">
      <c r="A89" s="245" t="s">
        <v>244</v>
      </c>
      <c r="B89" s="202" t="s">
        <v>238</v>
      </c>
      <c r="C89" s="246" t="n">
        <v>2023</v>
      </c>
    </row>
    <row r="90" customFormat="false" ht="15" hidden="false" customHeight="false" outlineLevel="0" collapsed="false">
      <c r="A90" s="245"/>
      <c r="B90" s="202" t="s">
        <v>241</v>
      </c>
      <c r="C90" s="247" t="n">
        <v>0</v>
      </c>
    </row>
    <row r="91" customFormat="false" ht="15" hidden="false" customHeight="false" outlineLevel="0" collapsed="false">
      <c r="A91" s="245" t="s">
        <v>246</v>
      </c>
      <c r="B91" s="202" t="s">
        <v>238</v>
      </c>
      <c r="C91" s="246" t="n">
        <v>2023</v>
      </c>
      <c r="G91" s="138"/>
      <c r="I91" s="125"/>
      <c r="J91" s="125"/>
      <c r="K91" s="125"/>
      <c r="L91" s="125"/>
      <c r="M91" s="125"/>
      <c r="N91" s="125"/>
      <c r="O91" s="125"/>
      <c r="P91" s="125"/>
      <c r="Q91" s="125"/>
      <c r="R91" s="125"/>
      <c r="S91" s="125"/>
      <c r="T91" s="125"/>
    </row>
    <row r="92" customFormat="false" ht="15" hidden="false" customHeight="false" outlineLevel="0" collapsed="false">
      <c r="A92" s="245"/>
      <c r="B92" s="202" t="s">
        <v>241</v>
      </c>
      <c r="C92" s="247" t="n">
        <v>0</v>
      </c>
    </row>
    <row r="93" customFormat="false" ht="15" hidden="false" customHeight="false" outlineLevel="0" collapsed="false">
      <c r="A93" s="245" t="s">
        <v>211</v>
      </c>
      <c r="B93" s="202" t="s">
        <v>238</v>
      </c>
      <c r="C93" s="246" t="n">
        <v>2023</v>
      </c>
    </row>
    <row r="94" customFormat="false" ht="15" hidden="false" customHeight="false" outlineLevel="0" collapsed="false">
      <c r="A94" s="245"/>
      <c r="B94" s="202" t="s">
        <v>241</v>
      </c>
      <c r="C94" s="247" t="n">
        <v>0.97</v>
      </c>
    </row>
    <row r="95" customFormat="false" ht="15" hidden="false" customHeight="false" outlineLevel="0" collapsed="false">
      <c r="A95" s="245" t="s">
        <v>240</v>
      </c>
      <c r="B95" s="202" t="s">
        <v>238</v>
      </c>
      <c r="C95" s="246" t="n">
        <v>2023</v>
      </c>
    </row>
    <row r="96" customFormat="false" ht="15" hidden="false" customHeight="false" outlineLevel="0" collapsed="false">
      <c r="A96" s="245"/>
      <c r="B96" s="202" t="s">
        <v>241</v>
      </c>
      <c r="C96" s="247" t="n">
        <v>0.74</v>
      </c>
    </row>
    <row r="97" customFormat="false" ht="15" hidden="false" customHeight="false" outlineLevel="0" collapsed="false">
      <c r="A97" s="238" t="s">
        <v>245</v>
      </c>
      <c r="B97" s="202" t="s">
        <v>238</v>
      </c>
      <c r="C97" s="246" t="n">
        <v>2023</v>
      </c>
    </row>
    <row r="98" customFormat="false" ht="15" hidden="false" customHeight="false" outlineLevel="0" collapsed="false">
      <c r="A98" s="238"/>
      <c r="B98" s="205" t="s">
        <v>241</v>
      </c>
      <c r="C98" s="248" t="n">
        <v>0.87</v>
      </c>
    </row>
    <row r="99" customFormat="false" ht="15" hidden="false" customHeight="false" outlineLevel="0" collapsed="false">
      <c r="A99" s="139" t="s">
        <v>247</v>
      </c>
    </row>
    <row r="101" customFormat="false" ht="14.25" hidden="false" customHeight="true" outlineLevel="0" collapsed="false">
      <c r="A101" s="200" t="s">
        <v>248</v>
      </c>
      <c r="B101" s="200"/>
      <c r="C101" s="200"/>
    </row>
    <row r="102" customFormat="false" ht="15" hidden="false" customHeight="false" outlineLevel="0" collapsed="false">
      <c r="A102" s="211" t="s">
        <v>249</v>
      </c>
      <c r="B102" s="202" t="s">
        <v>28</v>
      </c>
      <c r="C102" s="246" t="n">
        <v>1</v>
      </c>
    </row>
    <row r="103" customFormat="false" ht="15" hidden="false" customHeight="false" outlineLevel="0" collapsed="false">
      <c r="A103" s="211" t="s">
        <v>256</v>
      </c>
      <c r="B103" s="202" t="s">
        <v>28</v>
      </c>
      <c r="C103" s="246" t="n">
        <v>1</v>
      </c>
    </row>
    <row r="104" customFormat="false" ht="15" hidden="false" customHeight="false" outlineLevel="0" collapsed="false">
      <c r="A104" s="211" t="s">
        <v>552</v>
      </c>
      <c r="B104" s="202" t="s">
        <v>36</v>
      </c>
      <c r="C104" s="246" t="n">
        <v>2020</v>
      </c>
    </row>
    <row r="105" customFormat="false" ht="15" hidden="false" customHeight="false" outlineLevel="0" collapsed="false">
      <c r="A105" s="211" t="s">
        <v>553</v>
      </c>
      <c r="B105" s="202" t="s">
        <v>36</v>
      </c>
      <c r="C105" s="246" t="n">
        <v>2025</v>
      </c>
    </row>
    <row r="106" customFormat="false" ht="15" hidden="false" customHeight="false" outlineLevel="0" collapsed="false">
      <c r="A106" s="211" t="s">
        <v>554</v>
      </c>
      <c r="B106" s="202" t="s">
        <v>36</v>
      </c>
      <c r="C106" s="246" t="n">
        <v>2035</v>
      </c>
    </row>
    <row r="107" customFormat="false" ht="15" hidden="false" customHeight="false" outlineLevel="0" collapsed="false">
      <c r="A107" s="211" t="s">
        <v>555</v>
      </c>
      <c r="B107" s="202" t="s">
        <v>36</v>
      </c>
      <c r="C107" s="246" t="n">
        <v>2050</v>
      </c>
    </row>
    <row r="108" customFormat="false" ht="15" hidden="false" customHeight="false" outlineLevel="0" collapsed="false">
      <c r="A108" s="211" t="s">
        <v>255</v>
      </c>
      <c r="B108" s="202" t="s">
        <v>28</v>
      </c>
      <c r="C108" s="246" t="n">
        <v>0</v>
      </c>
    </row>
    <row r="109" customFormat="false" ht="15" hidden="false" customHeight="false" outlineLevel="0" collapsed="false">
      <c r="A109" s="211" t="s">
        <v>261</v>
      </c>
      <c r="B109" s="202" t="s">
        <v>28</v>
      </c>
      <c r="C109" s="246" t="n">
        <v>0</v>
      </c>
    </row>
    <row r="110" customFormat="false" ht="15" hidden="false" customHeight="false" outlineLevel="0" collapsed="false">
      <c r="A110" s="211" t="s">
        <v>556</v>
      </c>
      <c r="B110" s="202"/>
      <c r="C110" s="204" t="n">
        <v>2050</v>
      </c>
    </row>
    <row r="111" customFormat="false" ht="15" hidden="false" customHeight="false" outlineLevel="0" collapsed="false">
      <c r="A111" s="216" t="s">
        <v>557</v>
      </c>
      <c r="B111" s="205" t="s">
        <v>28</v>
      </c>
      <c r="C111" s="244"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38" t="s">
        <v>59</v>
      </c>
      <c r="B114" s="250" t="n">
        <v>4</v>
      </c>
      <c r="C114" s="230" t="s">
        <v>60</v>
      </c>
      <c r="D114" s="202" t="s">
        <v>65</v>
      </c>
      <c r="E114" s="227" t="n">
        <v>-0.012</v>
      </c>
    </row>
    <row r="115" customFormat="false" ht="14.25" hidden="false" customHeight="true" outlineLevel="0" collapsed="false">
      <c r="A115" s="238"/>
      <c r="B115" s="250"/>
      <c r="C115" s="230" t="s">
        <v>62</v>
      </c>
      <c r="D115" s="202" t="s">
        <v>559</v>
      </c>
      <c r="E115" s="204" t="n">
        <v>2017</v>
      </c>
    </row>
    <row r="116" customFormat="false" ht="14.25" hidden="false" customHeight="true" outlineLevel="0" collapsed="false">
      <c r="A116" s="238"/>
      <c r="B116" s="250"/>
      <c r="C116" s="230" t="s">
        <v>63</v>
      </c>
      <c r="D116" s="252"/>
      <c r="E116" s="252"/>
      <c r="F116" s="253"/>
      <c r="G116" s="253"/>
      <c r="H116" s="253"/>
      <c r="I116" s="253"/>
      <c r="J116" s="253"/>
      <c r="K116" s="253"/>
      <c r="L116" s="254"/>
    </row>
    <row r="117" customFormat="false" ht="14.25" hidden="false" customHeight="true" outlineLevel="0" collapsed="false">
      <c r="A117" s="238"/>
      <c r="B117" s="250"/>
      <c r="C117" s="255" t="s">
        <v>64</v>
      </c>
      <c r="D117" s="252"/>
      <c r="E117" s="252"/>
    </row>
    <row r="118" customFormat="false" ht="14.25" hidden="false" customHeight="true" outlineLevel="0" collapsed="false"/>
    <row r="119" customFormat="false" ht="14.25" hidden="false" customHeight="true" outlineLevel="0" collapsed="false">
      <c r="D119" s="79"/>
      <c r="E119" s="79"/>
      <c r="F119" s="79"/>
      <c r="G119" s="79"/>
      <c r="H119" s="79"/>
      <c r="I119" s="79"/>
      <c r="J119" s="79"/>
    </row>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56" t="s">
        <v>562</v>
      </c>
      <c r="B123" s="203" t="s">
        <v>563</v>
      </c>
      <c r="C123" s="202" t="s">
        <v>28</v>
      </c>
      <c r="D123" s="257" t="n">
        <v>0.719582222580483</v>
      </c>
      <c r="E123" s="257" t="n">
        <v>0.726</v>
      </c>
      <c r="F123" s="257" t="n">
        <v>0.6838</v>
      </c>
      <c r="G123" s="257" t="n">
        <v>0.6416</v>
      </c>
      <c r="H123" s="257" t="n">
        <v>0.5994</v>
      </c>
      <c r="I123" s="257" t="n">
        <v>0.5572</v>
      </c>
      <c r="J123" s="258" t="n">
        <v>0.515</v>
      </c>
    </row>
    <row r="124" customFormat="false" ht="15" hidden="false" customHeight="false" outlineLevel="0" collapsed="false">
      <c r="A124" s="256"/>
      <c r="B124" s="203" t="s">
        <v>564</v>
      </c>
      <c r="C124" s="202" t="s">
        <v>28</v>
      </c>
      <c r="D124" s="257" t="n">
        <v>0.0360671787614104</v>
      </c>
      <c r="E124" s="257" t="n">
        <v>0.0415</v>
      </c>
      <c r="F124" s="257" t="n">
        <v>0.0408</v>
      </c>
      <c r="G124" s="257" t="n">
        <v>0.0401</v>
      </c>
      <c r="H124" s="257" t="n">
        <v>0.0394</v>
      </c>
      <c r="I124" s="257" t="n">
        <v>0.0387</v>
      </c>
      <c r="J124" s="258" t="n">
        <v>0.038</v>
      </c>
    </row>
    <row r="125" customFormat="false" ht="15" hidden="false" customHeight="false" outlineLevel="0" collapsed="false">
      <c r="A125" s="256"/>
      <c r="B125" s="203" t="s">
        <v>565</v>
      </c>
      <c r="C125" s="202" t="s">
        <v>28</v>
      </c>
      <c r="D125" s="259" t="n">
        <v>0.158177519083525</v>
      </c>
      <c r="E125" s="257" t="n">
        <v>0.156</v>
      </c>
      <c r="F125" s="257" t="n">
        <v>0.1978</v>
      </c>
      <c r="G125" s="257" t="n">
        <v>0.2396</v>
      </c>
      <c r="H125" s="257" t="n">
        <v>0.2814</v>
      </c>
      <c r="I125" s="257" t="n">
        <v>0.3232</v>
      </c>
      <c r="J125" s="258" t="n">
        <v>0.365</v>
      </c>
    </row>
    <row r="126" customFormat="false" ht="15" hidden="false" customHeight="false" outlineLevel="0" collapsed="false">
      <c r="A126" s="256"/>
      <c r="B126" s="203" t="s">
        <v>566</v>
      </c>
      <c r="C126" s="202" t="s">
        <v>28</v>
      </c>
      <c r="D126" s="259" t="n">
        <v>0.0860782424702139</v>
      </c>
      <c r="E126" s="257" t="n">
        <v>0.0765</v>
      </c>
      <c r="F126" s="257" t="n">
        <v>0.0776</v>
      </c>
      <c r="G126" s="257" t="n">
        <v>0.0787</v>
      </c>
      <c r="H126" s="257" t="n">
        <v>0.0798</v>
      </c>
      <c r="I126" s="257" t="n">
        <v>0.0809</v>
      </c>
      <c r="J126" s="258" t="n">
        <v>0.082</v>
      </c>
    </row>
    <row r="127" customFormat="false" ht="15" hidden="false" customHeight="false" outlineLevel="0" collapsed="false">
      <c r="A127" s="256"/>
      <c r="B127" s="203" t="s">
        <v>567</v>
      </c>
      <c r="C127" s="202" t="s">
        <v>28</v>
      </c>
      <c r="D127" s="259" t="n">
        <v>9.48371043676489E-005</v>
      </c>
      <c r="E127" s="257" t="n">
        <v>0</v>
      </c>
      <c r="F127" s="257" t="n">
        <v>0</v>
      </c>
      <c r="G127" s="257" t="n">
        <v>0</v>
      </c>
      <c r="H127" s="257" t="n">
        <v>0</v>
      </c>
      <c r="I127" s="257" t="n">
        <v>0</v>
      </c>
      <c r="J127" s="258" t="n">
        <v>0</v>
      </c>
    </row>
    <row r="128" customFormat="false" ht="15" hidden="false" customHeight="false" outlineLevel="0" collapsed="false">
      <c r="A128" s="256" t="s">
        <v>568</v>
      </c>
      <c r="B128" s="203" t="s">
        <v>569</v>
      </c>
      <c r="C128" s="202" t="s">
        <v>28</v>
      </c>
      <c r="D128" s="259" t="n">
        <v>0.0686953411602306</v>
      </c>
      <c r="E128" s="259" t="n">
        <v>0.079</v>
      </c>
      <c r="F128" s="259" t="n">
        <v>0.0853</v>
      </c>
      <c r="G128" s="259" t="n">
        <v>0.0916</v>
      </c>
      <c r="H128" s="259" t="n">
        <v>0.098</v>
      </c>
      <c r="I128" s="259" t="n">
        <v>0.1043</v>
      </c>
      <c r="J128" s="226" t="n">
        <v>0.1106</v>
      </c>
    </row>
    <row r="129" customFormat="false" ht="15" hidden="false" customHeight="false" outlineLevel="0" collapsed="false">
      <c r="A129" s="256"/>
      <c r="B129" s="260" t="s">
        <v>570</v>
      </c>
      <c r="C129" s="202" t="s">
        <v>28</v>
      </c>
      <c r="D129" s="259" t="n">
        <v>0.855246437713092</v>
      </c>
      <c r="E129" s="259" t="n">
        <v>0.803</v>
      </c>
      <c r="F129" s="259" t="n">
        <v>0.7596</v>
      </c>
      <c r="G129" s="259" t="n">
        <v>0.7162</v>
      </c>
      <c r="H129" s="259" t="n">
        <v>0.6728</v>
      </c>
      <c r="I129" s="259" t="n">
        <v>0.6294</v>
      </c>
      <c r="J129" s="226" t="n">
        <v>0.586</v>
      </c>
    </row>
    <row r="130" customFormat="false" ht="15" hidden="false" customHeight="false" outlineLevel="0" collapsed="false">
      <c r="A130" s="256"/>
      <c r="B130" s="203" t="s">
        <v>565</v>
      </c>
      <c r="C130" s="202" t="s">
        <v>28</v>
      </c>
      <c r="D130" s="259" t="n">
        <v>0.0651057450277185</v>
      </c>
      <c r="E130" s="259" t="n">
        <v>0.0975</v>
      </c>
      <c r="F130" s="259" t="n">
        <v>0.1387</v>
      </c>
      <c r="G130" s="259" t="n">
        <v>0.1799</v>
      </c>
      <c r="H130" s="259" t="n">
        <v>0.2211</v>
      </c>
      <c r="I130" s="259" t="n">
        <v>0.2622</v>
      </c>
      <c r="J130" s="226" t="n">
        <v>0.3034</v>
      </c>
    </row>
    <row r="131" customFormat="false" ht="15" hidden="false" customHeight="false" outlineLevel="0" collapsed="false">
      <c r="A131" s="256"/>
      <c r="B131" s="203" t="s">
        <v>566</v>
      </c>
      <c r="C131" s="202" t="s">
        <v>28</v>
      </c>
      <c r="D131" s="259" t="n">
        <v>0</v>
      </c>
      <c r="E131" s="259" t="n">
        <v>0</v>
      </c>
      <c r="F131" s="259" t="n">
        <v>0</v>
      </c>
      <c r="G131" s="259" t="n">
        <v>0</v>
      </c>
      <c r="H131" s="259" t="n">
        <v>0</v>
      </c>
      <c r="I131" s="259" t="n">
        <v>0</v>
      </c>
      <c r="J131" s="226" t="n">
        <v>0</v>
      </c>
    </row>
    <row r="132" customFormat="false" ht="15" hidden="false" customHeight="false" outlineLevel="0" collapsed="false">
      <c r="A132" s="256"/>
      <c r="B132" s="203" t="s">
        <v>567</v>
      </c>
      <c r="C132" s="202" t="s">
        <v>28</v>
      </c>
      <c r="D132" s="259" t="n">
        <v>0.0109524760989591</v>
      </c>
      <c r="E132" s="259" t="n">
        <v>0.0205</v>
      </c>
      <c r="F132" s="259" t="n">
        <v>0.0164</v>
      </c>
      <c r="G132" s="259" t="n">
        <v>0.0123</v>
      </c>
      <c r="H132" s="259" t="n">
        <v>0.0082</v>
      </c>
      <c r="I132" s="259" t="n">
        <v>0.0041</v>
      </c>
      <c r="J132" s="226" t="n">
        <v>0</v>
      </c>
    </row>
    <row r="133" customFormat="false" ht="15" hidden="false" customHeight="false" outlineLevel="0" collapsed="false">
      <c r="A133" s="208" t="s">
        <v>571</v>
      </c>
      <c r="B133" s="261"/>
      <c r="C133" s="202" t="s">
        <v>572</v>
      </c>
      <c r="D133" s="262" t="n">
        <v>1</v>
      </c>
      <c r="E133" s="262" t="n">
        <v>1</v>
      </c>
      <c r="F133" s="262" t="n">
        <v>1</v>
      </c>
      <c r="G133" s="262" t="n">
        <v>1</v>
      </c>
      <c r="H133" s="262" t="n">
        <v>1</v>
      </c>
      <c r="I133" s="262" t="n">
        <v>1</v>
      </c>
      <c r="J133" s="262" t="n">
        <v>1</v>
      </c>
    </row>
    <row r="134" customFormat="false" ht="15" hidden="false" customHeight="false" outlineLevel="0" collapsed="false">
      <c r="A134" s="263" t="s">
        <v>573</v>
      </c>
      <c r="B134" s="261"/>
      <c r="C134" s="205" t="s">
        <v>572</v>
      </c>
      <c r="D134" s="262" t="n">
        <v>1</v>
      </c>
      <c r="E134" s="262" t="n">
        <v>1</v>
      </c>
      <c r="F134" s="262" t="n">
        <v>1</v>
      </c>
      <c r="G134" s="262" t="n">
        <v>1</v>
      </c>
      <c r="H134" s="262" t="n">
        <v>1.0001</v>
      </c>
      <c r="I134" s="262" t="n">
        <v>1</v>
      </c>
      <c r="J134" s="262" t="n">
        <v>1</v>
      </c>
    </row>
    <row r="136" customFormat="false" ht="17.35" hidden="false" customHeight="false" outlineLevel="0" collapsed="false">
      <c r="A136" s="200" t="s">
        <v>574</v>
      </c>
      <c r="B136" s="200"/>
      <c r="C136" s="200"/>
      <c r="D136" s="200"/>
      <c r="E136" s="200"/>
      <c r="F136" s="200"/>
      <c r="G136" s="200"/>
      <c r="H136" s="200"/>
    </row>
    <row r="137" customFormat="false" ht="15" hidden="false" customHeight="false" outlineLevel="0" collapsed="false">
      <c r="A137" s="208" t="s">
        <v>36</v>
      </c>
      <c r="B137" s="202" t="s">
        <v>36</v>
      </c>
      <c r="C137" s="203" t="n">
        <v>2025</v>
      </c>
      <c r="D137" s="203" t="n">
        <v>2030</v>
      </c>
      <c r="E137" s="203" t="n">
        <v>2035</v>
      </c>
      <c r="F137" s="203" t="n">
        <v>2040</v>
      </c>
      <c r="G137" s="203" t="n">
        <v>2045</v>
      </c>
      <c r="H137" s="204" t="n">
        <v>2050</v>
      </c>
    </row>
    <row r="138" customFormat="false" ht="15" hidden="false" customHeight="false" outlineLevel="0" collapsed="false">
      <c r="A138" s="264" t="s">
        <v>565</v>
      </c>
      <c r="B138" s="202" t="s">
        <v>575</v>
      </c>
      <c r="C138" s="226" t="n">
        <v>0.2911</v>
      </c>
      <c r="D138" s="226" t="n">
        <v>0.2559</v>
      </c>
      <c r="E138" s="226" t="n">
        <v>0.2207</v>
      </c>
      <c r="F138" s="226" t="n">
        <v>0.1855</v>
      </c>
      <c r="G138" s="226" t="n">
        <v>0.1503</v>
      </c>
      <c r="H138" s="226" t="n">
        <v>0.115</v>
      </c>
    </row>
    <row r="139" customFormat="false" ht="15" hidden="false" customHeight="false" outlineLevel="0" collapsed="false">
      <c r="A139" s="264"/>
      <c r="B139" s="202" t="s">
        <v>192</v>
      </c>
      <c r="C139" s="226" t="n">
        <v>0</v>
      </c>
      <c r="D139" s="226" t="n">
        <v>0</v>
      </c>
      <c r="E139" s="226" t="n">
        <v>0</v>
      </c>
      <c r="F139" s="226" t="n">
        <v>0</v>
      </c>
      <c r="G139" s="226" t="n">
        <v>0</v>
      </c>
      <c r="H139" s="226" t="n">
        <v>0</v>
      </c>
    </row>
    <row r="140" customFormat="false" ht="15" hidden="false" customHeight="false" outlineLevel="0" collapsed="false">
      <c r="A140" s="264"/>
      <c r="B140" s="202" t="s">
        <v>374</v>
      </c>
      <c r="C140" s="226" t="n">
        <v>0.7089</v>
      </c>
      <c r="D140" s="226" t="n">
        <v>0.7441</v>
      </c>
      <c r="E140" s="226" t="n">
        <v>0.7793</v>
      </c>
      <c r="F140" s="226" t="n">
        <v>0.8145</v>
      </c>
      <c r="G140" s="226" t="n">
        <v>0.8497</v>
      </c>
      <c r="H140" s="226" t="n">
        <v>0.885</v>
      </c>
    </row>
    <row r="141" customFormat="false" ht="15" hidden="false" customHeight="false" outlineLevel="0" collapsed="false">
      <c r="A141" s="264"/>
      <c r="B141" s="202" t="s">
        <v>576</v>
      </c>
      <c r="C141" s="226" t="n">
        <v>0</v>
      </c>
      <c r="D141" s="226" t="n">
        <v>0</v>
      </c>
      <c r="E141" s="226" t="n">
        <v>0</v>
      </c>
      <c r="F141" s="226" t="n">
        <v>0</v>
      </c>
      <c r="G141" s="226" t="n">
        <v>0</v>
      </c>
      <c r="H141" s="226" t="n">
        <v>0</v>
      </c>
    </row>
    <row r="142" customFormat="false" ht="15" hidden="false" customHeight="false" outlineLevel="0" collapsed="false">
      <c r="A142" s="264" t="s">
        <v>563</v>
      </c>
      <c r="B142" s="202" t="s">
        <v>575</v>
      </c>
      <c r="C142" s="257" t="n">
        <v>0.9563</v>
      </c>
      <c r="D142" s="257" t="n">
        <v>0.847</v>
      </c>
      <c r="E142" s="257" t="n">
        <v>0.7378</v>
      </c>
      <c r="F142" s="257" t="n">
        <v>0.6285</v>
      </c>
      <c r="G142" s="257" t="n">
        <v>0.5193</v>
      </c>
      <c r="H142" s="258" t="n">
        <v>0.41</v>
      </c>
    </row>
    <row r="143" customFormat="false" ht="15" hidden="false" customHeight="false" outlineLevel="0" collapsed="false">
      <c r="A143" s="264"/>
      <c r="B143" s="202" t="s">
        <v>192</v>
      </c>
      <c r="C143" s="257" t="n">
        <v>0.0185</v>
      </c>
      <c r="D143" s="257" t="n">
        <v>0.0648</v>
      </c>
      <c r="E143" s="257" t="n">
        <v>0.1111</v>
      </c>
      <c r="F143" s="257" t="n">
        <v>0.1574</v>
      </c>
      <c r="G143" s="257" t="n">
        <v>0.2037</v>
      </c>
      <c r="H143" s="258" t="n">
        <v>0.25</v>
      </c>
    </row>
    <row r="144" customFormat="false" ht="15" hidden="false" customHeight="false" outlineLevel="0" collapsed="false">
      <c r="A144" s="264"/>
      <c r="B144" s="202" t="s">
        <v>374</v>
      </c>
      <c r="C144" s="257" t="n">
        <v>0.0037</v>
      </c>
      <c r="D144" s="257" t="n">
        <v>0.013</v>
      </c>
      <c r="E144" s="257" t="n">
        <v>0.0222</v>
      </c>
      <c r="F144" s="257" t="n">
        <v>0.0315</v>
      </c>
      <c r="G144" s="257" t="n">
        <v>0.0407</v>
      </c>
      <c r="H144" s="258" t="n">
        <v>0.05</v>
      </c>
    </row>
    <row r="145" customFormat="false" ht="15" hidden="false" customHeight="false" outlineLevel="0" collapsed="false">
      <c r="A145" s="264"/>
      <c r="B145" s="202" t="s">
        <v>576</v>
      </c>
      <c r="C145" s="257" t="n">
        <v>0.0215</v>
      </c>
      <c r="D145" s="257" t="n">
        <v>0.0752</v>
      </c>
      <c r="E145" s="257" t="n">
        <v>0.1289</v>
      </c>
      <c r="F145" s="257" t="n">
        <v>0.1826</v>
      </c>
      <c r="G145" s="257" t="n">
        <v>0.2363</v>
      </c>
      <c r="H145" s="258" t="n">
        <v>0.29</v>
      </c>
    </row>
    <row r="146" customFormat="false" ht="15" hidden="false" customHeight="false" outlineLevel="0" collapsed="false">
      <c r="A146" s="256" t="s">
        <v>577</v>
      </c>
      <c r="B146" s="202" t="s">
        <v>575</v>
      </c>
      <c r="C146" s="257" t="n">
        <v>0.9222</v>
      </c>
      <c r="D146" s="257" t="n">
        <v>0.7478</v>
      </c>
      <c r="E146" s="257" t="n">
        <v>0.5733</v>
      </c>
      <c r="F146" s="257" t="n">
        <v>0.3989</v>
      </c>
      <c r="G146" s="257" t="n">
        <v>0.2244</v>
      </c>
      <c r="H146" s="258" t="n">
        <v>0.05</v>
      </c>
    </row>
    <row r="147" customFormat="false" ht="15" hidden="false" customHeight="false" outlineLevel="0" collapsed="false">
      <c r="A147" s="256"/>
      <c r="B147" s="202" t="s">
        <v>192</v>
      </c>
      <c r="C147" s="257" t="n">
        <v>0.0149</v>
      </c>
      <c r="D147" s="257" t="n">
        <v>0.0379</v>
      </c>
      <c r="E147" s="257" t="n">
        <v>0.061</v>
      </c>
      <c r="F147" s="257" t="n">
        <v>0.084</v>
      </c>
      <c r="G147" s="257" t="n">
        <v>0.107</v>
      </c>
      <c r="H147" s="258" t="n">
        <v>0.13</v>
      </c>
    </row>
    <row r="148" customFormat="false" ht="15" hidden="false" customHeight="false" outlineLevel="0" collapsed="false">
      <c r="A148" s="256"/>
      <c r="B148" s="202" t="s">
        <v>374</v>
      </c>
      <c r="C148" s="257" t="n">
        <v>0.0607</v>
      </c>
      <c r="D148" s="257" t="n">
        <v>0.2066</v>
      </c>
      <c r="E148" s="257" t="n">
        <v>0.3524</v>
      </c>
      <c r="F148" s="257" t="n">
        <v>0.4983</v>
      </c>
      <c r="G148" s="257" t="n">
        <v>0.6441</v>
      </c>
      <c r="H148" s="258" t="n">
        <v>0.79</v>
      </c>
    </row>
    <row r="149" customFormat="false" ht="15" hidden="false" customHeight="false" outlineLevel="0" collapsed="false">
      <c r="A149" s="256"/>
      <c r="B149" s="202" t="s">
        <v>576</v>
      </c>
      <c r="C149" s="257" t="n">
        <v>0.0022</v>
      </c>
      <c r="D149" s="257" t="n">
        <v>0.0078</v>
      </c>
      <c r="E149" s="257" t="n">
        <v>0.0133</v>
      </c>
      <c r="F149" s="257" t="n">
        <v>0.0189</v>
      </c>
      <c r="G149" s="257" t="n">
        <v>0.0244</v>
      </c>
      <c r="H149" s="258" t="n">
        <v>0.03</v>
      </c>
    </row>
    <row r="150" customFormat="false" ht="15" hidden="false" customHeight="false" outlineLevel="0" collapsed="false">
      <c r="A150" s="256" t="s">
        <v>566</v>
      </c>
      <c r="B150" s="202" t="s">
        <v>575</v>
      </c>
      <c r="C150" s="257" t="n">
        <v>0.9826</v>
      </c>
      <c r="D150" s="257" t="n">
        <v>0.939</v>
      </c>
      <c r="E150" s="257" t="n">
        <v>0.8954</v>
      </c>
      <c r="F150" s="257" t="n">
        <v>0.8518</v>
      </c>
      <c r="G150" s="257" t="n">
        <v>0.8083</v>
      </c>
      <c r="H150" s="258" t="n">
        <v>0.7647</v>
      </c>
    </row>
    <row r="151" customFormat="false" ht="15" hidden="false" customHeight="false" outlineLevel="0" collapsed="false">
      <c r="A151" s="256"/>
      <c r="B151" s="202" t="s">
        <v>192</v>
      </c>
      <c r="C151" s="259" t="n">
        <v>0.0174</v>
      </c>
      <c r="D151" s="259" t="n">
        <v>0.061</v>
      </c>
      <c r="E151" s="259" t="n">
        <v>0.1046</v>
      </c>
      <c r="F151" s="259" t="n">
        <v>0.1482</v>
      </c>
      <c r="G151" s="259" t="n">
        <v>0.1917</v>
      </c>
      <c r="H151" s="226" t="n">
        <v>0.2353</v>
      </c>
    </row>
    <row r="152" customFormat="false" ht="15" hidden="false" customHeight="false" outlineLevel="0" collapsed="false">
      <c r="A152" s="256"/>
      <c r="B152" s="202" t="s">
        <v>374</v>
      </c>
      <c r="C152" s="259" t="n">
        <v>0</v>
      </c>
      <c r="D152" s="259" t="n">
        <v>0</v>
      </c>
      <c r="E152" s="259" t="n">
        <v>0</v>
      </c>
      <c r="F152" s="259" t="n">
        <v>0</v>
      </c>
      <c r="G152" s="259" t="n">
        <v>0</v>
      </c>
      <c r="H152" s="226" t="n">
        <v>0</v>
      </c>
    </row>
    <row r="153" customFormat="false" ht="15" hidden="false" customHeight="false" outlineLevel="0" collapsed="false">
      <c r="A153" s="256"/>
      <c r="B153" s="202" t="s">
        <v>576</v>
      </c>
      <c r="C153" s="259" t="n">
        <v>0</v>
      </c>
      <c r="D153" s="259" t="n">
        <v>0</v>
      </c>
      <c r="E153" s="259" t="n">
        <v>0</v>
      </c>
      <c r="F153" s="259" t="n">
        <v>0</v>
      </c>
      <c r="G153" s="259" t="n">
        <v>0</v>
      </c>
      <c r="H153" s="226" t="n">
        <v>0</v>
      </c>
    </row>
    <row r="154" customFormat="false" ht="15" hidden="false" customHeight="false" outlineLevel="0" collapsed="false">
      <c r="A154" s="256" t="s">
        <v>567</v>
      </c>
      <c r="B154" s="202" t="s">
        <v>575</v>
      </c>
      <c r="C154" s="259" t="n">
        <v>1</v>
      </c>
      <c r="D154" s="259" t="n">
        <v>1</v>
      </c>
      <c r="E154" s="259" t="n">
        <v>1</v>
      </c>
      <c r="F154" s="259" t="n">
        <v>1</v>
      </c>
      <c r="G154" s="259" t="n">
        <v>1</v>
      </c>
      <c r="H154" s="259" t="n">
        <v>1</v>
      </c>
    </row>
    <row r="155" customFormat="false" ht="15" hidden="false" customHeight="false" outlineLevel="0" collapsed="false">
      <c r="A155" s="256"/>
      <c r="B155" s="202" t="s">
        <v>192</v>
      </c>
      <c r="C155" s="259" t="n">
        <v>0</v>
      </c>
      <c r="D155" s="259" t="n">
        <v>0</v>
      </c>
      <c r="E155" s="259" t="n">
        <v>0</v>
      </c>
      <c r="F155" s="259" t="n">
        <v>0</v>
      </c>
      <c r="G155" s="259" t="n">
        <v>0</v>
      </c>
      <c r="H155" s="226" t="n">
        <v>0</v>
      </c>
    </row>
    <row r="156" customFormat="false" ht="15" hidden="false" customHeight="false" outlineLevel="0" collapsed="false">
      <c r="A156" s="256"/>
      <c r="B156" s="202" t="s">
        <v>374</v>
      </c>
      <c r="C156" s="259" t="n">
        <v>0</v>
      </c>
      <c r="D156" s="259" t="n">
        <v>0</v>
      </c>
      <c r="E156" s="259" t="n">
        <v>0</v>
      </c>
      <c r="F156" s="259" t="n">
        <v>0</v>
      </c>
      <c r="G156" s="259" t="n">
        <v>0</v>
      </c>
      <c r="H156" s="226" t="n">
        <v>0</v>
      </c>
    </row>
    <row r="157" customFormat="false" ht="15" hidden="false" customHeight="false" outlineLevel="0" collapsed="false">
      <c r="A157" s="256"/>
      <c r="B157" s="202" t="s">
        <v>576</v>
      </c>
      <c r="C157" s="259" t="n">
        <v>0</v>
      </c>
      <c r="D157" s="259" t="n">
        <v>0</v>
      </c>
      <c r="E157" s="259" t="n">
        <v>0</v>
      </c>
      <c r="F157" s="259" t="n">
        <v>0</v>
      </c>
      <c r="G157" s="259" t="n">
        <v>0</v>
      </c>
      <c r="H157" s="226" t="n">
        <v>0</v>
      </c>
    </row>
    <row r="158" customFormat="false" ht="17.35" hidden="false" customHeight="false" outlineLevel="0" collapsed="false">
      <c r="A158" s="265" t="s">
        <v>578</v>
      </c>
      <c r="B158" s="265"/>
      <c r="C158" s="265"/>
      <c r="D158" s="265"/>
      <c r="E158" s="265"/>
      <c r="F158" s="265"/>
      <c r="G158" s="265"/>
      <c r="H158" s="265"/>
    </row>
    <row r="159" customFormat="false" ht="15" hidden="false" customHeight="false" outlineLevel="0" collapsed="false">
      <c r="A159" s="208" t="s">
        <v>36</v>
      </c>
      <c r="B159" s="202" t="s">
        <v>36</v>
      </c>
      <c r="C159" s="203" t="n">
        <v>2025</v>
      </c>
      <c r="D159" s="203" t="n">
        <v>2030</v>
      </c>
      <c r="E159" s="203" t="n">
        <v>2035</v>
      </c>
      <c r="F159" s="203" t="n">
        <v>2040</v>
      </c>
      <c r="G159" s="203" t="n">
        <v>2045</v>
      </c>
      <c r="H159" s="204" t="n">
        <v>2050</v>
      </c>
    </row>
    <row r="160" customFormat="false" ht="15" hidden="false" customHeight="false" outlineLevel="0" collapsed="false">
      <c r="A160" s="256" t="s">
        <v>565</v>
      </c>
      <c r="B160" s="202" t="s">
        <v>575</v>
      </c>
      <c r="C160" s="259" t="n">
        <v>0.1631</v>
      </c>
      <c r="D160" s="259" t="n">
        <v>0.1405</v>
      </c>
      <c r="E160" s="259" t="n">
        <v>0.1179</v>
      </c>
      <c r="F160" s="259" t="n">
        <v>0.0953</v>
      </c>
      <c r="G160" s="259" t="n">
        <v>0.0726</v>
      </c>
      <c r="H160" s="259" t="n">
        <v>0.05</v>
      </c>
    </row>
    <row r="161" customFormat="false" ht="15" hidden="false" customHeight="false" outlineLevel="0" collapsed="false">
      <c r="A161" s="256"/>
      <c r="B161" s="202" t="s">
        <v>192</v>
      </c>
      <c r="C161" s="259" t="n">
        <v>0</v>
      </c>
      <c r="D161" s="259" t="n">
        <v>0</v>
      </c>
      <c r="E161" s="259" t="n">
        <v>0</v>
      </c>
      <c r="F161" s="259" t="n">
        <v>0</v>
      </c>
      <c r="G161" s="259" t="n">
        <v>0</v>
      </c>
      <c r="H161" s="259" t="n">
        <v>0</v>
      </c>
    </row>
    <row r="162" customFormat="false" ht="15" hidden="false" customHeight="false" outlineLevel="0" collapsed="false">
      <c r="A162" s="256"/>
      <c r="B162" s="202" t="s">
        <v>374</v>
      </c>
      <c r="C162" s="259" t="n">
        <v>0.8369</v>
      </c>
      <c r="D162" s="259" t="n">
        <v>0.8595</v>
      </c>
      <c r="E162" s="259" t="n">
        <v>0.8821</v>
      </c>
      <c r="F162" s="259" t="n">
        <v>0.9047</v>
      </c>
      <c r="G162" s="259" t="n">
        <v>0.9274</v>
      </c>
      <c r="H162" s="259" t="n">
        <v>0.95</v>
      </c>
    </row>
    <row r="163" customFormat="false" ht="15" hidden="false" customHeight="false" outlineLevel="0" collapsed="false">
      <c r="A163" s="256"/>
      <c r="B163" s="202" t="s">
        <v>576</v>
      </c>
      <c r="C163" s="259" t="n">
        <v>0</v>
      </c>
      <c r="D163" s="259" t="n">
        <v>0</v>
      </c>
      <c r="E163" s="259" t="n">
        <v>0</v>
      </c>
      <c r="F163" s="259" t="n">
        <v>0</v>
      </c>
      <c r="G163" s="259" t="n">
        <v>0</v>
      </c>
      <c r="H163" s="259" t="n">
        <v>0</v>
      </c>
    </row>
    <row r="164" customFormat="false" ht="15" hidden="false" customHeight="false" outlineLevel="0" collapsed="false">
      <c r="A164" s="256" t="s">
        <v>579</v>
      </c>
      <c r="B164" s="202" t="s">
        <v>575</v>
      </c>
      <c r="C164" s="259" t="n">
        <v>0.8435</v>
      </c>
      <c r="D164" s="259" t="n">
        <v>0.7076</v>
      </c>
      <c r="E164" s="259" t="n">
        <v>0.5717</v>
      </c>
      <c r="F164" s="259" t="n">
        <v>0.4358</v>
      </c>
      <c r="G164" s="259" t="n">
        <v>0.2999</v>
      </c>
      <c r="H164" s="226" t="n">
        <v>0.164</v>
      </c>
    </row>
    <row r="165" customFormat="false" ht="15" hidden="false" customHeight="false" outlineLevel="0" collapsed="false">
      <c r="A165" s="256"/>
      <c r="B165" s="202" t="s">
        <v>192</v>
      </c>
      <c r="C165" s="259" t="n">
        <v>0.0911</v>
      </c>
      <c r="D165" s="259" t="n">
        <v>0.1073</v>
      </c>
      <c r="E165" s="259" t="n">
        <v>0.1234</v>
      </c>
      <c r="F165" s="259" t="n">
        <v>0.1396</v>
      </c>
      <c r="G165" s="259" t="n">
        <v>0.1558</v>
      </c>
      <c r="H165" s="226" t="n">
        <v>0.172</v>
      </c>
    </row>
    <row r="166" customFormat="false" ht="15" hidden="false" customHeight="false" outlineLevel="0" collapsed="false">
      <c r="A166" s="256"/>
      <c r="B166" s="202" t="s">
        <v>374</v>
      </c>
      <c r="C166" s="259" t="n">
        <v>0.0568</v>
      </c>
      <c r="D166" s="259" t="n">
        <v>0.155</v>
      </c>
      <c r="E166" s="259" t="n">
        <v>0.2533</v>
      </c>
      <c r="F166" s="259" t="n">
        <v>0.3515</v>
      </c>
      <c r="G166" s="259" t="n">
        <v>0.4498</v>
      </c>
      <c r="H166" s="226" t="n">
        <v>0.548</v>
      </c>
    </row>
    <row r="167" customFormat="false" ht="15" hidden="false" customHeight="false" outlineLevel="0" collapsed="false">
      <c r="A167" s="256"/>
      <c r="B167" s="202" t="s">
        <v>576</v>
      </c>
      <c r="C167" s="259" t="n">
        <v>0.0086</v>
      </c>
      <c r="D167" s="259" t="n">
        <v>0.0301</v>
      </c>
      <c r="E167" s="259" t="n">
        <v>0.0516</v>
      </c>
      <c r="F167" s="259" t="n">
        <v>0.0731</v>
      </c>
      <c r="G167" s="259" t="n">
        <v>0.0945</v>
      </c>
      <c r="H167" s="226" t="n">
        <v>0.116</v>
      </c>
    </row>
    <row r="168" customFormat="false" ht="15" hidden="false" customHeight="false" outlineLevel="0" collapsed="false">
      <c r="A168" s="256" t="s">
        <v>566</v>
      </c>
      <c r="B168" s="202" t="s">
        <v>575</v>
      </c>
      <c r="C168" s="259" t="n">
        <v>0.9826</v>
      </c>
      <c r="D168" s="259" t="n">
        <v>0.939</v>
      </c>
      <c r="E168" s="259" t="n">
        <v>0.8954</v>
      </c>
      <c r="F168" s="259" t="n">
        <v>0.8518</v>
      </c>
      <c r="G168" s="259" t="n">
        <v>0.8083</v>
      </c>
      <c r="H168" s="226" t="n">
        <v>0.7647</v>
      </c>
    </row>
    <row r="169" customFormat="false" ht="15" hidden="false" customHeight="false" outlineLevel="0" collapsed="false">
      <c r="A169" s="256"/>
      <c r="B169" s="202" t="s">
        <v>192</v>
      </c>
      <c r="C169" s="259" t="n">
        <v>0.0174</v>
      </c>
      <c r="D169" s="259" t="n">
        <v>0.061</v>
      </c>
      <c r="E169" s="259" t="n">
        <v>0.1046</v>
      </c>
      <c r="F169" s="259" t="n">
        <v>0.1482</v>
      </c>
      <c r="G169" s="259" t="n">
        <v>0.1917</v>
      </c>
      <c r="H169" s="226" t="n">
        <v>0.2353</v>
      </c>
    </row>
    <row r="170" customFormat="false" ht="15" hidden="false" customHeight="false" outlineLevel="0" collapsed="false">
      <c r="A170" s="256"/>
      <c r="B170" s="202" t="s">
        <v>374</v>
      </c>
      <c r="C170" s="259" t="n">
        <v>0</v>
      </c>
      <c r="D170" s="259" t="n">
        <v>0</v>
      </c>
      <c r="E170" s="259" t="n">
        <v>0</v>
      </c>
      <c r="F170" s="259" t="n">
        <v>0</v>
      </c>
      <c r="G170" s="259" t="n">
        <v>0</v>
      </c>
      <c r="H170" s="226" t="n">
        <v>0</v>
      </c>
    </row>
    <row r="171" customFormat="false" ht="15" hidden="false" customHeight="false" outlineLevel="0" collapsed="false">
      <c r="A171" s="256"/>
      <c r="B171" s="202" t="s">
        <v>576</v>
      </c>
      <c r="C171" s="259" t="n">
        <v>0</v>
      </c>
      <c r="D171" s="259" t="n">
        <v>0</v>
      </c>
      <c r="E171" s="259" t="n">
        <v>0</v>
      </c>
      <c r="F171" s="259" t="n">
        <v>0</v>
      </c>
      <c r="G171" s="259" t="n">
        <v>0</v>
      </c>
      <c r="H171" s="226" t="n">
        <v>0</v>
      </c>
    </row>
    <row r="172" customFormat="false" ht="15" hidden="false" customHeight="false" outlineLevel="0" collapsed="false">
      <c r="A172" s="256" t="s">
        <v>567</v>
      </c>
      <c r="B172" s="202" t="s">
        <v>575</v>
      </c>
      <c r="C172" s="259" t="n">
        <v>0.994397759103642</v>
      </c>
      <c r="D172" s="259" t="n">
        <v>0.991596638655462</v>
      </c>
      <c r="E172" s="259" t="n">
        <v>0.988795518207283</v>
      </c>
      <c r="F172" s="259" t="n">
        <v>0.985994397759104</v>
      </c>
      <c r="G172" s="259" t="n">
        <v>0.983193277310924</v>
      </c>
      <c r="H172" s="226" t="n">
        <v>0.980392156862745</v>
      </c>
    </row>
    <row r="173" customFormat="false" ht="15" hidden="false" customHeight="false" outlineLevel="0" collapsed="false">
      <c r="A173" s="256"/>
      <c r="B173" s="202" t="s">
        <v>192</v>
      </c>
      <c r="C173" s="259" t="n">
        <v>0</v>
      </c>
      <c r="D173" s="259" t="n">
        <v>0</v>
      </c>
      <c r="E173" s="259" t="n">
        <v>0</v>
      </c>
      <c r="F173" s="259" t="n">
        <v>0</v>
      </c>
      <c r="G173" s="259" t="n">
        <v>0</v>
      </c>
      <c r="H173" s="226" t="n">
        <v>0</v>
      </c>
    </row>
    <row r="174" customFormat="false" ht="15" hidden="false" customHeight="false" outlineLevel="0" collapsed="false">
      <c r="A174" s="256"/>
      <c r="B174" s="202" t="s">
        <v>374</v>
      </c>
      <c r="C174" s="259" t="n">
        <v>0.00560224089635854</v>
      </c>
      <c r="D174" s="259" t="n">
        <v>0.00840336134453782</v>
      </c>
      <c r="E174" s="259" t="n">
        <v>0.0112044817927171</v>
      </c>
      <c r="F174" s="259" t="n">
        <v>0.0140056022408964</v>
      </c>
      <c r="G174" s="259" t="n">
        <v>0.0168067226890756</v>
      </c>
      <c r="H174" s="226" t="n">
        <v>0.0196078431372549</v>
      </c>
    </row>
    <row r="175" customFormat="false" ht="15" hidden="false" customHeight="false" outlineLevel="0" collapsed="false">
      <c r="A175" s="256"/>
      <c r="B175" s="202" t="s">
        <v>576</v>
      </c>
      <c r="C175" s="259" t="n">
        <v>0</v>
      </c>
      <c r="D175" s="259" t="n">
        <v>0</v>
      </c>
      <c r="E175" s="259" t="n">
        <v>0</v>
      </c>
      <c r="F175" s="259" t="n">
        <v>0</v>
      </c>
      <c r="G175" s="259" t="n">
        <v>0</v>
      </c>
      <c r="H175" s="226" t="n">
        <v>0</v>
      </c>
    </row>
    <row r="176" customFormat="false" ht="15" hidden="false" customHeight="false" outlineLevel="0" collapsed="false">
      <c r="A176" s="201" t="s">
        <v>580</v>
      </c>
      <c r="B176" s="202" t="s">
        <v>575</v>
      </c>
      <c r="C176" s="259" t="n">
        <v>0.9103</v>
      </c>
      <c r="D176" s="259" t="n">
        <v>0.7303</v>
      </c>
      <c r="E176" s="259" t="n">
        <v>0.5502</v>
      </c>
      <c r="F176" s="259" t="n">
        <v>0.3701</v>
      </c>
      <c r="G176" s="259" t="n">
        <v>0.19</v>
      </c>
      <c r="H176" s="226" t="n">
        <v>0.01</v>
      </c>
    </row>
    <row r="177" customFormat="false" ht="15" hidden="false" customHeight="false" outlineLevel="0" collapsed="false">
      <c r="A177" s="201"/>
      <c r="B177" s="202" t="s">
        <v>192</v>
      </c>
      <c r="C177" s="259" t="n">
        <v>0.0173</v>
      </c>
      <c r="D177" s="259" t="n">
        <v>0.0478</v>
      </c>
      <c r="E177" s="259" t="n">
        <v>0.0784</v>
      </c>
      <c r="F177" s="259" t="n">
        <v>0.1089</v>
      </c>
      <c r="G177" s="259" t="n">
        <v>0.1395</v>
      </c>
      <c r="H177" s="226" t="n">
        <v>0.17</v>
      </c>
    </row>
    <row r="178" customFormat="false" ht="15" hidden="false" customHeight="false" outlineLevel="0" collapsed="false">
      <c r="A178" s="201"/>
      <c r="B178" s="202" t="s">
        <v>374</v>
      </c>
      <c r="C178" s="259" t="n">
        <v>0.065</v>
      </c>
      <c r="D178" s="259" t="n">
        <v>0.212</v>
      </c>
      <c r="E178" s="259" t="n">
        <v>0.359</v>
      </c>
      <c r="F178" s="259" t="n">
        <v>0.506</v>
      </c>
      <c r="G178" s="259" t="n">
        <v>0.653</v>
      </c>
      <c r="H178" s="226" t="n">
        <v>0.8</v>
      </c>
    </row>
    <row r="179" customFormat="false" ht="15" hidden="false" customHeight="false" outlineLevel="0" collapsed="false">
      <c r="A179" s="201"/>
      <c r="B179" s="205" t="s">
        <v>576</v>
      </c>
      <c r="C179" s="206" t="n">
        <v>0.0074</v>
      </c>
      <c r="D179" s="206" t="n">
        <v>0.0099</v>
      </c>
      <c r="E179" s="206" t="n">
        <v>0.0124</v>
      </c>
      <c r="F179" s="206" t="n">
        <v>0.015</v>
      </c>
      <c r="G179" s="206" t="n">
        <v>0.0175</v>
      </c>
      <c r="H179" s="207" t="n">
        <v>0.02</v>
      </c>
    </row>
    <row r="180" customFormat="false" ht="15" hidden="false" customHeight="false" outlineLevel="0" collapsed="false">
      <c r="A180" s="266"/>
      <c r="B180" s="266"/>
      <c r="C180" s="266"/>
      <c r="D180" s="266"/>
      <c r="E180" s="266"/>
      <c r="F180" s="266"/>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row>
    <row r="181" customFormat="false" ht="17.35" hidden="false" customHeight="false" outlineLevel="0" collapsed="false">
      <c r="A181" s="265" t="s">
        <v>581</v>
      </c>
      <c r="B181" s="265"/>
      <c r="C181" s="265"/>
      <c r="D181" s="265"/>
      <c r="E181" s="265"/>
      <c r="F181" s="265"/>
      <c r="G181" s="265"/>
      <c r="H181" s="265"/>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row>
    <row r="182" customFormat="false" ht="15" hidden="false" customHeight="false" outlineLevel="0" collapsed="false">
      <c r="A182" s="208" t="s">
        <v>36</v>
      </c>
      <c r="B182" s="202" t="s">
        <v>36</v>
      </c>
      <c r="C182" s="203" t="n">
        <v>2025</v>
      </c>
      <c r="D182" s="203" t="n">
        <v>2030</v>
      </c>
      <c r="E182" s="203" t="n">
        <v>2035</v>
      </c>
      <c r="F182" s="203" t="n">
        <v>2040</v>
      </c>
      <c r="G182" s="203" t="n">
        <v>2045</v>
      </c>
      <c r="H182" s="204" t="n">
        <v>2050</v>
      </c>
    </row>
    <row r="183" customFormat="false" ht="15" hidden="false" customHeight="false" outlineLevel="0" collapsed="false">
      <c r="A183" s="267" t="s">
        <v>582</v>
      </c>
      <c r="B183" s="202" t="s">
        <v>583</v>
      </c>
      <c r="C183" s="259" t="n">
        <v>0</v>
      </c>
      <c r="D183" s="259" t="n">
        <v>0</v>
      </c>
      <c r="E183" s="259" t="n">
        <v>0</v>
      </c>
      <c r="F183" s="259" t="n">
        <v>0</v>
      </c>
      <c r="G183" s="259" t="n">
        <v>0</v>
      </c>
      <c r="H183" s="259" t="n">
        <v>0</v>
      </c>
      <c r="I183" s="266"/>
      <c r="J183" s="266"/>
      <c r="K183" s="266"/>
      <c r="L183" s="266"/>
      <c r="M183" s="266"/>
      <c r="N183" s="266"/>
      <c r="O183" s="266"/>
      <c r="P183" s="266"/>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row>
    <row r="184" customFormat="false" ht="15" hidden="false" customHeight="false" outlineLevel="0" collapsed="false">
      <c r="A184" s="267"/>
      <c r="B184" s="202" t="s">
        <v>584</v>
      </c>
      <c r="C184" s="259" t="n">
        <v>0.35</v>
      </c>
      <c r="D184" s="259" t="n">
        <v>0.45</v>
      </c>
      <c r="E184" s="259" t="n">
        <v>0.5</v>
      </c>
      <c r="F184" s="259" t="n">
        <v>0.55</v>
      </c>
      <c r="G184" s="259" t="n">
        <v>0.58</v>
      </c>
      <c r="H184" s="259" t="n">
        <v>0.6</v>
      </c>
      <c r="I184" s="266"/>
      <c r="J184" s="266"/>
      <c r="K184" s="266"/>
      <c r="L184" s="266"/>
      <c r="M184" s="266"/>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row>
    <row r="185" customFormat="false" ht="15" hidden="false" customHeight="false" outlineLevel="0" collapsed="false">
      <c r="A185" s="267"/>
      <c r="B185" s="202" t="s">
        <v>585</v>
      </c>
      <c r="C185" s="259" t="n">
        <v>0.15</v>
      </c>
      <c r="D185" s="259" t="n">
        <v>0.05</v>
      </c>
      <c r="E185" s="259" t="n">
        <v>0</v>
      </c>
      <c r="F185" s="259" t="n">
        <v>0</v>
      </c>
      <c r="G185" s="259" t="n">
        <v>0</v>
      </c>
      <c r="H185" s="259" t="n">
        <v>0</v>
      </c>
      <c r="I185" s="266"/>
      <c r="J185" s="266"/>
      <c r="K185" s="266"/>
      <c r="L185" s="266"/>
      <c r="M185" s="266"/>
      <c r="N185" s="266"/>
      <c r="O185" s="266"/>
      <c r="P185" s="266"/>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row>
    <row r="186" customFormat="false" ht="15" hidden="false" customHeight="false" outlineLevel="0" collapsed="false">
      <c r="A186" s="267"/>
      <c r="B186" s="202" t="s">
        <v>586</v>
      </c>
      <c r="C186" s="259" t="n">
        <v>0.4</v>
      </c>
      <c r="D186" s="259" t="n">
        <v>0.45</v>
      </c>
      <c r="E186" s="259" t="n">
        <v>0.45</v>
      </c>
      <c r="F186" s="259" t="n">
        <v>0.4</v>
      </c>
      <c r="G186" s="259" t="n">
        <v>0.37</v>
      </c>
      <c r="H186" s="259" t="n">
        <v>0.35</v>
      </c>
      <c r="I186" s="266"/>
      <c r="J186" s="266"/>
      <c r="K186" s="266"/>
      <c r="L186" s="266"/>
      <c r="M186" s="266"/>
      <c r="N186" s="266"/>
      <c r="O186" s="266"/>
      <c r="P186" s="266"/>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row>
    <row r="187" customFormat="false" ht="15" hidden="false" customHeight="false" outlineLevel="0" collapsed="false">
      <c r="A187" s="267"/>
      <c r="B187" s="202" t="s">
        <v>587</v>
      </c>
      <c r="C187" s="259" t="n">
        <v>0.1</v>
      </c>
      <c r="D187" s="259" t="n">
        <v>0.05</v>
      </c>
      <c r="E187" s="259" t="n">
        <v>0.05</v>
      </c>
      <c r="F187" s="259" t="n">
        <v>0.05</v>
      </c>
      <c r="G187" s="259" t="n">
        <v>0.05</v>
      </c>
      <c r="H187" s="259" t="n">
        <v>0.05</v>
      </c>
      <c r="I187" s="266"/>
      <c r="J187" s="266"/>
      <c r="K187" s="266"/>
      <c r="L187" s="266"/>
      <c r="M187" s="266"/>
      <c r="N187" s="266"/>
      <c r="O187" s="266"/>
      <c r="P187" s="266"/>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row>
    <row r="188" customFormat="false" ht="15" hidden="false" customHeight="false" outlineLevel="0" collapsed="false">
      <c r="A188" s="267" t="s">
        <v>579</v>
      </c>
      <c r="B188" s="202" t="s">
        <v>583</v>
      </c>
      <c r="C188" s="259" t="n">
        <v>0</v>
      </c>
      <c r="D188" s="259" t="n">
        <v>0</v>
      </c>
      <c r="E188" s="259" t="n">
        <v>0</v>
      </c>
      <c r="F188" s="259" t="n">
        <v>0</v>
      </c>
      <c r="G188" s="259" t="n">
        <v>0</v>
      </c>
      <c r="H188" s="259" t="n">
        <v>0</v>
      </c>
      <c r="I188" s="266"/>
      <c r="J188" s="266"/>
      <c r="K188" s="266"/>
      <c r="L188" s="266"/>
      <c r="M188" s="266"/>
      <c r="N188" s="266"/>
      <c r="O188" s="266"/>
      <c r="P188" s="266"/>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row>
    <row r="189" customFormat="false" ht="15" hidden="false" customHeight="false" outlineLevel="0" collapsed="false">
      <c r="A189" s="267"/>
      <c r="B189" s="202" t="s">
        <v>584</v>
      </c>
      <c r="C189" s="259" t="n">
        <v>0.65</v>
      </c>
      <c r="D189" s="259" t="n">
        <v>0.85</v>
      </c>
      <c r="E189" s="259" t="n">
        <v>0.95</v>
      </c>
      <c r="F189" s="259" t="n">
        <v>0.95</v>
      </c>
      <c r="G189" s="259" t="n">
        <v>0.95</v>
      </c>
      <c r="H189" s="259" t="n">
        <v>0.95</v>
      </c>
      <c r="I189" s="266"/>
      <c r="J189" s="266"/>
      <c r="K189" s="266"/>
      <c r="L189" s="266"/>
      <c r="M189" s="266"/>
      <c r="N189" s="266"/>
      <c r="O189" s="266"/>
      <c r="P189" s="266"/>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row>
    <row r="190" customFormat="false" ht="15" hidden="false" customHeight="false" outlineLevel="0" collapsed="false">
      <c r="A190" s="267"/>
      <c r="B190" s="202" t="s">
        <v>585</v>
      </c>
      <c r="C190" s="259" t="n">
        <v>0.25</v>
      </c>
      <c r="D190" s="259" t="n">
        <v>0.15</v>
      </c>
      <c r="E190" s="259" t="n">
        <v>0.05</v>
      </c>
      <c r="F190" s="259" t="n">
        <v>0.05</v>
      </c>
      <c r="G190" s="259" t="n">
        <v>0.05</v>
      </c>
      <c r="H190" s="259" t="n">
        <v>0.05</v>
      </c>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row>
    <row r="191" customFormat="false" ht="15" hidden="false" customHeight="false" outlineLevel="0" collapsed="false">
      <c r="A191" s="267"/>
      <c r="B191" s="202" t="s">
        <v>586</v>
      </c>
      <c r="C191" s="259" t="n">
        <v>0.1</v>
      </c>
      <c r="D191" s="259" t="n">
        <v>0</v>
      </c>
      <c r="E191" s="259" t="n">
        <v>0</v>
      </c>
      <c r="F191" s="259" t="n">
        <v>0</v>
      </c>
      <c r="G191" s="259" t="n">
        <v>0</v>
      </c>
      <c r="H191" s="259" t="n">
        <v>0</v>
      </c>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row>
    <row r="192" customFormat="false" ht="15" hidden="false" customHeight="false" outlineLevel="0" collapsed="false">
      <c r="A192" s="267"/>
      <c r="B192" s="202" t="s">
        <v>587</v>
      </c>
      <c r="C192" s="259" t="n">
        <v>0</v>
      </c>
      <c r="D192" s="259" t="n">
        <v>0</v>
      </c>
      <c r="E192" s="259" t="n">
        <v>0</v>
      </c>
      <c r="F192" s="259" t="n">
        <v>0</v>
      </c>
      <c r="G192" s="259" t="n">
        <v>0</v>
      </c>
      <c r="H192" s="259" t="n">
        <v>0</v>
      </c>
      <c r="I192" s="266"/>
      <c r="J192" s="266"/>
      <c r="K192" s="266"/>
      <c r="L192" s="266"/>
      <c r="M192" s="266"/>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row>
    <row r="193" customFormat="false" ht="15" hidden="false" customHeight="false" outlineLevel="0" collapsed="false">
      <c r="A193" s="267" t="s">
        <v>588</v>
      </c>
      <c r="B193" s="202" t="s">
        <v>583</v>
      </c>
      <c r="C193" s="259" t="n">
        <v>0</v>
      </c>
      <c r="D193" s="259" t="n">
        <v>0</v>
      </c>
      <c r="E193" s="259" t="n">
        <v>0</v>
      </c>
      <c r="F193" s="259" t="n">
        <v>0</v>
      </c>
      <c r="G193" s="259" t="n">
        <v>0</v>
      </c>
      <c r="H193" s="259" t="n">
        <v>0</v>
      </c>
      <c r="I193" s="266"/>
      <c r="J193" s="266"/>
      <c r="K193" s="266"/>
      <c r="L193" s="266"/>
      <c r="M193" s="266"/>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row>
    <row r="194" customFormat="false" ht="15" hidden="false" customHeight="false" outlineLevel="0" collapsed="false">
      <c r="A194" s="267"/>
      <c r="B194" s="202" t="s">
        <v>584</v>
      </c>
      <c r="C194" s="259" t="n">
        <v>0.2</v>
      </c>
      <c r="D194" s="259" t="n">
        <v>0.35</v>
      </c>
      <c r="E194" s="259" t="n">
        <v>0.45</v>
      </c>
      <c r="F194" s="259" t="n">
        <v>0.5</v>
      </c>
      <c r="G194" s="259" t="n">
        <v>0.52</v>
      </c>
      <c r="H194" s="259" t="n">
        <v>0.55</v>
      </c>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row>
    <row r="195" customFormat="false" ht="15" hidden="false" customHeight="false" outlineLevel="0" collapsed="false">
      <c r="A195" s="267"/>
      <c r="B195" s="202" t="s">
        <v>585</v>
      </c>
      <c r="C195" s="259" t="n">
        <v>0.65</v>
      </c>
      <c r="D195" s="259" t="n">
        <v>0.65</v>
      </c>
      <c r="E195" s="259" t="n">
        <v>0.55</v>
      </c>
      <c r="F195" s="259" t="n">
        <v>0.5</v>
      </c>
      <c r="G195" s="259" t="n">
        <v>0.48</v>
      </c>
      <c r="H195" s="259" t="n">
        <v>0.45</v>
      </c>
      <c r="I195" s="266"/>
      <c r="J195" s="266"/>
      <c r="K195" s="266"/>
      <c r="L195" s="266"/>
      <c r="M195" s="266"/>
      <c r="N195" s="266"/>
      <c r="O195" s="266"/>
      <c r="P195" s="266"/>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row>
    <row r="196" customFormat="false" ht="15" hidden="false" customHeight="false" outlineLevel="0" collapsed="false">
      <c r="A196" s="267"/>
      <c r="B196" s="202" t="s">
        <v>586</v>
      </c>
      <c r="C196" s="259" t="n">
        <v>0.15</v>
      </c>
      <c r="D196" s="259" t="n">
        <v>0</v>
      </c>
      <c r="E196" s="259" t="n">
        <v>0</v>
      </c>
      <c r="F196" s="259" t="n">
        <v>0</v>
      </c>
      <c r="G196" s="259" t="n">
        <v>0</v>
      </c>
      <c r="H196" s="259" t="n">
        <v>0</v>
      </c>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row>
    <row r="197" customFormat="false" ht="15" hidden="false" customHeight="false" outlineLevel="0" collapsed="false">
      <c r="A197" s="267"/>
      <c r="B197" s="202" t="s">
        <v>587</v>
      </c>
      <c r="C197" s="259" t="n">
        <v>0</v>
      </c>
      <c r="D197" s="259" t="n">
        <v>0</v>
      </c>
      <c r="E197" s="259" t="n">
        <v>0</v>
      </c>
      <c r="F197" s="259" t="n">
        <v>0</v>
      </c>
      <c r="G197" s="259" t="n">
        <v>0</v>
      </c>
      <c r="H197" s="259" t="n">
        <v>0</v>
      </c>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row>
    <row r="198" customFormat="false" ht="15" hidden="false" customHeight="false" outlineLevel="0" collapsed="false">
      <c r="A198" s="267" t="s">
        <v>589</v>
      </c>
      <c r="B198" s="202" t="s">
        <v>583</v>
      </c>
      <c r="C198" s="259" t="n">
        <v>0</v>
      </c>
      <c r="D198" s="259" t="n">
        <v>0</v>
      </c>
      <c r="E198" s="259" t="n">
        <v>0</v>
      </c>
      <c r="F198" s="259" t="n">
        <v>0</v>
      </c>
      <c r="G198" s="259" t="n">
        <v>0</v>
      </c>
      <c r="H198" s="259" t="n">
        <v>0</v>
      </c>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row>
    <row r="199" customFormat="false" ht="15" hidden="false" customHeight="false" outlineLevel="0" collapsed="false">
      <c r="A199" s="267"/>
      <c r="B199" s="202" t="s">
        <v>584</v>
      </c>
      <c r="C199" s="259" t="n">
        <v>0.15</v>
      </c>
      <c r="D199" s="259" t="n">
        <v>0.25</v>
      </c>
      <c r="E199" s="259" t="n">
        <v>0.3</v>
      </c>
      <c r="F199" s="259" t="n">
        <v>0.35</v>
      </c>
      <c r="G199" s="259" t="n">
        <v>0.38</v>
      </c>
      <c r="H199" s="259" t="n">
        <v>0.4</v>
      </c>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row>
    <row r="200" customFormat="false" ht="15" hidden="false" customHeight="false" outlineLevel="0" collapsed="false">
      <c r="A200" s="267"/>
      <c r="B200" s="202" t="s">
        <v>585</v>
      </c>
      <c r="C200" s="259" t="n">
        <v>0.7</v>
      </c>
      <c r="D200" s="259" t="n">
        <v>0.75</v>
      </c>
      <c r="E200" s="259" t="n">
        <v>0.7</v>
      </c>
      <c r="F200" s="259" t="n">
        <v>0.65</v>
      </c>
      <c r="G200" s="259" t="n">
        <v>0.62</v>
      </c>
      <c r="H200" s="259" t="n">
        <v>0.6</v>
      </c>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row>
    <row r="201" customFormat="false" ht="15" hidden="false" customHeight="false" outlineLevel="0" collapsed="false">
      <c r="A201" s="267"/>
      <c r="B201" s="202" t="s">
        <v>586</v>
      </c>
      <c r="C201" s="259" t="n">
        <v>0.15</v>
      </c>
      <c r="D201" s="259" t="n">
        <v>0</v>
      </c>
      <c r="E201" s="259" t="n">
        <v>0</v>
      </c>
      <c r="F201" s="259" t="n">
        <v>0</v>
      </c>
      <c r="G201" s="259" t="n">
        <v>0</v>
      </c>
      <c r="H201" s="259" t="n">
        <v>0</v>
      </c>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row>
    <row r="202" customFormat="false" ht="15" hidden="false" customHeight="false" outlineLevel="0" collapsed="false">
      <c r="A202" s="267"/>
      <c r="B202" s="202" t="s">
        <v>587</v>
      </c>
      <c r="C202" s="259" t="n">
        <v>0</v>
      </c>
      <c r="D202" s="259" t="n">
        <v>0</v>
      </c>
      <c r="E202" s="259" t="n">
        <v>0</v>
      </c>
      <c r="F202" s="259" t="n">
        <v>0</v>
      </c>
      <c r="G202" s="259" t="n">
        <v>0</v>
      </c>
      <c r="H202" s="259" t="n">
        <v>0</v>
      </c>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row>
    <row r="203" customFormat="false" ht="15" hidden="false" customHeight="true" outlineLevel="0" collapsed="false"/>
    <row r="204" customFormat="false" ht="21.75" hidden="false" customHeight="true" outlineLevel="0" collapsed="false">
      <c r="A204" s="199" t="s">
        <v>590</v>
      </c>
    </row>
    <row r="205" customFormat="false" ht="17.35" hidden="false" customHeight="false" outlineLevel="0" collapsed="false">
      <c r="A205" s="200" t="s">
        <v>317</v>
      </c>
      <c r="B205" s="200"/>
      <c r="C205" s="200"/>
      <c r="D205" s="200"/>
      <c r="E205" s="200"/>
    </row>
    <row r="206" customFormat="false" ht="85.5" hidden="false" customHeight="true" outlineLevel="0" collapsed="false">
      <c r="A206" s="268" t="s">
        <v>318</v>
      </c>
      <c r="B206" s="268"/>
      <c r="C206" s="268"/>
      <c r="D206" s="268"/>
      <c r="E206" s="268"/>
    </row>
    <row r="207" customFormat="false" ht="15" hidden="false" customHeight="true" outlineLevel="0" collapsed="false">
      <c r="A207" s="78"/>
      <c r="B207" s="78"/>
      <c r="C207" s="78"/>
      <c r="D207" s="78"/>
      <c r="E207" s="78"/>
      <c r="F207" s="78"/>
      <c r="G207" s="78" t="s">
        <v>591</v>
      </c>
      <c r="H207" s="78" t="n">
        <v>2025</v>
      </c>
      <c r="I207" s="78" t="n">
        <v>2030</v>
      </c>
      <c r="J207" s="78" t="n">
        <v>2035</v>
      </c>
      <c r="K207" s="78" t="n">
        <v>2040</v>
      </c>
      <c r="L207" s="78" t="n">
        <v>2045</v>
      </c>
      <c r="M207" s="78" t="n">
        <v>2050</v>
      </c>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row>
    <row r="208" customFormat="false" ht="13.5" hidden="false" customHeight="true" outlineLevel="0" collapsed="false">
      <c r="A208" s="269" t="s">
        <v>319</v>
      </c>
      <c r="B208" s="270" t="s">
        <v>320</v>
      </c>
      <c r="C208" s="271" t="n">
        <v>3</v>
      </c>
      <c r="D208" s="78"/>
      <c r="F208" s="78"/>
      <c r="G208" s="78" t="s">
        <v>592</v>
      </c>
      <c r="H208" s="78" t="n">
        <v>0.11765198</v>
      </c>
      <c r="I208" s="78" t="n">
        <v>0.09412158</v>
      </c>
      <c r="J208" s="78" t="n">
        <v>0.07059119</v>
      </c>
      <c r="K208" s="149" t="n">
        <v>0.04706079</v>
      </c>
      <c r="L208" s="149" t="n">
        <v>0.02353039</v>
      </c>
      <c r="M208" s="78" t="n">
        <v>0</v>
      </c>
      <c r="N208" s="78"/>
    </row>
    <row r="209" customFormat="false" ht="15.75" hidden="false" customHeight="false" outlineLevel="0" collapsed="false">
      <c r="A209" s="269"/>
      <c r="B209" s="202" t="s">
        <v>321</v>
      </c>
      <c r="C209" s="271"/>
      <c r="D209" s="151"/>
      <c r="E209" s="151"/>
      <c r="F209" s="151"/>
      <c r="G209" s="151" t="s">
        <v>593</v>
      </c>
      <c r="H209" s="151" t="n">
        <v>0</v>
      </c>
      <c r="I209" s="151" t="n">
        <v>0</v>
      </c>
      <c r="J209" s="151" t="n">
        <v>0</v>
      </c>
      <c r="K209" s="151" t="n">
        <v>0</v>
      </c>
      <c r="L209" s="151" t="n">
        <v>0</v>
      </c>
      <c r="M209" s="151" t="n">
        <v>0</v>
      </c>
      <c r="N209" s="151"/>
    </row>
    <row r="210" customFormat="false" ht="28.5" hidden="false" customHeight="true" outlineLevel="0" collapsed="false">
      <c r="A210" s="269"/>
      <c r="B210" s="205" t="s">
        <v>322</v>
      </c>
      <c r="C210" s="271"/>
      <c r="D210" s="78"/>
      <c r="E210" s="78"/>
      <c r="F210" s="78"/>
      <c r="G210" s="78" t="s">
        <v>594</v>
      </c>
      <c r="H210" s="78" t="n">
        <v>0.88234802</v>
      </c>
      <c r="I210" s="78" t="n">
        <v>0.90587842</v>
      </c>
      <c r="J210" s="78" t="n">
        <v>0.92940881</v>
      </c>
      <c r="K210" s="78" t="n">
        <v>0.95293921</v>
      </c>
      <c r="L210" s="78" t="n">
        <v>0.97646961</v>
      </c>
      <c r="M210" s="78" t="n">
        <v>1</v>
      </c>
      <c r="N210" s="78"/>
    </row>
    <row r="211" customFormat="false" ht="15" hidden="false" customHeight="false" outlineLevel="0" collapsed="false">
      <c r="G211" s="1" t="s">
        <v>595</v>
      </c>
      <c r="H211" s="1" t="n">
        <v>0</v>
      </c>
      <c r="I211" s="1" t="n">
        <v>0</v>
      </c>
      <c r="J211" s="1" t="n">
        <v>0</v>
      </c>
      <c r="K211" s="1" t="n">
        <v>0</v>
      </c>
      <c r="L211" s="1" t="n">
        <v>0</v>
      </c>
      <c r="M211" s="1" t="n">
        <v>0</v>
      </c>
    </row>
    <row r="212" customFormat="false" ht="15.75" hidden="false" customHeight="true" outlineLevel="0" collapsed="false">
      <c r="A212" s="200" t="s">
        <v>323</v>
      </c>
      <c r="B212" s="200"/>
      <c r="C212" s="200"/>
    </row>
    <row r="213" customFormat="false" ht="15" hidden="false" customHeight="false" outlineLevel="0" collapsed="false">
      <c r="A213" s="208" t="s">
        <v>324</v>
      </c>
      <c r="B213" s="202" t="s">
        <v>28</v>
      </c>
      <c r="C213" s="204" t="n">
        <v>0.3</v>
      </c>
    </row>
    <row r="214" customFormat="false" ht="30.75" hidden="false" customHeight="false" outlineLevel="0" collapsed="false">
      <c r="A214" s="272" t="s">
        <v>326</v>
      </c>
      <c r="B214" s="205" t="s">
        <v>327</v>
      </c>
      <c r="C214" s="248" t="n">
        <v>0.031</v>
      </c>
    </row>
    <row r="215" customFormat="false" ht="15.75" hidden="false" customHeight="true" outlineLevel="0" collapsed="false">
      <c r="A215" s="239" t="s">
        <v>596</v>
      </c>
      <c r="B215" s="239"/>
      <c r="C215" s="273" t="s">
        <v>580</v>
      </c>
      <c r="D215" s="273" t="s">
        <v>597</v>
      </c>
      <c r="E215" s="273" t="s">
        <v>598</v>
      </c>
      <c r="F215" s="273" t="s">
        <v>599</v>
      </c>
      <c r="G215" s="273" t="s">
        <v>600</v>
      </c>
      <c r="H215" s="273" t="s">
        <v>601</v>
      </c>
      <c r="I215" s="273" t="s">
        <v>602</v>
      </c>
      <c r="J215" s="273" t="s">
        <v>603</v>
      </c>
      <c r="K215" s="273" t="s">
        <v>354</v>
      </c>
      <c r="L215" s="273" t="s">
        <v>369</v>
      </c>
      <c r="M215" s="273" t="s">
        <v>604</v>
      </c>
      <c r="N215" s="273" t="s">
        <v>605</v>
      </c>
      <c r="O215" s="273" t="s">
        <v>606</v>
      </c>
      <c r="P215" s="273" t="s">
        <v>607</v>
      </c>
      <c r="Q215" s="274" t="s">
        <v>608</v>
      </c>
      <c r="R215" s="274" t="s">
        <v>609</v>
      </c>
      <c r="S215" s="274" t="s">
        <v>610</v>
      </c>
      <c r="T215" s="274" t="s">
        <v>611</v>
      </c>
      <c r="U215" s="274" t="s">
        <v>612</v>
      </c>
      <c r="V215" s="274" t="s">
        <v>613</v>
      </c>
      <c r="W215" s="274" t="s">
        <v>614</v>
      </c>
      <c r="X215" s="274" t="s">
        <v>615</v>
      </c>
      <c r="Y215" s="274" t="s">
        <v>616</v>
      </c>
      <c r="Z215" s="274" t="s">
        <v>617</v>
      </c>
      <c r="AA215" s="274" t="s">
        <v>618</v>
      </c>
      <c r="AB215" s="274" t="s">
        <v>619</v>
      </c>
      <c r="AC215" s="274" t="s">
        <v>620</v>
      </c>
      <c r="AD215" s="274" t="s">
        <v>621</v>
      </c>
      <c r="AE215" s="1" t="s">
        <v>622</v>
      </c>
      <c r="AF215" s="1" t="s">
        <v>623</v>
      </c>
      <c r="AG215" s="1" t="s">
        <v>624</v>
      </c>
      <c r="AH215" s="1" t="s">
        <v>625</v>
      </c>
      <c r="AI215" s="1" t="s">
        <v>626</v>
      </c>
      <c r="AJ215" s="1" t="s">
        <v>627</v>
      </c>
      <c r="AK215" s="1" t="s">
        <v>628</v>
      </c>
      <c r="AL215" s="1" t="s">
        <v>629</v>
      </c>
      <c r="AM215" s="1" t="s">
        <v>630</v>
      </c>
      <c r="AN215" s="1" t="s">
        <v>631</v>
      </c>
      <c r="AO215" s="1" t="s">
        <v>632</v>
      </c>
      <c r="AP215" s="1" t="s">
        <v>633</v>
      </c>
      <c r="AQ215" s="1" t="s">
        <v>634</v>
      </c>
      <c r="AR215" s="1" t="s">
        <v>635</v>
      </c>
      <c r="AS215" s="1" t="s">
        <v>636</v>
      </c>
      <c r="AT215" s="1" t="s">
        <v>637</v>
      </c>
      <c r="AU215" s="1" t="s">
        <v>638</v>
      </c>
      <c r="AV215" s="1" t="s">
        <v>639</v>
      </c>
      <c r="AW215" s="1" t="s">
        <v>640</v>
      </c>
      <c r="AX215" s="1" t="s">
        <v>641</v>
      </c>
      <c r="AY215" s="1" t="s">
        <v>642</v>
      </c>
      <c r="AZ215" s="1" t="s">
        <v>643</v>
      </c>
    </row>
    <row r="216" customFormat="false" ht="15" hidden="false" customHeight="false" outlineLevel="0" collapsed="false">
      <c r="A216" s="275" t="s">
        <v>374</v>
      </c>
      <c r="B216" s="275"/>
      <c r="C216" s="276" t="n">
        <v>2030</v>
      </c>
      <c r="D216" s="276" t="n">
        <v>2030</v>
      </c>
      <c r="E216" s="276" t="n">
        <v>2030</v>
      </c>
      <c r="F216" s="276" t="n">
        <v>2030</v>
      </c>
      <c r="G216" s="276" t="n">
        <v>2030</v>
      </c>
      <c r="H216" s="276" t="n">
        <v>2030</v>
      </c>
      <c r="I216" s="276" t="n">
        <v>2030</v>
      </c>
      <c r="J216" s="276" t="n">
        <v>2030</v>
      </c>
      <c r="K216" s="276" t="n">
        <v>2030</v>
      </c>
      <c r="L216" s="276" t="n">
        <v>2030</v>
      </c>
      <c r="M216" s="276" t="n">
        <v>2030</v>
      </c>
      <c r="N216" s="276" t="n">
        <v>2030</v>
      </c>
      <c r="O216" s="276" t="n">
        <v>2030</v>
      </c>
      <c r="P216" s="276" t="n">
        <v>2030</v>
      </c>
      <c r="Q216" s="277" t="n">
        <v>2030</v>
      </c>
      <c r="R216" s="277" t="n">
        <v>2030</v>
      </c>
      <c r="S216" s="277" t="n">
        <v>2030</v>
      </c>
      <c r="T216" s="277" t="n">
        <v>2030</v>
      </c>
      <c r="U216" s="277" t="n">
        <v>2030</v>
      </c>
      <c r="V216" s="277" t="n">
        <v>2030</v>
      </c>
      <c r="W216" s="277" t="n">
        <v>2030</v>
      </c>
      <c r="X216" s="277" t="n">
        <v>2030</v>
      </c>
      <c r="Y216" s="277" t="n">
        <v>2030</v>
      </c>
      <c r="Z216" s="277" t="n">
        <v>2030</v>
      </c>
      <c r="AA216" s="277" t="n">
        <v>2030</v>
      </c>
      <c r="AB216" s="277" t="n">
        <v>2030</v>
      </c>
      <c r="AC216" s="277" t="n">
        <v>2030</v>
      </c>
      <c r="AD216" s="277" t="n">
        <v>2030</v>
      </c>
      <c r="AE216" s="277" t="n">
        <v>2030</v>
      </c>
      <c r="AF216" s="277" t="n">
        <v>2030</v>
      </c>
      <c r="AG216" s="277" t="n">
        <v>2030</v>
      </c>
      <c r="AH216" s="277" t="n">
        <v>2030</v>
      </c>
      <c r="AI216" s="277" t="n">
        <v>2030</v>
      </c>
      <c r="AJ216" s="277" t="n">
        <v>2030</v>
      </c>
      <c r="AK216" s="277" t="n">
        <v>2030</v>
      </c>
      <c r="AL216" s="277" t="n">
        <v>2030</v>
      </c>
      <c r="AM216" s="277" t="n">
        <v>2030</v>
      </c>
      <c r="AN216" s="277" t="n">
        <v>2030</v>
      </c>
      <c r="AO216" s="277" t="n">
        <v>2030</v>
      </c>
      <c r="AP216" s="277" t="n">
        <v>2030</v>
      </c>
      <c r="AQ216" s="277" t="n">
        <v>2030</v>
      </c>
      <c r="AR216" s="277" t="n">
        <v>2030</v>
      </c>
      <c r="AS216" s="277" t="n">
        <v>2030</v>
      </c>
      <c r="AT216" s="277" t="n">
        <v>2030</v>
      </c>
      <c r="AU216" s="277" t="n">
        <v>2030</v>
      </c>
      <c r="AV216" s="277" t="n">
        <v>2030</v>
      </c>
      <c r="AW216" s="277" t="n">
        <v>2030</v>
      </c>
      <c r="AX216" s="277" t="n">
        <v>2030</v>
      </c>
      <c r="AY216" s="277" t="n">
        <v>2030</v>
      </c>
      <c r="AZ216" s="277" t="n">
        <v>2030</v>
      </c>
    </row>
    <row r="217" customFormat="false" ht="15" hidden="false" customHeight="false" outlineLevel="0" collapsed="false">
      <c r="A217" s="275" t="s">
        <v>375</v>
      </c>
      <c r="B217" s="275"/>
      <c r="C217" s="276" t="n">
        <v>2030</v>
      </c>
      <c r="D217" s="276" t="n">
        <v>2030</v>
      </c>
      <c r="E217" s="276" t="n">
        <v>2030</v>
      </c>
      <c r="F217" s="276" t="n">
        <v>2030</v>
      </c>
      <c r="G217" s="276" t="n">
        <v>2030</v>
      </c>
      <c r="H217" s="276" t="n">
        <v>2030</v>
      </c>
      <c r="I217" s="276" t="n">
        <v>2030</v>
      </c>
      <c r="J217" s="276" t="n">
        <v>2030</v>
      </c>
      <c r="K217" s="276" t="n">
        <v>2030</v>
      </c>
      <c r="L217" s="276" t="n">
        <v>2030</v>
      </c>
      <c r="M217" s="276" t="n">
        <v>2030</v>
      </c>
      <c r="N217" s="276" t="n">
        <v>2030</v>
      </c>
      <c r="O217" s="276" t="n">
        <v>2030</v>
      </c>
      <c r="P217" s="276" t="n">
        <v>2030</v>
      </c>
      <c r="Q217" s="277" t="n">
        <v>2030</v>
      </c>
      <c r="R217" s="277" t="n">
        <v>2030</v>
      </c>
      <c r="S217" s="277" t="n">
        <v>2030</v>
      </c>
      <c r="T217" s="277" t="n">
        <v>2030</v>
      </c>
      <c r="U217" s="277" t="n">
        <v>2030</v>
      </c>
      <c r="V217" s="277" t="n">
        <v>2030</v>
      </c>
      <c r="W217" s="277" t="n">
        <v>2030</v>
      </c>
      <c r="X217" s="277" t="n">
        <v>2030</v>
      </c>
      <c r="Y217" s="277" t="n">
        <v>2030</v>
      </c>
      <c r="Z217" s="277" t="n">
        <v>2030</v>
      </c>
      <c r="AA217" s="277" t="n">
        <v>2030</v>
      </c>
      <c r="AB217" s="277" t="n">
        <v>2030</v>
      </c>
      <c r="AC217" s="277" t="n">
        <v>2030</v>
      </c>
      <c r="AD217" s="277" t="n">
        <v>2030</v>
      </c>
      <c r="AE217" s="277" t="n">
        <v>2030</v>
      </c>
      <c r="AF217" s="277" t="n">
        <v>2030</v>
      </c>
      <c r="AG217" s="277" t="n">
        <v>2030</v>
      </c>
      <c r="AH217" s="277" t="n">
        <v>2030</v>
      </c>
      <c r="AI217" s="277" t="n">
        <v>2030</v>
      </c>
      <c r="AJ217" s="277" t="n">
        <v>2030</v>
      </c>
      <c r="AK217" s="277" t="n">
        <v>2030</v>
      </c>
      <c r="AL217" s="277" t="n">
        <v>2030</v>
      </c>
      <c r="AM217" s="277" t="n">
        <v>2030</v>
      </c>
      <c r="AN217" s="277" t="n">
        <v>2030</v>
      </c>
      <c r="AO217" s="277" t="n">
        <v>2030</v>
      </c>
      <c r="AP217" s="277" t="n">
        <v>2030</v>
      </c>
      <c r="AQ217" s="277" t="n">
        <v>2030</v>
      </c>
      <c r="AR217" s="277" t="n">
        <v>2030</v>
      </c>
      <c r="AS217" s="277" t="n">
        <v>2030</v>
      </c>
      <c r="AT217" s="277" t="n">
        <v>2030</v>
      </c>
      <c r="AU217" s="277" t="n">
        <v>2030</v>
      </c>
      <c r="AV217" s="277" t="n">
        <v>2030</v>
      </c>
      <c r="AW217" s="277" t="n">
        <v>2030</v>
      </c>
      <c r="AX217" s="277" t="n">
        <v>2030</v>
      </c>
      <c r="AY217" s="277" t="n">
        <v>2030</v>
      </c>
      <c r="AZ217" s="277" t="n">
        <v>2030</v>
      </c>
    </row>
    <row r="218" customFormat="false" ht="15" hidden="false" customHeight="false" outlineLevel="0" collapsed="false">
      <c r="A218" s="275" t="s">
        <v>376</v>
      </c>
      <c r="B218" s="275"/>
      <c r="C218" s="276" t="n">
        <v>2030</v>
      </c>
      <c r="D218" s="276" t="n">
        <v>2030</v>
      </c>
      <c r="E218" s="276" t="n">
        <v>2030</v>
      </c>
      <c r="F218" s="276" t="n">
        <v>2030</v>
      </c>
      <c r="G218" s="276" t="n">
        <v>2030</v>
      </c>
      <c r="H218" s="276" t="n">
        <v>2030</v>
      </c>
      <c r="I218" s="276" t="n">
        <v>2030</v>
      </c>
      <c r="J218" s="276" t="n">
        <v>2030</v>
      </c>
      <c r="K218" s="276" t="n">
        <v>2030</v>
      </c>
      <c r="L218" s="276" t="n">
        <v>2030</v>
      </c>
      <c r="M218" s="276" t="n">
        <v>2030</v>
      </c>
      <c r="N218" s="276" t="n">
        <v>2030</v>
      </c>
      <c r="O218" s="276" t="n">
        <v>2030</v>
      </c>
      <c r="P218" s="276" t="n">
        <v>2030</v>
      </c>
      <c r="Q218" s="277" t="n">
        <v>2030</v>
      </c>
      <c r="R218" s="277" t="n">
        <v>2030</v>
      </c>
      <c r="S218" s="277" t="n">
        <v>2030</v>
      </c>
      <c r="T218" s="277" t="n">
        <v>2030</v>
      </c>
      <c r="U218" s="277" t="n">
        <v>2030</v>
      </c>
      <c r="V218" s="277" t="n">
        <v>2030</v>
      </c>
      <c r="W218" s="277" t="n">
        <v>2030</v>
      </c>
      <c r="X218" s="277" t="n">
        <v>2030</v>
      </c>
      <c r="Y218" s="277" t="n">
        <v>2030</v>
      </c>
      <c r="Z218" s="277" t="n">
        <v>2030</v>
      </c>
      <c r="AA218" s="277" t="n">
        <v>2030</v>
      </c>
      <c r="AB218" s="277" t="n">
        <v>2030</v>
      </c>
      <c r="AC218" s="277" t="n">
        <v>2030</v>
      </c>
      <c r="AD218" s="277" t="n">
        <v>2030</v>
      </c>
      <c r="AE218" s="277" t="n">
        <v>2030</v>
      </c>
      <c r="AF218" s="277" t="n">
        <v>2030</v>
      </c>
      <c r="AG218" s="277" t="n">
        <v>2030</v>
      </c>
      <c r="AH218" s="277" t="n">
        <v>2030</v>
      </c>
      <c r="AI218" s="277" t="n">
        <v>2030</v>
      </c>
      <c r="AJ218" s="277" t="n">
        <v>2030</v>
      </c>
      <c r="AK218" s="277" t="n">
        <v>2030</v>
      </c>
      <c r="AL218" s="277" t="n">
        <v>2030</v>
      </c>
      <c r="AM218" s="277" t="n">
        <v>2030</v>
      </c>
      <c r="AN218" s="277" t="n">
        <v>2030</v>
      </c>
      <c r="AO218" s="277" t="n">
        <v>2030</v>
      </c>
      <c r="AP218" s="277" t="n">
        <v>2030</v>
      </c>
      <c r="AQ218" s="277" t="n">
        <v>2030</v>
      </c>
      <c r="AR218" s="277" t="n">
        <v>2030</v>
      </c>
      <c r="AS218" s="277" t="n">
        <v>2030</v>
      </c>
      <c r="AT218" s="277" t="n">
        <v>2030</v>
      </c>
      <c r="AU218" s="277" t="n">
        <v>2030</v>
      </c>
      <c r="AV218" s="277" t="n">
        <v>2030</v>
      </c>
      <c r="AW218" s="277" t="n">
        <v>2030</v>
      </c>
      <c r="AX218" s="277" t="n">
        <v>2030</v>
      </c>
      <c r="AY218" s="277" t="n">
        <v>2030</v>
      </c>
      <c r="AZ218" s="277" t="n">
        <v>2030</v>
      </c>
    </row>
    <row r="219" customFormat="false" ht="15" hidden="false" customHeight="false" outlineLevel="0" collapsed="false">
      <c r="A219" s="275" t="s">
        <v>377</v>
      </c>
      <c r="B219" s="275"/>
      <c r="C219" s="276" t="n">
        <v>2030</v>
      </c>
      <c r="D219" s="276" t="n">
        <v>2030</v>
      </c>
      <c r="E219" s="276" t="n">
        <v>2030</v>
      </c>
      <c r="F219" s="276" t="n">
        <v>2030</v>
      </c>
      <c r="G219" s="276" t="n">
        <v>2030</v>
      </c>
      <c r="H219" s="276" t="n">
        <v>2030</v>
      </c>
      <c r="I219" s="276" t="n">
        <v>2030</v>
      </c>
      <c r="J219" s="276" t="n">
        <v>2030</v>
      </c>
      <c r="K219" s="276" t="n">
        <v>2030</v>
      </c>
      <c r="L219" s="276" t="n">
        <v>2030</v>
      </c>
      <c r="M219" s="276" t="n">
        <v>2030</v>
      </c>
      <c r="N219" s="276" t="n">
        <v>2030</v>
      </c>
      <c r="O219" s="276" t="n">
        <v>2030</v>
      </c>
      <c r="P219" s="276" t="n">
        <v>2030</v>
      </c>
      <c r="Q219" s="277" t="n">
        <v>2030</v>
      </c>
      <c r="R219" s="277" t="n">
        <v>2030</v>
      </c>
      <c r="S219" s="277" t="n">
        <v>2030</v>
      </c>
      <c r="T219" s="277" t="n">
        <v>2030</v>
      </c>
      <c r="U219" s="277" t="n">
        <v>2030</v>
      </c>
      <c r="V219" s="277" t="n">
        <v>2030</v>
      </c>
      <c r="W219" s="277" t="n">
        <v>2030</v>
      </c>
      <c r="X219" s="277" t="n">
        <v>2030</v>
      </c>
      <c r="Y219" s="277" t="n">
        <v>2030</v>
      </c>
      <c r="Z219" s="277" t="n">
        <v>2030</v>
      </c>
      <c r="AA219" s="277" t="n">
        <v>2030</v>
      </c>
      <c r="AB219" s="277" t="n">
        <v>2030</v>
      </c>
      <c r="AC219" s="277" t="n">
        <v>2030</v>
      </c>
      <c r="AD219" s="277" t="n">
        <v>2030</v>
      </c>
      <c r="AE219" s="277" t="n">
        <v>2030</v>
      </c>
      <c r="AF219" s="277" t="n">
        <v>2030</v>
      </c>
      <c r="AG219" s="277" t="n">
        <v>2030</v>
      </c>
      <c r="AH219" s="277" t="n">
        <v>2030</v>
      </c>
      <c r="AI219" s="277" t="n">
        <v>2030</v>
      </c>
      <c r="AJ219" s="277" t="n">
        <v>2030</v>
      </c>
      <c r="AK219" s="277" t="n">
        <v>2030</v>
      </c>
      <c r="AL219" s="277" t="n">
        <v>2030</v>
      </c>
      <c r="AM219" s="277" t="n">
        <v>2030</v>
      </c>
      <c r="AN219" s="277" t="n">
        <v>2030</v>
      </c>
      <c r="AO219" s="277" t="n">
        <v>2030</v>
      </c>
      <c r="AP219" s="277" t="n">
        <v>2030</v>
      </c>
      <c r="AQ219" s="277" t="n">
        <v>2030</v>
      </c>
      <c r="AR219" s="277" t="n">
        <v>2030</v>
      </c>
      <c r="AS219" s="277" t="n">
        <v>2030</v>
      </c>
      <c r="AT219" s="277" t="n">
        <v>2030</v>
      </c>
      <c r="AU219" s="277" t="n">
        <v>2030</v>
      </c>
      <c r="AV219" s="277" t="n">
        <v>2030</v>
      </c>
      <c r="AW219" s="277" t="n">
        <v>2030</v>
      </c>
      <c r="AX219" s="277" t="n">
        <v>2030</v>
      </c>
      <c r="AY219" s="277" t="n">
        <v>2030</v>
      </c>
      <c r="AZ219" s="277" t="n">
        <v>2030</v>
      </c>
    </row>
    <row r="220" customFormat="false" ht="15" hidden="false" customHeight="false" outlineLevel="0" collapsed="false">
      <c r="A220" s="275" t="s">
        <v>378</v>
      </c>
      <c r="B220" s="275"/>
      <c r="C220" s="276" t="n">
        <v>2030</v>
      </c>
      <c r="D220" s="276" t="n">
        <v>2030</v>
      </c>
      <c r="E220" s="276" t="n">
        <v>2030</v>
      </c>
      <c r="F220" s="276" t="n">
        <v>2030</v>
      </c>
      <c r="G220" s="276" t="n">
        <v>2030</v>
      </c>
      <c r="H220" s="276" t="n">
        <v>2030</v>
      </c>
      <c r="I220" s="276" t="n">
        <v>2030</v>
      </c>
      <c r="J220" s="276" t="n">
        <v>2030</v>
      </c>
      <c r="K220" s="276" t="n">
        <v>2030</v>
      </c>
      <c r="L220" s="276" t="n">
        <v>2030</v>
      </c>
      <c r="M220" s="276" t="n">
        <v>2030</v>
      </c>
      <c r="N220" s="276" t="n">
        <v>2030</v>
      </c>
      <c r="O220" s="276" t="n">
        <v>2030</v>
      </c>
      <c r="P220" s="276" t="n">
        <v>2030</v>
      </c>
      <c r="Q220" s="277" t="n">
        <v>2030</v>
      </c>
      <c r="R220" s="277" t="n">
        <v>2030</v>
      </c>
      <c r="S220" s="277" t="n">
        <v>2030</v>
      </c>
      <c r="T220" s="277" t="n">
        <v>2030</v>
      </c>
      <c r="U220" s="277" t="n">
        <v>2030</v>
      </c>
      <c r="V220" s="277" t="n">
        <v>2030</v>
      </c>
      <c r="W220" s="277" t="n">
        <v>2030</v>
      </c>
      <c r="X220" s="277" t="n">
        <v>2030</v>
      </c>
      <c r="Y220" s="277" t="n">
        <v>2030</v>
      </c>
      <c r="Z220" s="277" t="n">
        <v>2030</v>
      </c>
      <c r="AA220" s="277" t="n">
        <v>2030</v>
      </c>
      <c r="AB220" s="277" t="n">
        <v>2030</v>
      </c>
      <c r="AC220" s="277" t="n">
        <v>2030</v>
      </c>
      <c r="AD220" s="277" t="n">
        <v>2030</v>
      </c>
      <c r="AE220" s="277" t="n">
        <v>2030</v>
      </c>
      <c r="AF220" s="277" t="n">
        <v>2030</v>
      </c>
      <c r="AG220" s="277" t="n">
        <v>2030</v>
      </c>
      <c r="AH220" s="277" t="n">
        <v>2030</v>
      </c>
      <c r="AI220" s="277" t="n">
        <v>2030</v>
      </c>
      <c r="AJ220" s="277" t="n">
        <v>2030</v>
      </c>
      <c r="AK220" s="277" t="n">
        <v>2030</v>
      </c>
      <c r="AL220" s="277" t="n">
        <v>2030</v>
      </c>
      <c r="AM220" s="277" t="n">
        <v>2030</v>
      </c>
      <c r="AN220" s="277" t="n">
        <v>2030</v>
      </c>
      <c r="AO220" s="277" t="n">
        <v>2030</v>
      </c>
      <c r="AP220" s="277" t="n">
        <v>2030</v>
      </c>
      <c r="AQ220" s="277" t="n">
        <v>2030</v>
      </c>
      <c r="AR220" s="277" t="n">
        <v>2030</v>
      </c>
      <c r="AS220" s="277" t="n">
        <v>2030</v>
      </c>
      <c r="AT220" s="277" t="n">
        <v>2030</v>
      </c>
      <c r="AU220" s="277" t="n">
        <v>2030</v>
      </c>
      <c r="AV220" s="277" t="n">
        <v>2030</v>
      </c>
      <c r="AW220" s="277" t="n">
        <v>2030</v>
      </c>
      <c r="AX220" s="277" t="n">
        <v>2030</v>
      </c>
      <c r="AY220" s="277" t="n">
        <v>2030</v>
      </c>
      <c r="AZ220" s="277" t="n">
        <v>2030</v>
      </c>
    </row>
    <row r="221" customFormat="false" ht="15.75" hidden="false" customHeight="true" outlineLevel="0" collapsed="false">
      <c r="A221" s="200" t="s">
        <v>644</v>
      </c>
      <c r="B221" s="200"/>
      <c r="C221" s="200"/>
      <c r="D221" s="200"/>
      <c r="E221" s="200"/>
      <c r="F221" s="200"/>
      <c r="G221" s="200"/>
      <c r="H221" s="200"/>
      <c r="I221" s="200"/>
      <c r="J221" s="200"/>
      <c r="K221" s="200"/>
      <c r="L221" s="200"/>
      <c r="M221" s="200"/>
      <c r="N221" s="200"/>
      <c r="O221" s="200"/>
      <c r="P221" s="200"/>
      <c r="Q221" s="200"/>
    </row>
    <row r="222" customFormat="false" ht="15" hidden="false" customHeight="false" outlineLevel="0" collapsed="false">
      <c r="A222" s="275" t="s">
        <v>374</v>
      </c>
      <c r="B222" s="275"/>
      <c r="C222" s="276" t="n">
        <v>1</v>
      </c>
      <c r="D222" s="276" t="n">
        <v>1</v>
      </c>
      <c r="E222" s="276" t="n">
        <v>1</v>
      </c>
      <c r="F222" s="276" t="n">
        <v>1</v>
      </c>
      <c r="G222" s="276" t="n">
        <v>1</v>
      </c>
      <c r="H222" s="276" t="n">
        <v>1</v>
      </c>
      <c r="I222" s="276" t="n">
        <v>1</v>
      </c>
      <c r="J222" s="276" t="n">
        <v>1</v>
      </c>
      <c r="K222" s="276" t="n">
        <v>1</v>
      </c>
      <c r="L222" s="276" t="n">
        <v>1</v>
      </c>
      <c r="M222" s="276" t="n">
        <v>1</v>
      </c>
      <c r="N222" s="276" t="n">
        <v>1</v>
      </c>
      <c r="O222" s="276" t="n">
        <v>1</v>
      </c>
      <c r="P222" s="276" t="n">
        <v>1</v>
      </c>
      <c r="Q222" s="277" t="n">
        <v>1</v>
      </c>
      <c r="R222" s="277" t="n">
        <v>1</v>
      </c>
      <c r="S222" s="277" t="n">
        <v>1</v>
      </c>
      <c r="T222" s="277" t="n">
        <v>1</v>
      </c>
      <c r="U222" s="277" t="n">
        <v>1</v>
      </c>
      <c r="V222" s="277" t="n">
        <v>1</v>
      </c>
      <c r="W222" s="277" t="n">
        <v>1</v>
      </c>
      <c r="X222" s="277" t="n">
        <v>1</v>
      </c>
      <c r="Y222" s="277" t="n">
        <v>1</v>
      </c>
      <c r="Z222" s="277" t="n">
        <v>1</v>
      </c>
      <c r="AA222" s="277" t="n">
        <v>1</v>
      </c>
      <c r="AB222" s="277" t="n">
        <v>1</v>
      </c>
      <c r="AC222" s="277" t="n">
        <v>1</v>
      </c>
      <c r="AD222" s="277" t="n">
        <v>1</v>
      </c>
      <c r="AE222" s="277" t="n">
        <v>1</v>
      </c>
      <c r="AF222" s="277" t="n">
        <v>1</v>
      </c>
      <c r="AG222" s="277" t="n">
        <v>1</v>
      </c>
      <c r="AH222" s="277" t="n">
        <v>1</v>
      </c>
      <c r="AI222" s="277" t="n">
        <v>1</v>
      </c>
      <c r="AJ222" s="277" t="n">
        <v>1</v>
      </c>
      <c r="AK222" s="277" t="n">
        <v>1</v>
      </c>
      <c r="AL222" s="277" t="n">
        <v>1</v>
      </c>
      <c r="AM222" s="277" t="n">
        <v>1</v>
      </c>
      <c r="AN222" s="277" t="n">
        <v>1</v>
      </c>
      <c r="AO222" s="277" t="n">
        <v>1</v>
      </c>
      <c r="AP222" s="277" t="n">
        <v>1</v>
      </c>
      <c r="AQ222" s="277" t="n">
        <v>1</v>
      </c>
      <c r="AR222" s="277" t="n">
        <v>1</v>
      </c>
      <c r="AS222" s="277" t="n">
        <v>1</v>
      </c>
      <c r="AT222" s="277" t="n">
        <v>1</v>
      </c>
      <c r="AU222" s="277" t="n">
        <v>1</v>
      </c>
      <c r="AV222" s="277" t="n">
        <v>1</v>
      </c>
      <c r="AW222" s="277" t="n">
        <v>1</v>
      </c>
      <c r="AX222" s="277" t="n">
        <v>1</v>
      </c>
      <c r="AY222" s="277" t="n">
        <v>1</v>
      </c>
      <c r="AZ222" s="277" t="n">
        <v>1</v>
      </c>
    </row>
    <row r="223" customFormat="false" ht="15" hidden="false" customHeight="false" outlineLevel="0" collapsed="false">
      <c r="A223" s="275" t="s">
        <v>375</v>
      </c>
      <c r="B223" s="275"/>
      <c r="C223" s="276" t="n">
        <v>1</v>
      </c>
      <c r="D223" s="276" t="n">
        <v>1</v>
      </c>
      <c r="E223" s="276" t="n">
        <v>1</v>
      </c>
      <c r="F223" s="276" t="n">
        <v>1</v>
      </c>
      <c r="G223" s="276" t="n">
        <v>1</v>
      </c>
      <c r="H223" s="276" t="n">
        <v>1</v>
      </c>
      <c r="I223" s="276" t="n">
        <v>1</v>
      </c>
      <c r="J223" s="276" t="n">
        <v>1</v>
      </c>
      <c r="K223" s="276" t="n">
        <v>1</v>
      </c>
      <c r="L223" s="276" t="n">
        <v>1</v>
      </c>
      <c r="M223" s="276" t="n">
        <v>1</v>
      </c>
      <c r="N223" s="276" t="n">
        <v>1</v>
      </c>
      <c r="O223" s="276" t="n">
        <v>1</v>
      </c>
      <c r="P223" s="276" t="n">
        <v>1</v>
      </c>
      <c r="Q223" s="277" t="n">
        <v>1</v>
      </c>
      <c r="R223" s="277" t="n">
        <v>1</v>
      </c>
      <c r="S223" s="277" t="n">
        <v>1</v>
      </c>
      <c r="T223" s="277" t="n">
        <v>1</v>
      </c>
      <c r="U223" s="277" t="n">
        <v>1</v>
      </c>
      <c r="V223" s="277" t="n">
        <v>1</v>
      </c>
      <c r="W223" s="277" t="n">
        <v>1</v>
      </c>
      <c r="X223" s="277" t="n">
        <v>1</v>
      </c>
      <c r="Y223" s="277" t="n">
        <v>1</v>
      </c>
      <c r="Z223" s="277" t="n">
        <v>1</v>
      </c>
      <c r="AA223" s="277" t="n">
        <v>1</v>
      </c>
      <c r="AB223" s="277" t="n">
        <v>1</v>
      </c>
      <c r="AC223" s="277" t="n">
        <v>1</v>
      </c>
      <c r="AD223" s="277" t="n">
        <v>1</v>
      </c>
      <c r="AE223" s="277" t="n">
        <v>1</v>
      </c>
      <c r="AF223" s="277" t="n">
        <v>1</v>
      </c>
      <c r="AG223" s="277" t="n">
        <v>1</v>
      </c>
      <c r="AH223" s="277" t="n">
        <v>1</v>
      </c>
      <c r="AI223" s="277" t="n">
        <v>1</v>
      </c>
      <c r="AJ223" s="277" t="n">
        <v>1</v>
      </c>
      <c r="AK223" s="277" t="n">
        <v>1</v>
      </c>
      <c r="AL223" s="277" t="n">
        <v>1</v>
      </c>
      <c r="AM223" s="277" t="n">
        <v>1</v>
      </c>
      <c r="AN223" s="277" t="n">
        <v>1</v>
      </c>
      <c r="AO223" s="277" t="n">
        <v>1</v>
      </c>
      <c r="AP223" s="277" t="n">
        <v>1</v>
      </c>
      <c r="AQ223" s="277" t="n">
        <v>1</v>
      </c>
      <c r="AR223" s="277" t="n">
        <v>1</v>
      </c>
      <c r="AS223" s="277" t="n">
        <v>1</v>
      </c>
      <c r="AT223" s="277" t="n">
        <v>1</v>
      </c>
      <c r="AU223" s="277" t="n">
        <v>1</v>
      </c>
      <c r="AV223" s="277" t="n">
        <v>1</v>
      </c>
      <c r="AW223" s="277" t="n">
        <v>1</v>
      </c>
      <c r="AX223" s="277" t="n">
        <v>1</v>
      </c>
      <c r="AY223" s="277" t="n">
        <v>1</v>
      </c>
      <c r="AZ223" s="277" t="n">
        <v>1</v>
      </c>
    </row>
    <row r="224" customFormat="false" ht="15" hidden="false" customHeight="false" outlineLevel="0" collapsed="false">
      <c r="A224" s="275" t="s">
        <v>376</v>
      </c>
      <c r="B224" s="275"/>
      <c r="C224" s="276" t="n">
        <v>1</v>
      </c>
      <c r="D224" s="276" t="n">
        <v>1</v>
      </c>
      <c r="E224" s="276" t="n">
        <v>1</v>
      </c>
      <c r="F224" s="276" t="n">
        <v>1</v>
      </c>
      <c r="G224" s="276" t="n">
        <v>1</v>
      </c>
      <c r="H224" s="276" t="n">
        <v>1</v>
      </c>
      <c r="I224" s="276" t="n">
        <v>1</v>
      </c>
      <c r="J224" s="276" t="n">
        <v>1</v>
      </c>
      <c r="K224" s="276" t="n">
        <v>1</v>
      </c>
      <c r="L224" s="276" t="n">
        <v>1</v>
      </c>
      <c r="M224" s="276" t="n">
        <v>1</v>
      </c>
      <c r="N224" s="276" t="n">
        <v>1</v>
      </c>
      <c r="O224" s="276" t="n">
        <v>1</v>
      </c>
      <c r="P224" s="276" t="n">
        <v>1</v>
      </c>
      <c r="Q224" s="277" t="n">
        <v>1</v>
      </c>
      <c r="R224" s="277" t="n">
        <v>1</v>
      </c>
      <c r="S224" s="277" t="n">
        <v>1</v>
      </c>
      <c r="T224" s="277" t="n">
        <v>1</v>
      </c>
      <c r="U224" s="277" t="n">
        <v>1</v>
      </c>
      <c r="V224" s="277" t="n">
        <v>1</v>
      </c>
      <c r="W224" s="277" t="n">
        <v>1</v>
      </c>
      <c r="X224" s="277" t="n">
        <v>1</v>
      </c>
      <c r="Y224" s="277" t="n">
        <v>1</v>
      </c>
      <c r="Z224" s="277" t="n">
        <v>1</v>
      </c>
      <c r="AA224" s="277" t="n">
        <v>1</v>
      </c>
      <c r="AB224" s="277" t="n">
        <v>1</v>
      </c>
      <c r="AC224" s="277" t="n">
        <v>1</v>
      </c>
      <c r="AD224" s="277" t="n">
        <v>1</v>
      </c>
      <c r="AE224" s="277" t="n">
        <v>1</v>
      </c>
      <c r="AF224" s="277" t="n">
        <v>1</v>
      </c>
      <c r="AG224" s="277" t="n">
        <v>1</v>
      </c>
      <c r="AH224" s="277" t="n">
        <v>1</v>
      </c>
      <c r="AI224" s="277" t="n">
        <v>1</v>
      </c>
      <c r="AJ224" s="277" t="n">
        <v>1</v>
      </c>
      <c r="AK224" s="277" t="n">
        <v>1</v>
      </c>
      <c r="AL224" s="277" t="n">
        <v>1</v>
      </c>
      <c r="AM224" s="277" t="n">
        <v>1</v>
      </c>
      <c r="AN224" s="277" t="n">
        <v>1</v>
      </c>
      <c r="AO224" s="277" t="n">
        <v>1</v>
      </c>
      <c r="AP224" s="277" t="n">
        <v>1</v>
      </c>
      <c r="AQ224" s="277" t="n">
        <v>1</v>
      </c>
      <c r="AR224" s="277" t="n">
        <v>1</v>
      </c>
      <c r="AS224" s="277" t="n">
        <v>1</v>
      </c>
      <c r="AT224" s="277" t="n">
        <v>1</v>
      </c>
      <c r="AU224" s="277" t="n">
        <v>1</v>
      </c>
      <c r="AV224" s="277" t="n">
        <v>1</v>
      </c>
      <c r="AW224" s="277" t="n">
        <v>1</v>
      </c>
      <c r="AX224" s="277" t="n">
        <v>1</v>
      </c>
      <c r="AY224" s="277" t="n">
        <v>1</v>
      </c>
      <c r="AZ224" s="277" t="n">
        <v>1</v>
      </c>
    </row>
    <row r="225" customFormat="false" ht="15" hidden="false" customHeight="false" outlineLevel="0" collapsed="false">
      <c r="A225" s="275" t="s">
        <v>377</v>
      </c>
      <c r="B225" s="275"/>
      <c r="C225" s="276" t="n">
        <v>1</v>
      </c>
      <c r="D225" s="276" t="n">
        <v>1</v>
      </c>
      <c r="E225" s="276" t="n">
        <v>1</v>
      </c>
      <c r="F225" s="276" t="n">
        <v>1</v>
      </c>
      <c r="G225" s="276" t="n">
        <v>1</v>
      </c>
      <c r="H225" s="276" t="n">
        <v>1</v>
      </c>
      <c r="I225" s="276" t="n">
        <v>1</v>
      </c>
      <c r="J225" s="276" t="n">
        <v>1</v>
      </c>
      <c r="K225" s="276" t="n">
        <v>1</v>
      </c>
      <c r="L225" s="276" t="n">
        <v>1</v>
      </c>
      <c r="M225" s="276" t="n">
        <v>1</v>
      </c>
      <c r="N225" s="276" t="n">
        <v>1</v>
      </c>
      <c r="O225" s="276" t="n">
        <v>1</v>
      </c>
      <c r="P225" s="276" t="n">
        <v>1</v>
      </c>
      <c r="Q225" s="277" t="n">
        <v>1</v>
      </c>
      <c r="R225" s="277" t="n">
        <v>1</v>
      </c>
      <c r="S225" s="277" t="n">
        <v>1</v>
      </c>
      <c r="T225" s="277" t="n">
        <v>1</v>
      </c>
      <c r="U225" s="277" t="n">
        <v>1</v>
      </c>
      <c r="V225" s="277" t="n">
        <v>1</v>
      </c>
      <c r="W225" s="277" t="n">
        <v>1</v>
      </c>
      <c r="X225" s="277" t="n">
        <v>1</v>
      </c>
      <c r="Y225" s="277" t="n">
        <v>1</v>
      </c>
      <c r="Z225" s="277" t="n">
        <v>1</v>
      </c>
      <c r="AA225" s="277" t="n">
        <v>1</v>
      </c>
      <c r="AB225" s="277" t="n">
        <v>1</v>
      </c>
      <c r="AC225" s="277" t="n">
        <v>1</v>
      </c>
      <c r="AD225" s="277" t="n">
        <v>1</v>
      </c>
      <c r="AE225" s="277" t="n">
        <v>1</v>
      </c>
      <c r="AF225" s="277" t="n">
        <v>1</v>
      </c>
      <c r="AG225" s="277" t="n">
        <v>1</v>
      </c>
      <c r="AH225" s="277" t="n">
        <v>1</v>
      </c>
      <c r="AI225" s="277" t="n">
        <v>1</v>
      </c>
      <c r="AJ225" s="277" t="n">
        <v>1</v>
      </c>
      <c r="AK225" s="277" t="n">
        <v>1</v>
      </c>
      <c r="AL225" s="277" t="n">
        <v>1</v>
      </c>
      <c r="AM225" s="277" t="n">
        <v>1</v>
      </c>
      <c r="AN225" s="277" t="n">
        <v>1</v>
      </c>
      <c r="AO225" s="277" t="n">
        <v>1</v>
      </c>
      <c r="AP225" s="277" t="n">
        <v>1</v>
      </c>
      <c r="AQ225" s="277" t="n">
        <v>1</v>
      </c>
      <c r="AR225" s="277" t="n">
        <v>1</v>
      </c>
      <c r="AS225" s="277" t="n">
        <v>1</v>
      </c>
      <c r="AT225" s="277" t="n">
        <v>1</v>
      </c>
      <c r="AU225" s="277" t="n">
        <v>1</v>
      </c>
      <c r="AV225" s="277" t="n">
        <v>1</v>
      </c>
      <c r="AW225" s="277" t="n">
        <v>1</v>
      </c>
      <c r="AX225" s="277" t="n">
        <v>1</v>
      </c>
      <c r="AY225" s="277" t="n">
        <v>1</v>
      </c>
      <c r="AZ225" s="277" t="n">
        <v>1</v>
      </c>
    </row>
    <row r="226" customFormat="false" ht="15" hidden="false" customHeight="false" outlineLevel="0" collapsed="false">
      <c r="A226" s="275" t="s">
        <v>378</v>
      </c>
      <c r="B226" s="275"/>
      <c r="C226" s="276" t="n">
        <v>1</v>
      </c>
      <c r="D226" s="276" t="n">
        <v>1</v>
      </c>
      <c r="E226" s="276" t="n">
        <v>1</v>
      </c>
      <c r="F226" s="276" t="n">
        <v>1</v>
      </c>
      <c r="G226" s="276" t="n">
        <v>1</v>
      </c>
      <c r="H226" s="276" t="n">
        <v>1</v>
      </c>
      <c r="I226" s="276" t="n">
        <v>1</v>
      </c>
      <c r="J226" s="276" t="n">
        <v>1</v>
      </c>
      <c r="K226" s="276" t="n">
        <v>1</v>
      </c>
      <c r="L226" s="276" t="n">
        <v>1</v>
      </c>
      <c r="M226" s="276" t="n">
        <v>1</v>
      </c>
      <c r="N226" s="276" t="n">
        <v>1</v>
      </c>
      <c r="O226" s="276" t="n">
        <v>1</v>
      </c>
      <c r="P226" s="276" t="n">
        <v>1</v>
      </c>
      <c r="Q226" s="277" t="n">
        <v>1</v>
      </c>
      <c r="R226" s="277" t="n">
        <v>1</v>
      </c>
      <c r="S226" s="277" t="n">
        <v>1</v>
      </c>
      <c r="T226" s="277" t="n">
        <v>1</v>
      </c>
      <c r="U226" s="277" t="n">
        <v>1</v>
      </c>
      <c r="V226" s="277" t="n">
        <v>1</v>
      </c>
      <c r="W226" s="277" t="n">
        <v>1</v>
      </c>
      <c r="X226" s="277" t="n">
        <v>1</v>
      </c>
      <c r="Y226" s="277" t="n">
        <v>1</v>
      </c>
      <c r="Z226" s="277" t="n">
        <v>1</v>
      </c>
      <c r="AA226" s="277" t="n">
        <v>1</v>
      </c>
      <c r="AB226" s="277" t="n">
        <v>1</v>
      </c>
      <c r="AC226" s="277" t="n">
        <v>1</v>
      </c>
      <c r="AD226" s="277" t="n">
        <v>1</v>
      </c>
      <c r="AE226" s="277" t="n">
        <v>1</v>
      </c>
      <c r="AF226" s="277" t="n">
        <v>1</v>
      </c>
      <c r="AG226" s="277" t="n">
        <v>1</v>
      </c>
      <c r="AH226" s="277" t="n">
        <v>1</v>
      </c>
      <c r="AI226" s="277" t="n">
        <v>1</v>
      </c>
      <c r="AJ226" s="277" t="n">
        <v>1</v>
      </c>
      <c r="AK226" s="277" t="n">
        <v>1</v>
      </c>
      <c r="AL226" s="277" t="n">
        <v>1</v>
      </c>
      <c r="AM226" s="277" t="n">
        <v>1</v>
      </c>
      <c r="AN226" s="277" t="n">
        <v>1</v>
      </c>
      <c r="AO226" s="277" t="n">
        <v>1</v>
      </c>
      <c r="AP226" s="277" t="n">
        <v>1</v>
      </c>
      <c r="AQ226" s="277" t="n">
        <v>1</v>
      </c>
      <c r="AR226" s="277" t="n">
        <v>1</v>
      </c>
      <c r="AS226" s="277" t="n">
        <v>1</v>
      </c>
      <c r="AT226" s="277" t="n">
        <v>1</v>
      </c>
      <c r="AU226" s="277" t="n">
        <v>1</v>
      </c>
      <c r="AV226" s="277" t="n">
        <v>1</v>
      </c>
      <c r="AW226" s="277" t="n">
        <v>1</v>
      </c>
      <c r="AX226" s="277" t="n">
        <v>1</v>
      </c>
      <c r="AY226" s="277" t="n">
        <v>1</v>
      </c>
      <c r="AZ226" s="277" t="n">
        <v>1</v>
      </c>
    </row>
    <row r="227" customFormat="false" ht="15.75" hidden="false" customHeight="true" outlineLevel="0" collapsed="false">
      <c r="A227" s="200" t="s">
        <v>645</v>
      </c>
      <c r="B227" s="200"/>
      <c r="C227" s="200"/>
      <c r="D227" s="200"/>
      <c r="E227" s="200"/>
      <c r="F227" s="200"/>
      <c r="G227" s="200"/>
      <c r="H227" s="200"/>
      <c r="I227" s="200"/>
      <c r="J227" s="200"/>
      <c r="K227" s="200"/>
      <c r="L227" s="200"/>
      <c r="M227" s="200"/>
      <c r="N227" s="200"/>
      <c r="O227" s="200"/>
      <c r="P227" s="200"/>
      <c r="Q227" s="200"/>
    </row>
    <row r="228" customFormat="false" ht="15" hidden="false" customHeight="false" outlineLevel="0" collapsed="false">
      <c r="A228" s="275" t="s">
        <v>374</v>
      </c>
      <c r="B228" s="275"/>
      <c r="C228" s="276" t="n">
        <v>2040</v>
      </c>
      <c r="D228" s="276" t="n">
        <v>2040</v>
      </c>
      <c r="E228" s="276" t="n">
        <v>2040</v>
      </c>
      <c r="F228" s="276" t="n">
        <v>2040</v>
      </c>
      <c r="G228" s="276" t="n">
        <v>2040</v>
      </c>
      <c r="H228" s="276" t="n">
        <v>2040</v>
      </c>
      <c r="I228" s="276" t="n">
        <v>2040</v>
      </c>
      <c r="J228" s="276" t="n">
        <v>2040</v>
      </c>
      <c r="K228" s="276" t="n">
        <v>2040</v>
      </c>
      <c r="L228" s="276" t="n">
        <v>2040</v>
      </c>
      <c r="M228" s="276" t="n">
        <v>2040</v>
      </c>
      <c r="N228" s="276" t="n">
        <v>2040</v>
      </c>
      <c r="O228" s="276" t="n">
        <v>2040</v>
      </c>
      <c r="P228" s="276" t="n">
        <v>2040</v>
      </c>
      <c r="Q228" s="276" t="n">
        <v>2040</v>
      </c>
      <c r="R228" s="276" t="n">
        <v>2040</v>
      </c>
      <c r="S228" s="276" t="n">
        <v>2040</v>
      </c>
      <c r="T228" s="276" t="n">
        <v>2040</v>
      </c>
      <c r="U228" s="276" t="n">
        <v>2040</v>
      </c>
      <c r="V228" s="276" t="n">
        <v>2040</v>
      </c>
      <c r="W228" s="276" t="n">
        <v>2040</v>
      </c>
      <c r="X228" s="276" t="n">
        <v>2040</v>
      </c>
      <c r="Y228" s="276" t="n">
        <v>2040</v>
      </c>
      <c r="Z228" s="276" t="n">
        <v>2040</v>
      </c>
      <c r="AA228" s="276" t="n">
        <v>2040</v>
      </c>
      <c r="AB228" s="276" t="n">
        <v>2040</v>
      </c>
      <c r="AC228" s="276" t="n">
        <v>2040</v>
      </c>
      <c r="AD228" s="276" t="n">
        <v>2040</v>
      </c>
      <c r="AE228" s="276" t="n">
        <v>2040</v>
      </c>
      <c r="AF228" s="276" t="n">
        <v>2040</v>
      </c>
      <c r="AG228" s="276" t="n">
        <v>2040</v>
      </c>
      <c r="AH228" s="276" t="n">
        <v>2040</v>
      </c>
      <c r="AI228" s="276" t="n">
        <v>2040</v>
      </c>
      <c r="AJ228" s="276" t="n">
        <v>2040</v>
      </c>
      <c r="AK228" s="276" t="n">
        <v>2040</v>
      </c>
      <c r="AL228" s="276" t="n">
        <v>2040</v>
      </c>
      <c r="AM228" s="276" t="n">
        <v>2040</v>
      </c>
      <c r="AN228" s="276" t="n">
        <v>2040</v>
      </c>
      <c r="AO228" s="276" t="n">
        <v>2040</v>
      </c>
      <c r="AP228" s="276" t="n">
        <v>2040</v>
      </c>
      <c r="AQ228" s="276" t="n">
        <v>2040</v>
      </c>
      <c r="AR228" s="276" t="n">
        <v>2040</v>
      </c>
      <c r="AS228" s="276" t="n">
        <v>2040</v>
      </c>
      <c r="AT228" s="276" t="n">
        <v>2040</v>
      </c>
      <c r="AU228" s="276" t="n">
        <v>2040</v>
      </c>
      <c r="AV228" s="276" t="n">
        <v>2040</v>
      </c>
      <c r="AW228" s="276" t="n">
        <v>2040</v>
      </c>
      <c r="AX228" s="276" t="n">
        <v>2040</v>
      </c>
      <c r="AY228" s="276" t="n">
        <v>2040</v>
      </c>
      <c r="AZ228" s="276" t="n">
        <v>2040</v>
      </c>
    </row>
    <row r="229" customFormat="false" ht="15" hidden="false" customHeight="false" outlineLevel="0" collapsed="false">
      <c r="A229" s="275" t="s">
        <v>375</v>
      </c>
      <c r="B229" s="275"/>
      <c r="C229" s="276" t="n">
        <v>2040</v>
      </c>
      <c r="D229" s="276" t="n">
        <v>2040</v>
      </c>
      <c r="E229" s="276" t="n">
        <v>2040</v>
      </c>
      <c r="F229" s="276" t="n">
        <v>2040</v>
      </c>
      <c r="G229" s="276" t="n">
        <v>2040</v>
      </c>
      <c r="H229" s="276" t="n">
        <v>2040</v>
      </c>
      <c r="I229" s="276" t="n">
        <v>2040</v>
      </c>
      <c r="J229" s="276" t="n">
        <v>2040</v>
      </c>
      <c r="K229" s="276" t="n">
        <v>2040</v>
      </c>
      <c r="L229" s="276" t="n">
        <v>2040</v>
      </c>
      <c r="M229" s="276" t="n">
        <v>2040</v>
      </c>
      <c r="N229" s="276" t="n">
        <v>2040</v>
      </c>
      <c r="O229" s="276" t="n">
        <v>2040</v>
      </c>
      <c r="P229" s="276" t="n">
        <v>2040</v>
      </c>
      <c r="Q229" s="276" t="n">
        <v>2040</v>
      </c>
      <c r="R229" s="276" t="n">
        <v>2040</v>
      </c>
      <c r="S229" s="276" t="n">
        <v>2040</v>
      </c>
      <c r="T229" s="276" t="n">
        <v>2040</v>
      </c>
      <c r="U229" s="276" t="n">
        <v>2040</v>
      </c>
      <c r="V229" s="276" t="n">
        <v>2040</v>
      </c>
      <c r="W229" s="276" t="n">
        <v>2040</v>
      </c>
      <c r="X229" s="276" t="n">
        <v>2040</v>
      </c>
      <c r="Y229" s="276" t="n">
        <v>2040</v>
      </c>
      <c r="Z229" s="276" t="n">
        <v>2040</v>
      </c>
      <c r="AA229" s="276" t="n">
        <v>2040</v>
      </c>
      <c r="AB229" s="276" t="n">
        <v>2040</v>
      </c>
      <c r="AC229" s="276" t="n">
        <v>2040</v>
      </c>
      <c r="AD229" s="276" t="n">
        <v>2040</v>
      </c>
      <c r="AE229" s="276" t="n">
        <v>2040</v>
      </c>
      <c r="AF229" s="276" t="n">
        <v>2040</v>
      </c>
      <c r="AG229" s="276" t="n">
        <v>2040</v>
      </c>
      <c r="AH229" s="276" t="n">
        <v>2040</v>
      </c>
      <c r="AI229" s="276" t="n">
        <v>2040</v>
      </c>
      <c r="AJ229" s="276" t="n">
        <v>2040</v>
      </c>
      <c r="AK229" s="276" t="n">
        <v>2040</v>
      </c>
      <c r="AL229" s="276" t="n">
        <v>2040</v>
      </c>
      <c r="AM229" s="276" t="n">
        <v>2040</v>
      </c>
      <c r="AN229" s="276" t="n">
        <v>2040</v>
      </c>
      <c r="AO229" s="276" t="n">
        <v>2040</v>
      </c>
      <c r="AP229" s="276" t="n">
        <v>2040</v>
      </c>
      <c r="AQ229" s="276" t="n">
        <v>2040</v>
      </c>
      <c r="AR229" s="276" t="n">
        <v>2040</v>
      </c>
      <c r="AS229" s="276" t="n">
        <v>2040</v>
      </c>
      <c r="AT229" s="276" t="n">
        <v>2040</v>
      </c>
      <c r="AU229" s="276" t="n">
        <v>2040</v>
      </c>
      <c r="AV229" s="276" t="n">
        <v>2040</v>
      </c>
      <c r="AW229" s="276" t="n">
        <v>2040</v>
      </c>
      <c r="AX229" s="276" t="n">
        <v>2040</v>
      </c>
      <c r="AY229" s="276" t="n">
        <v>2040</v>
      </c>
      <c r="AZ229" s="276" t="n">
        <v>2040</v>
      </c>
    </row>
    <row r="230" customFormat="false" ht="15" hidden="false" customHeight="false" outlineLevel="0" collapsed="false">
      <c r="A230" s="275" t="s">
        <v>376</v>
      </c>
      <c r="B230" s="275"/>
      <c r="C230" s="276" t="n">
        <v>2040</v>
      </c>
      <c r="D230" s="276" t="n">
        <v>2040</v>
      </c>
      <c r="E230" s="276" t="n">
        <v>2040</v>
      </c>
      <c r="F230" s="276" t="n">
        <v>2040</v>
      </c>
      <c r="G230" s="276" t="n">
        <v>2040</v>
      </c>
      <c r="H230" s="276" t="n">
        <v>2040</v>
      </c>
      <c r="I230" s="276" t="n">
        <v>2040</v>
      </c>
      <c r="J230" s="276" t="n">
        <v>2040</v>
      </c>
      <c r="K230" s="276" t="n">
        <v>2040</v>
      </c>
      <c r="L230" s="276" t="n">
        <v>2040</v>
      </c>
      <c r="M230" s="276" t="n">
        <v>2040</v>
      </c>
      <c r="N230" s="276" t="n">
        <v>2040</v>
      </c>
      <c r="O230" s="276" t="n">
        <v>2040</v>
      </c>
      <c r="P230" s="276" t="n">
        <v>2040</v>
      </c>
      <c r="Q230" s="276" t="n">
        <v>2040</v>
      </c>
      <c r="R230" s="276" t="n">
        <v>2040</v>
      </c>
      <c r="S230" s="276" t="n">
        <v>2040</v>
      </c>
      <c r="T230" s="276" t="n">
        <v>2040</v>
      </c>
      <c r="U230" s="276" t="n">
        <v>2040</v>
      </c>
      <c r="V230" s="276" t="n">
        <v>2040</v>
      </c>
      <c r="W230" s="276" t="n">
        <v>2040</v>
      </c>
      <c r="X230" s="276" t="n">
        <v>2040</v>
      </c>
      <c r="Y230" s="276" t="n">
        <v>2040</v>
      </c>
      <c r="Z230" s="276" t="n">
        <v>2040</v>
      </c>
      <c r="AA230" s="276" t="n">
        <v>2040</v>
      </c>
      <c r="AB230" s="276" t="n">
        <v>2040</v>
      </c>
      <c r="AC230" s="276" t="n">
        <v>2040</v>
      </c>
      <c r="AD230" s="276" t="n">
        <v>2040</v>
      </c>
      <c r="AE230" s="276" t="n">
        <v>2040</v>
      </c>
      <c r="AF230" s="276" t="n">
        <v>2040</v>
      </c>
      <c r="AG230" s="276" t="n">
        <v>2040</v>
      </c>
      <c r="AH230" s="276" t="n">
        <v>2040</v>
      </c>
      <c r="AI230" s="276" t="n">
        <v>2040</v>
      </c>
      <c r="AJ230" s="276" t="n">
        <v>2040</v>
      </c>
      <c r="AK230" s="276" t="n">
        <v>2040</v>
      </c>
      <c r="AL230" s="276" t="n">
        <v>2040</v>
      </c>
      <c r="AM230" s="276" t="n">
        <v>2040</v>
      </c>
      <c r="AN230" s="276" t="n">
        <v>2040</v>
      </c>
      <c r="AO230" s="276" t="n">
        <v>2040</v>
      </c>
      <c r="AP230" s="276" t="n">
        <v>2040</v>
      </c>
      <c r="AQ230" s="276" t="n">
        <v>2040</v>
      </c>
      <c r="AR230" s="276" t="n">
        <v>2040</v>
      </c>
      <c r="AS230" s="276" t="n">
        <v>2040</v>
      </c>
      <c r="AT230" s="276" t="n">
        <v>2040</v>
      </c>
      <c r="AU230" s="276" t="n">
        <v>2040</v>
      </c>
      <c r="AV230" s="276" t="n">
        <v>2040</v>
      </c>
      <c r="AW230" s="276" t="n">
        <v>2040</v>
      </c>
      <c r="AX230" s="276" t="n">
        <v>2040</v>
      </c>
      <c r="AY230" s="276" t="n">
        <v>2040</v>
      </c>
      <c r="AZ230" s="276" t="n">
        <v>2040</v>
      </c>
    </row>
    <row r="231" customFormat="false" ht="15" hidden="false" customHeight="false" outlineLevel="0" collapsed="false">
      <c r="A231" s="275" t="s">
        <v>377</v>
      </c>
      <c r="B231" s="275"/>
      <c r="C231" s="276" t="n">
        <v>2040</v>
      </c>
      <c r="D231" s="276" t="n">
        <v>2040</v>
      </c>
      <c r="E231" s="276" t="n">
        <v>2040</v>
      </c>
      <c r="F231" s="276" t="n">
        <v>2040</v>
      </c>
      <c r="G231" s="276" t="n">
        <v>2040</v>
      </c>
      <c r="H231" s="276" t="n">
        <v>2040</v>
      </c>
      <c r="I231" s="276" t="n">
        <v>2040</v>
      </c>
      <c r="J231" s="276" t="n">
        <v>2040</v>
      </c>
      <c r="K231" s="276" t="n">
        <v>2040</v>
      </c>
      <c r="L231" s="276" t="n">
        <v>2040</v>
      </c>
      <c r="M231" s="276" t="n">
        <v>2040</v>
      </c>
      <c r="N231" s="276" t="n">
        <v>2040</v>
      </c>
      <c r="O231" s="276" t="n">
        <v>2040</v>
      </c>
      <c r="P231" s="276" t="n">
        <v>2040</v>
      </c>
      <c r="Q231" s="276" t="n">
        <v>2040</v>
      </c>
      <c r="R231" s="276" t="n">
        <v>2040</v>
      </c>
      <c r="S231" s="276" t="n">
        <v>2040</v>
      </c>
      <c r="T231" s="276" t="n">
        <v>2040</v>
      </c>
      <c r="U231" s="276" t="n">
        <v>2040</v>
      </c>
      <c r="V231" s="276" t="n">
        <v>2040</v>
      </c>
      <c r="W231" s="276" t="n">
        <v>2040</v>
      </c>
      <c r="X231" s="276" t="n">
        <v>2040</v>
      </c>
      <c r="Y231" s="276" t="n">
        <v>2040</v>
      </c>
      <c r="Z231" s="276" t="n">
        <v>2040</v>
      </c>
      <c r="AA231" s="276" t="n">
        <v>2040</v>
      </c>
      <c r="AB231" s="276" t="n">
        <v>2040</v>
      </c>
      <c r="AC231" s="276" t="n">
        <v>2040</v>
      </c>
      <c r="AD231" s="276" t="n">
        <v>2040</v>
      </c>
      <c r="AE231" s="276" t="n">
        <v>2040</v>
      </c>
      <c r="AF231" s="276" t="n">
        <v>2040</v>
      </c>
      <c r="AG231" s="276" t="n">
        <v>2040</v>
      </c>
      <c r="AH231" s="276" t="n">
        <v>2040</v>
      </c>
      <c r="AI231" s="276" t="n">
        <v>2040</v>
      </c>
      <c r="AJ231" s="276" t="n">
        <v>2040</v>
      </c>
      <c r="AK231" s="276" t="n">
        <v>2040</v>
      </c>
      <c r="AL231" s="276" t="n">
        <v>2040</v>
      </c>
      <c r="AM231" s="276" t="n">
        <v>2040</v>
      </c>
      <c r="AN231" s="276" t="n">
        <v>2040</v>
      </c>
      <c r="AO231" s="276" t="n">
        <v>2040</v>
      </c>
      <c r="AP231" s="276" t="n">
        <v>2040</v>
      </c>
      <c r="AQ231" s="276" t="n">
        <v>2040</v>
      </c>
      <c r="AR231" s="276" t="n">
        <v>2040</v>
      </c>
      <c r="AS231" s="276" t="n">
        <v>2040</v>
      </c>
      <c r="AT231" s="276" t="n">
        <v>2040</v>
      </c>
      <c r="AU231" s="276" t="n">
        <v>2040</v>
      </c>
      <c r="AV231" s="276" t="n">
        <v>2040</v>
      </c>
      <c r="AW231" s="276" t="n">
        <v>2040</v>
      </c>
      <c r="AX231" s="276" t="n">
        <v>2040</v>
      </c>
      <c r="AY231" s="276" t="n">
        <v>2040</v>
      </c>
      <c r="AZ231" s="276" t="n">
        <v>2040</v>
      </c>
    </row>
    <row r="232" customFormat="false" ht="15" hidden="false" customHeight="false" outlineLevel="0" collapsed="false">
      <c r="A232" s="275" t="s">
        <v>378</v>
      </c>
      <c r="B232" s="275"/>
      <c r="C232" s="276" t="n">
        <v>2040</v>
      </c>
      <c r="D232" s="276" t="n">
        <v>2040</v>
      </c>
      <c r="E232" s="276" t="n">
        <v>2040</v>
      </c>
      <c r="F232" s="276" t="n">
        <v>2040</v>
      </c>
      <c r="G232" s="276" t="n">
        <v>2040</v>
      </c>
      <c r="H232" s="276" t="n">
        <v>2040</v>
      </c>
      <c r="I232" s="276" t="n">
        <v>2040</v>
      </c>
      <c r="J232" s="276" t="n">
        <v>2040</v>
      </c>
      <c r="K232" s="276" t="n">
        <v>2040</v>
      </c>
      <c r="L232" s="276" t="n">
        <v>2040</v>
      </c>
      <c r="M232" s="276" t="n">
        <v>2040</v>
      </c>
      <c r="N232" s="276" t="n">
        <v>2040</v>
      </c>
      <c r="O232" s="276" t="n">
        <v>2040</v>
      </c>
      <c r="P232" s="276" t="n">
        <v>2040</v>
      </c>
      <c r="Q232" s="276" t="n">
        <v>2040</v>
      </c>
      <c r="R232" s="276" t="n">
        <v>2040</v>
      </c>
      <c r="S232" s="276" t="n">
        <v>2040</v>
      </c>
      <c r="T232" s="276" t="n">
        <v>2040</v>
      </c>
      <c r="U232" s="276" t="n">
        <v>2040</v>
      </c>
      <c r="V232" s="276" t="n">
        <v>2040</v>
      </c>
      <c r="W232" s="276" t="n">
        <v>2040</v>
      </c>
      <c r="X232" s="276" t="n">
        <v>2040</v>
      </c>
      <c r="Y232" s="276" t="n">
        <v>2040</v>
      </c>
      <c r="Z232" s="276" t="n">
        <v>2040</v>
      </c>
      <c r="AA232" s="276" t="n">
        <v>2040</v>
      </c>
      <c r="AB232" s="276" t="n">
        <v>2040</v>
      </c>
      <c r="AC232" s="276" t="n">
        <v>2040</v>
      </c>
      <c r="AD232" s="276" t="n">
        <v>2040</v>
      </c>
      <c r="AE232" s="276" t="n">
        <v>2040</v>
      </c>
      <c r="AF232" s="276" t="n">
        <v>2040</v>
      </c>
      <c r="AG232" s="276" t="n">
        <v>2040</v>
      </c>
      <c r="AH232" s="276" t="n">
        <v>2040</v>
      </c>
      <c r="AI232" s="276" t="n">
        <v>2040</v>
      </c>
      <c r="AJ232" s="276" t="n">
        <v>2040</v>
      </c>
      <c r="AK232" s="276" t="n">
        <v>2040</v>
      </c>
      <c r="AL232" s="276" t="n">
        <v>2040</v>
      </c>
      <c r="AM232" s="276" t="n">
        <v>2040</v>
      </c>
      <c r="AN232" s="276" t="n">
        <v>2040</v>
      </c>
      <c r="AO232" s="276" t="n">
        <v>2040</v>
      </c>
      <c r="AP232" s="276" t="n">
        <v>2040</v>
      </c>
      <c r="AQ232" s="276" t="n">
        <v>2040</v>
      </c>
      <c r="AR232" s="276" t="n">
        <v>2040</v>
      </c>
      <c r="AS232" s="276" t="n">
        <v>2040</v>
      </c>
      <c r="AT232" s="276" t="n">
        <v>2040</v>
      </c>
      <c r="AU232" s="276" t="n">
        <v>2040</v>
      </c>
      <c r="AV232" s="276" t="n">
        <v>2040</v>
      </c>
      <c r="AW232" s="276" t="n">
        <v>2040</v>
      </c>
      <c r="AX232" s="276" t="n">
        <v>2040</v>
      </c>
      <c r="AY232" s="276" t="n">
        <v>2040</v>
      </c>
      <c r="AZ232" s="276" t="n">
        <v>2040</v>
      </c>
    </row>
    <row r="233" customFormat="false" ht="15.75" hidden="false" customHeight="true" outlineLevel="0" collapsed="false">
      <c r="A233" s="200" t="s">
        <v>646</v>
      </c>
      <c r="B233" s="200"/>
      <c r="C233" s="200"/>
      <c r="D233" s="200"/>
      <c r="E233" s="200"/>
      <c r="F233" s="200"/>
      <c r="G233" s="200"/>
      <c r="H233" s="200"/>
      <c r="I233" s="200"/>
      <c r="J233" s="200"/>
      <c r="K233" s="200"/>
      <c r="L233" s="200"/>
      <c r="M233" s="200"/>
      <c r="N233" s="200"/>
      <c r="O233" s="200"/>
      <c r="P233" s="200"/>
      <c r="Q233" s="200"/>
    </row>
    <row r="234" customFormat="false" ht="15" hidden="false" customHeight="false" outlineLevel="0" collapsed="false">
      <c r="A234" s="275" t="s">
        <v>374</v>
      </c>
      <c r="B234" s="275"/>
      <c r="C234" s="276" t="n">
        <v>1</v>
      </c>
      <c r="D234" s="276" t="n">
        <v>1</v>
      </c>
      <c r="E234" s="276" t="n">
        <v>1</v>
      </c>
      <c r="F234" s="276" t="n">
        <v>1</v>
      </c>
      <c r="G234" s="276" t="n">
        <v>1</v>
      </c>
      <c r="H234" s="276" t="n">
        <v>1</v>
      </c>
      <c r="I234" s="276" t="n">
        <v>1</v>
      </c>
      <c r="J234" s="276" t="n">
        <v>1</v>
      </c>
      <c r="K234" s="276" t="n">
        <v>1</v>
      </c>
      <c r="L234" s="276" t="n">
        <v>1</v>
      </c>
      <c r="M234" s="276" t="n">
        <v>1</v>
      </c>
      <c r="N234" s="276" t="n">
        <v>1</v>
      </c>
      <c r="O234" s="276" t="n">
        <v>1</v>
      </c>
      <c r="P234" s="276" t="n">
        <v>1</v>
      </c>
      <c r="Q234" s="277" t="n">
        <v>1</v>
      </c>
      <c r="R234" s="277" t="n">
        <v>1</v>
      </c>
      <c r="S234" s="277" t="n">
        <v>1</v>
      </c>
      <c r="T234" s="277" t="n">
        <v>1</v>
      </c>
      <c r="U234" s="277" t="n">
        <v>1</v>
      </c>
      <c r="V234" s="277" t="n">
        <v>1</v>
      </c>
      <c r="W234" s="277" t="n">
        <v>1</v>
      </c>
      <c r="X234" s="277" t="n">
        <v>1</v>
      </c>
      <c r="Y234" s="277" t="n">
        <v>1</v>
      </c>
      <c r="Z234" s="277" t="n">
        <v>1</v>
      </c>
      <c r="AA234" s="277" t="n">
        <v>1</v>
      </c>
      <c r="AB234" s="277" t="n">
        <v>1</v>
      </c>
      <c r="AC234" s="277" t="n">
        <v>1</v>
      </c>
      <c r="AD234" s="277" t="n">
        <v>1</v>
      </c>
      <c r="AE234" s="277" t="n">
        <v>1</v>
      </c>
      <c r="AF234" s="277" t="n">
        <v>1</v>
      </c>
      <c r="AG234" s="277" t="n">
        <v>1</v>
      </c>
      <c r="AH234" s="277" t="n">
        <v>1</v>
      </c>
      <c r="AI234" s="277" t="n">
        <v>1</v>
      </c>
      <c r="AJ234" s="277" t="n">
        <v>1</v>
      </c>
      <c r="AK234" s="277" t="n">
        <v>1</v>
      </c>
      <c r="AL234" s="277" t="n">
        <v>1</v>
      </c>
      <c r="AM234" s="277" t="n">
        <v>1</v>
      </c>
      <c r="AN234" s="277" t="n">
        <v>1</v>
      </c>
      <c r="AO234" s="277" t="n">
        <v>1</v>
      </c>
      <c r="AP234" s="277" t="n">
        <v>1</v>
      </c>
      <c r="AQ234" s="277" t="n">
        <v>1</v>
      </c>
      <c r="AR234" s="277" t="n">
        <v>1</v>
      </c>
      <c r="AS234" s="277" t="n">
        <v>1</v>
      </c>
      <c r="AT234" s="277" t="n">
        <v>1</v>
      </c>
      <c r="AU234" s="277" t="n">
        <v>1</v>
      </c>
      <c r="AV234" s="277" t="n">
        <v>1</v>
      </c>
      <c r="AW234" s="277" t="n">
        <v>1</v>
      </c>
      <c r="AX234" s="277" t="n">
        <v>1</v>
      </c>
      <c r="AY234" s="277" t="n">
        <v>1</v>
      </c>
      <c r="AZ234" s="277" t="n">
        <v>1</v>
      </c>
    </row>
    <row r="235" customFormat="false" ht="15" hidden="false" customHeight="false" outlineLevel="0" collapsed="false">
      <c r="A235" s="275" t="s">
        <v>375</v>
      </c>
      <c r="B235" s="275"/>
      <c r="C235" s="276" t="n">
        <v>1</v>
      </c>
      <c r="D235" s="276" t="n">
        <v>1</v>
      </c>
      <c r="E235" s="276" t="n">
        <v>1</v>
      </c>
      <c r="F235" s="276" t="n">
        <v>1</v>
      </c>
      <c r="G235" s="276" t="n">
        <v>1</v>
      </c>
      <c r="H235" s="276" t="n">
        <v>1</v>
      </c>
      <c r="I235" s="276" t="n">
        <v>1</v>
      </c>
      <c r="J235" s="276" t="n">
        <v>1</v>
      </c>
      <c r="K235" s="276" t="n">
        <v>1</v>
      </c>
      <c r="L235" s="276" t="n">
        <v>1</v>
      </c>
      <c r="M235" s="276" t="n">
        <v>1</v>
      </c>
      <c r="N235" s="276" t="n">
        <v>1</v>
      </c>
      <c r="O235" s="276" t="n">
        <v>1</v>
      </c>
      <c r="P235" s="276" t="n">
        <v>1</v>
      </c>
      <c r="Q235" s="277" t="n">
        <v>1</v>
      </c>
      <c r="R235" s="277" t="n">
        <v>1</v>
      </c>
      <c r="S235" s="277" t="n">
        <v>1</v>
      </c>
      <c r="T235" s="277" t="n">
        <v>1</v>
      </c>
      <c r="U235" s="277" t="n">
        <v>1</v>
      </c>
      <c r="V235" s="277" t="n">
        <v>1</v>
      </c>
      <c r="W235" s="277" t="n">
        <v>1</v>
      </c>
      <c r="X235" s="277" t="n">
        <v>1</v>
      </c>
      <c r="Y235" s="277" t="n">
        <v>1</v>
      </c>
      <c r="Z235" s="277" t="n">
        <v>1</v>
      </c>
      <c r="AA235" s="277" t="n">
        <v>1</v>
      </c>
      <c r="AB235" s="277" t="n">
        <v>1</v>
      </c>
      <c r="AC235" s="277" t="n">
        <v>1</v>
      </c>
      <c r="AD235" s="277" t="n">
        <v>1</v>
      </c>
      <c r="AE235" s="277" t="n">
        <v>1</v>
      </c>
      <c r="AF235" s="277" t="n">
        <v>1</v>
      </c>
      <c r="AG235" s="277" t="n">
        <v>1</v>
      </c>
      <c r="AH235" s="277" t="n">
        <v>1</v>
      </c>
      <c r="AI235" s="277" t="n">
        <v>1</v>
      </c>
      <c r="AJ235" s="277" t="n">
        <v>1</v>
      </c>
      <c r="AK235" s="277" t="n">
        <v>1</v>
      </c>
      <c r="AL235" s="277" t="n">
        <v>1</v>
      </c>
      <c r="AM235" s="277" t="n">
        <v>1</v>
      </c>
      <c r="AN235" s="277" t="n">
        <v>1</v>
      </c>
      <c r="AO235" s="277" t="n">
        <v>1</v>
      </c>
      <c r="AP235" s="277" t="n">
        <v>1</v>
      </c>
      <c r="AQ235" s="277" t="n">
        <v>1</v>
      </c>
      <c r="AR235" s="277" t="n">
        <v>1</v>
      </c>
      <c r="AS235" s="277" t="n">
        <v>1</v>
      </c>
      <c r="AT235" s="277" t="n">
        <v>1</v>
      </c>
      <c r="AU235" s="277" t="n">
        <v>1</v>
      </c>
      <c r="AV235" s="277" t="n">
        <v>1</v>
      </c>
      <c r="AW235" s="277" t="n">
        <v>1</v>
      </c>
      <c r="AX235" s="277" t="n">
        <v>1</v>
      </c>
      <c r="AY235" s="277" t="n">
        <v>1</v>
      </c>
      <c r="AZ235" s="277" t="n">
        <v>1</v>
      </c>
    </row>
    <row r="236" customFormat="false" ht="15" hidden="false" customHeight="false" outlineLevel="0" collapsed="false">
      <c r="A236" s="275" t="s">
        <v>376</v>
      </c>
      <c r="B236" s="275"/>
      <c r="C236" s="276" t="n">
        <v>1</v>
      </c>
      <c r="D236" s="276" t="n">
        <v>1</v>
      </c>
      <c r="E236" s="276" t="n">
        <v>1</v>
      </c>
      <c r="F236" s="276" t="n">
        <v>1</v>
      </c>
      <c r="G236" s="276" t="n">
        <v>1</v>
      </c>
      <c r="H236" s="276" t="n">
        <v>1</v>
      </c>
      <c r="I236" s="276" t="n">
        <v>1</v>
      </c>
      <c r="J236" s="276" t="n">
        <v>1</v>
      </c>
      <c r="K236" s="276" t="n">
        <v>1</v>
      </c>
      <c r="L236" s="276" t="n">
        <v>1</v>
      </c>
      <c r="M236" s="276" t="n">
        <v>1</v>
      </c>
      <c r="N236" s="276" t="n">
        <v>1</v>
      </c>
      <c r="O236" s="276" t="n">
        <v>1</v>
      </c>
      <c r="P236" s="276" t="n">
        <v>1</v>
      </c>
      <c r="Q236" s="277" t="n">
        <v>1</v>
      </c>
      <c r="R236" s="277" t="n">
        <v>1</v>
      </c>
      <c r="S236" s="277" t="n">
        <v>1</v>
      </c>
      <c r="T236" s="277" t="n">
        <v>1</v>
      </c>
      <c r="U236" s="277" t="n">
        <v>1</v>
      </c>
      <c r="V236" s="277" t="n">
        <v>1</v>
      </c>
      <c r="W236" s="277" t="n">
        <v>1</v>
      </c>
      <c r="X236" s="277" t="n">
        <v>1</v>
      </c>
      <c r="Y236" s="277" t="n">
        <v>1</v>
      </c>
      <c r="Z236" s="277" t="n">
        <v>1</v>
      </c>
      <c r="AA236" s="277" t="n">
        <v>1</v>
      </c>
      <c r="AB236" s="277" t="n">
        <v>1</v>
      </c>
      <c r="AC236" s="277" t="n">
        <v>1</v>
      </c>
      <c r="AD236" s="277" t="n">
        <v>1</v>
      </c>
      <c r="AE236" s="277" t="n">
        <v>1</v>
      </c>
      <c r="AF236" s="277" t="n">
        <v>1</v>
      </c>
      <c r="AG236" s="277" t="n">
        <v>1</v>
      </c>
      <c r="AH236" s="277" t="n">
        <v>1</v>
      </c>
      <c r="AI236" s="277" t="n">
        <v>1</v>
      </c>
      <c r="AJ236" s="277" t="n">
        <v>1</v>
      </c>
      <c r="AK236" s="277" t="n">
        <v>1</v>
      </c>
      <c r="AL236" s="277" t="n">
        <v>1</v>
      </c>
      <c r="AM236" s="277" t="n">
        <v>1</v>
      </c>
      <c r="AN236" s="277" t="n">
        <v>1</v>
      </c>
      <c r="AO236" s="277" t="n">
        <v>1</v>
      </c>
      <c r="AP236" s="277" t="n">
        <v>1</v>
      </c>
      <c r="AQ236" s="277" t="n">
        <v>1</v>
      </c>
      <c r="AR236" s="277" t="n">
        <v>1</v>
      </c>
      <c r="AS236" s="277" t="n">
        <v>1</v>
      </c>
      <c r="AT236" s="277" t="n">
        <v>1</v>
      </c>
      <c r="AU236" s="277" t="n">
        <v>1</v>
      </c>
      <c r="AV236" s="277" t="n">
        <v>1</v>
      </c>
      <c r="AW236" s="277" t="n">
        <v>1</v>
      </c>
      <c r="AX236" s="277" t="n">
        <v>1</v>
      </c>
      <c r="AY236" s="277" t="n">
        <v>1</v>
      </c>
      <c r="AZ236" s="277" t="n">
        <v>1</v>
      </c>
    </row>
    <row r="237" customFormat="false" ht="15" hidden="false" customHeight="false" outlineLevel="0" collapsed="false">
      <c r="A237" s="275" t="s">
        <v>377</v>
      </c>
      <c r="B237" s="275"/>
      <c r="C237" s="276" t="n">
        <v>1</v>
      </c>
      <c r="D237" s="276" t="n">
        <v>1</v>
      </c>
      <c r="E237" s="276" t="n">
        <v>1</v>
      </c>
      <c r="F237" s="276" t="n">
        <v>1</v>
      </c>
      <c r="G237" s="276" t="n">
        <v>1</v>
      </c>
      <c r="H237" s="276" t="n">
        <v>1</v>
      </c>
      <c r="I237" s="276" t="n">
        <v>1</v>
      </c>
      <c r="J237" s="276" t="n">
        <v>1</v>
      </c>
      <c r="K237" s="276" t="n">
        <v>1</v>
      </c>
      <c r="L237" s="276" t="n">
        <v>1</v>
      </c>
      <c r="M237" s="276" t="n">
        <v>1</v>
      </c>
      <c r="N237" s="276" t="n">
        <v>1</v>
      </c>
      <c r="O237" s="276" t="n">
        <v>1</v>
      </c>
      <c r="P237" s="276" t="n">
        <v>1</v>
      </c>
      <c r="Q237" s="277" t="n">
        <v>1</v>
      </c>
      <c r="R237" s="277" t="n">
        <v>1</v>
      </c>
      <c r="S237" s="277" t="n">
        <v>1</v>
      </c>
      <c r="T237" s="277" t="n">
        <v>1</v>
      </c>
      <c r="U237" s="277" t="n">
        <v>1</v>
      </c>
      <c r="V237" s="277" t="n">
        <v>1</v>
      </c>
      <c r="W237" s="277" t="n">
        <v>1</v>
      </c>
      <c r="X237" s="277" t="n">
        <v>1</v>
      </c>
      <c r="Y237" s="277" t="n">
        <v>1</v>
      </c>
      <c r="Z237" s="277" t="n">
        <v>1</v>
      </c>
      <c r="AA237" s="277" t="n">
        <v>1</v>
      </c>
      <c r="AB237" s="277" t="n">
        <v>1</v>
      </c>
      <c r="AC237" s="277" t="n">
        <v>1</v>
      </c>
      <c r="AD237" s="277" t="n">
        <v>1</v>
      </c>
      <c r="AE237" s="277" t="n">
        <v>1</v>
      </c>
      <c r="AF237" s="277" t="n">
        <v>1</v>
      </c>
      <c r="AG237" s="277" t="n">
        <v>1</v>
      </c>
      <c r="AH237" s="277" t="n">
        <v>1</v>
      </c>
      <c r="AI237" s="277" t="n">
        <v>1</v>
      </c>
      <c r="AJ237" s="277" t="n">
        <v>1</v>
      </c>
      <c r="AK237" s="277" t="n">
        <v>1</v>
      </c>
      <c r="AL237" s="277" t="n">
        <v>1</v>
      </c>
      <c r="AM237" s="277" t="n">
        <v>1</v>
      </c>
      <c r="AN237" s="277" t="n">
        <v>1</v>
      </c>
      <c r="AO237" s="277" t="n">
        <v>1</v>
      </c>
      <c r="AP237" s="277" t="n">
        <v>1</v>
      </c>
      <c r="AQ237" s="277" t="n">
        <v>1</v>
      </c>
      <c r="AR237" s="277" t="n">
        <v>1</v>
      </c>
      <c r="AS237" s="277" t="n">
        <v>1</v>
      </c>
      <c r="AT237" s="277" t="n">
        <v>1</v>
      </c>
      <c r="AU237" s="277" t="n">
        <v>1</v>
      </c>
      <c r="AV237" s="277" t="n">
        <v>1</v>
      </c>
      <c r="AW237" s="277" t="n">
        <v>1</v>
      </c>
      <c r="AX237" s="277" t="n">
        <v>1</v>
      </c>
      <c r="AY237" s="277" t="n">
        <v>1</v>
      </c>
      <c r="AZ237" s="277" t="n">
        <v>1</v>
      </c>
    </row>
    <row r="238" customFormat="false" ht="15" hidden="false" customHeight="false" outlineLevel="0" collapsed="false">
      <c r="A238" s="275" t="s">
        <v>378</v>
      </c>
      <c r="B238" s="275"/>
      <c r="C238" s="276" t="n">
        <v>1</v>
      </c>
      <c r="D238" s="276" t="n">
        <v>1</v>
      </c>
      <c r="E238" s="276" t="n">
        <v>1</v>
      </c>
      <c r="F238" s="276" t="n">
        <v>1</v>
      </c>
      <c r="G238" s="276" t="n">
        <v>1</v>
      </c>
      <c r="H238" s="276" t="n">
        <v>1</v>
      </c>
      <c r="I238" s="276" t="n">
        <v>1</v>
      </c>
      <c r="J238" s="276" t="n">
        <v>1</v>
      </c>
      <c r="K238" s="276" t="n">
        <v>1</v>
      </c>
      <c r="L238" s="276" t="n">
        <v>1</v>
      </c>
      <c r="M238" s="276" t="n">
        <v>1</v>
      </c>
      <c r="N238" s="276" t="n">
        <v>1</v>
      </c>
      <c r="O238" s="276" t="n">
        <v>1</v>
      </c>
      <c r="P238" s="276" t="n">
        <v>1</v>
      </c>
      <c r="Q238" s="277" t="n">
        <v>1</v>
      </c>
      <c r="R238" s="277" t="n">
        <v>1</v>
      </c>
      <c r="S238" s="277" t="n">
        <v>1</v>
      </c>
      <c r="T238" s="277" t="n">
        <v>1</v>
      </c>
      <c r="U238" s="277" t="n">
        <v>1</v>
      </c>
      <c r="V238" s="277" t="n">
        <v>1</v>
      </c>
      <c r="W238" s="277" t="n">
        <v>1</v>
      </c>
      <c r="X238" s="277" t="n">
        <v>1</v>
      </c>
      <c r="Y238" s="277" t="n">
        <v>1</v>
      </c>
      <c r="Z238" s="277" t="n">
        <v>1</v>
      </c>
      <c r="AA238" s="277" t="n">
        <v>1</v>
      </c>
      <c r="AB238" s="277" t="n">
        <v>1</v>
      </c>
      <c r="AC238" s="277" t="n">
        <v>1</v>
      </c>
      <c r="AD238" s="277" t="n">
        <v>1</v>
      </c>
      <c r="AE238" s="277" t="n">
        <v>1</v>
      </c>
      <c r="AF238" s="277" t="n">
        <v>1</v>
      </c>
      <c r="AG238" s="277" t="n">
        <v>1</v>
      </c>
      <c r="AH238" s="277" t="n">
        <v>1</v>
      </c>
      <c r="AI238" s="277" t="n">
        <v>1</v>
      </c>
      <c r="AJ238" s="277" t="n">
        <v>1</v>
      </c>
      <c r="AK238" s="277" t="n">
        <v>1</v>
      </c>
      <c r="AL238" s="277" t="n">
        <v>1</v>
      </c>
      <c r="AM238" s="277" t="n">
        <v>1</v>
      </c>
      <c r="AN238" s="277" t="n">
        <v>1</v>
      </c>
      <c r="AO238" s="277" t="n">
        <v>1</v>
      </c>
      <c r="AP238" s="277" t="n">
        <v>1</v>
      </c>
      <c r="AQ238" s="277" t="n">
        <v>1</v>
      </c>
      <c r="AR238" s="277" t="n">
        <v>1</v>
      </c>
      <c r="AS238" s="277" t="n">
        <v>1</v>
      </c>
      <c r="AT238" s="277" t="n">
        <v>1</v>
      </c>
      <c r="AU238" s="277" t="n">
        <v>1</v>
      </c>
      <c r="AV238" s="277" t="n">
        <v>1</v>
      </c>
      <c r="AW238" s="277" t="n">
        <v>1</v>
      </c>
      <c r="AX238" s="277" t="n">
        <v>1</v>
      </c>
      <c r="AY238" s="277" t="n">
        <v>1</v>
      </c>
      <c r="AZ238" s="277" t="n">
        <v>1</v>
      </c>
    </row>
    <row r="239" customFormat="false" ht="15.75" hidden="false" customHeight="true" outlineLevel="0" collapsed="false">
      <c r="A239" s="200" t="s">
        <v>647</v>
      </c>
      <c r="B239" s="200"/>
      <c r="C239" s="200"/>
      <c r="D239" s="200"/>
      <c r="E239" s="200"/>
      <c r="F239" s="200"/>
      <c r="G239" s="200"/>
      <c r="H239" s="200"/>
      <c r="I239" s="200"/>
      <c r="J239" s="200"/>
      <c r="K239" s="200"/>
      <c r="L239" s="200"/>
      <c r="M239" s="200"/>
      <c r="N239" s="200"/>
      <c r="O239" s="200"/>
      <c r="P239" s="200"/>
      <c r="Q239" s="200"/>
    </row>
    <row r="240" customFormat="false" ht="15" hidden="false" customHeight="false" outlineLevel="0" collapsed="false">
      <c r="A240" s="275" t="s">
        <v>374</v>
      </c>
      <c r="B240" s="275"/>
      <c r="C240" s="276" t="n">
        <v>2050</v>
      </c>
      <c r="D240" s="276" t="n">
        <v>2050</v>
      </c>
      <c r="E240" s="276" t="n">
        <v>2050</v>
      </c>
      <c r="F240" s="276" t="n">
        <v>2050</v>
      </c>
      <c r="G240" s="276" t="n">
        <v>2050</v>
      </c>
      <c r="H240" s="276" t="n">
        <v>2050</v>
      </c>
      <c r="I240" s="276" t="n">
        <v>2050</v>
      </c>
      <c r="J240" s="276" t="n">
        <v>2050</v>
      </c>
      <c r="K240" s="276" t="n">
        <v>2050</v>
      </c>
      <c r="L240" s="276" t="n">
        <v>2050</v>
      </c>
      <c r="M240" s="276" t="n">
        <v>2050</v>
      </c>
      <c r="N240" s="276" t="n">
        <v>2050</v>
      </c>
      <c r="O240" s="276" t="n">
        <v>2050</v>
      </c>
      <c r="P240" s="276" t="n">
        <v>2050</v>
      </c>
      <c r="Q240" s="277" t="n">
        <v>2050</v>
      </c>
      <c r="R240" s="277" t="n">
        <v>2050</v>
      </c>
      <c r="S240" s="277" t="n">
        <v>2050</v>
      </c>
      <c r="T240" s="277" t="n">
        <v>2050</v>
      </c>
      <c r="U240" s="277" t="n">
        <v>2050</v>
      </c>
      <c r="V240" s="277" t="n">
        <v>2050</v>
      </c>
      <c r="W240" s="277" t="n">
        <v>2050</v>
      </c>
      <c r="X240" s="277" t="n">
        <v>2050</v>
      </c>
      <c r="Y240" s="277" t="n">
        <v>2050</v>
      </c>
      <c r="Z240" s="277" t="n">
        <v>2050</v>
      </c>
      <c r="AA240" s="277" t="n">
        <v>2050</v>
      </c>
      <c r="AB240" s="277" t="n">
        <v>2050</v>
      </c>
      <c r="AC240" s="277" t="n">
        <v>2050</v>
      </c>
      <c r="AD240" s="277" t="n">
        <v>2050</v>
      </c>
      <c r="AE240" s="277" t="n">
        <v>2050</v>
      </c>
      <c r="AF240" s="277" t="n">
        <v>2050</v>
      </c>
      <c r="AG240" s="277" t="n">
        <v>2050</v>
      </c>
      <c r="AH240" s="277" t="n">
        <v>2050</v>
      </c>
      <c r="AI240" s="277" t="n">
        <v>2050</v>
      </c>
      <c r="AJ240" s="277" t="n">
        <v>2050</v>
      </c>
      <c r="AK240" s="277" t="n">
        <v>2050</v>
      </c>
      <c r="AL240" s="277" t="n">
        <v>2050</v>
      </c>
      <c r="AM240" s="277" t="n">
        <v>2050</v>
      </c>
      <c r="AN240" s="277" t="n">
        <v>2050</v>
      </c>
      <c r="AO240" s="277" t="n">
        <v>2050</v>
      </c>
      <c r="AP240" s="277" t="n">
        <v>2050</v>
      </c>
      <c r="AQ240" s="277" t="n">
        <v>2050</v>
      </c>
      <c r="AR240" s="277" t="n">
        <v>2050</v>
      </c>
      <c r="AS240" s="277" t="n">
        <v>2050</v>
      </c>
      <c r="AT240" s="277" t="n">
        <v>2050</v>
      </c>
      <c r="AU240" s="277" t="n">
        <v>2050</v>
      </c>
      <c r="AV240" s="277" t="n">
        <v>2050</v>
      </c>
      <c r="AW240" s="277" t="n">
        <v>2050</v>
      </c>
      <c r="AX240" s="277" t="n">
        <v>2050</v>
      </c>
      <c r="AY240" s="277" t="n">
        <v>2050</v>
      </c>
      <c r="AZ240" s="277" t="n">
        <v>2050</v>
      </c>
    </row>
    <row r="241" customFormat="false" ht="15" hidden="false" customHeight="false" outlineLevel="0" collapsed="false">
      <c r="A241" s="275" t="s">
        <v>375</v>
      </c>
      <c r="B241" s="275"/>
      <c r="C241" s="276" t="n">
        <v>2050</v>
      </c>
      <c r="D241" s="276" t="n">
        <v>2050</v>
      </c>
      <c r="E241" s="276" t="n">
        <v>2050</v>
      </c>
      <c r="F241" s="276" t="n">
        <v>2050</v>
      </c>
      <c r="G241" s="276" t="n">
        <v>2050</v>
      </c>
      <c r="H241" s="276" t="n">
        <v>2050</v>
      </c>
      <c r="I241" s="276" t="n">
        <v>2050</v>
      </c>
      <c r="J241" s="276" t="n">
        <v>2050</v>
      </c>
      <c r="K241" s="276" t="n">
        <v>2050</v>
      </c>
      <c r="L241" s="276" t="n">
        <v>2050</v>
      </c>
      <c r="M241" s="276" t="n">
        <v>2050</v>
      </c>
      <c r="N241" s="276" t="n">
        <v>2050</v>
      </c>
      <c r="O241" s="276" t="n">
        <v>2050</v>
      </c>
      <c r="P241" s="276" t="n">
        <v>2050</v>
      </c>
      <c r="Q241" s="277" t="n">
        <v>2050</v>
      </c>
      <c r="R241" s="277" t="n">
        <v>2050</v>
      </c>
      <c r="S241" s="277" t="n">
        <v>2050</v>
      </c>
      <c r="T241" s="277" t="n">
        <v>2050</v>
      </c>
      <c r="U241" s="277" t="n">
        <v>2050</v>
      </c>
      <c r="V241" s="277" t="n">
        <v>2050</v>
      </c>
      <c r="W241" s="277" t="n">
        <v>2050</v>
      </c>
      <c r="X241" s="277" t="n">
        <v>2050</v>
      </c>
      <c r="Y241" s="277" t="n">
        <v>2050</v>
      </c>
      <c r="Z241" s="277" t="n">
        <v>2050</v>
      </c>
      <c r="AA241" s="277" t="n">
        <v>2050</v>
      </c>
      <c r="AB241" s="277" t="n">
        <v>2050</v>
      </c>
      <c r="AC241" s="277" t="n">
        <v>2050</v>
      </c>
      <c r="AD241" s="277" t="n">
        <v>2050</v>
      </c>
      <c r="AE241" s="277" t="n">
        <v>2050</v>
      </c>
      <c r="AF241" s="277" t="n">
        <v>2050</v>
      </c>
      <c r="AG241" s="277" t="n">
        <v>2050</v>
      </c>
      <c r="AH241" s="277" t="n">
        <v>2050</v>
      </c>
      <c r="AI241" s="277" t="n">
        <v>2050</v>
      </c>
      <c r="AJ241" s="277" t="n">
        <v>2050</v>
      </c>
      <c r="AK241" s="277" t="n">
        <v>2050</v>
      </c>
      <c r="AL241" s="277" t="n">
        <v>2050</v>
      </c>
      <c r="AM241" s="277" t="n">
        <v>2050</v>
      </c>
      <c r="AN241" s="277" t="n">
        <v>2050</v>
      </c>
      <c r="AO241" s="277" t="n">
        <v>2050</v>
      </c>
      <c r="AP241" s="277" t="n">
        <v>2050</v>
      </c>
      <c r="AQ241" s="277" t="n">
        <v>2050</v>
      </c>
      <c r="AR241" s="277" t="n">
        <v>2050</v>
      </c>
      <c r="AS241" s="277" t="n">
        <v>2050</v>
      </c>
      <c r="AT241" s="277" t="n">
        <v>2050</v>
      </c>
      <c r="AU241" s="277" t="n">
        <v>2050</v>
      </c>
      <c r="AV241" s="277" t="n">
        <v>2050</v>
      </c>
      <c r="AW241" s="277" t="n">
        <v>2050</v>
      </c>
      <c r="AX241" s="277" t="n">
        <v>2050</v>
      </c>
      <c r="AY241" s="277" t="n">
        <v>2050</v>
      </c>
      <c r="AZ241" s="277" t="n">
        <v>2050</v>
      </c>
    </row>
    <row r="242" customFormat="false" ht="15" hidden="false" customHeight="false" outlineLevel="0" collapsed="false">
      <c r="A242" s="275" t="s">
        <v>376</v>
      </c>
      <c r="B242" s="275"/>
      <c r="C242" s="276" t="n">
        <v>2050</v>
      </c>
      <c r="D242" s="276" t="n">
        <v>2050</v>
      </c>
      <c r="E242" s="276" t="n">
        <v>2050</v>
      </c>
      <c r="F242" s="276" t="n">
        <v>2050</v>
      </c>
      <c r="G242" s="276" t="n">
        <v>2050</v>
      </c>
      <c r="H242" s="276" t="n">
        <v>2050</v>
      </c>
      <c r="I242" s="276" t="n">
        <v>2050</v>
      </c>
      <c r="J242" s="276" t="n">
        <v>2050</v>
      </c>
      <c r="K242" s="276" t="n">
        <v>2050</v>
      </c>
      <c r="L242" s="276" t="n">
        <v>2050</v>
      </c>
      <c r="M242" s="276" t="n">
        <v>2050</v>
      </c>
      <c r="N242" s="276" t="n">
        <v>2050</v>
      </c>
      <c r="O242" s="276" t="n">
        <v>2050</v>
      </c>
      <c r="P242" s="276" t="n">
        <v>2050</v>
      </c>
      <c r="Q242" s="277" t="n">
        <v>2050</v>
      </c>
      <c r="R242" s="277" t="n">
        <v>2050</v>
      </c>
      <c r="S242" s="277" t="n">
        <v>2050</v>
      </c>
      <c r="T242" s="277" t="n">
        <v>2050</v>
      </c>
      <c r="U242" s="277" t="n">
        <v>2050</v>
      </c>
      <c r="V242" s="277" t="n">
        <v>2050</v>
      </c>
      <c r="W242" s="277" t="n">
        <v>2050</v>
      </c>
      <c r="X242" s="277" t="n">
        <v>2050</v>
      </c>
      <c r="Y242" s="277" t="n">
        <v>2050</v>
      </c>
      <c r="Z242" s="277" t="n">
        <v>2050</v>
      </c>
      <c r="AA242" s="277" t="n">
        <v>2050</v>
      </c>
      <c r="AB242" s="277" t="n">
        <v>2050</v>
      </c>
      <c r="AC242" s="277" t="n">
        <v>2050</v>
      </c>
      <c r="AD242" s="277" t="n">
        <v>2050</v>
      </c>
      <c r="AE242" s="277" t="n">
        <v>2050</v>
      </c>
      <c r="AF242" s="277" t="n">
        <v>2050</v>
      </c>
      <c r="AG242" s="277" t="n">
        <v>2050</v>
      </c>
      <c r="AH242" s="277" t="n">
        <v>2050</v>
      </c>
      <c r="AI242" s="277" t="n">
        <v>2050</v>
      </c>
      <c r="AJ242" s="277" t="n">
        <v>2050</v>
      </c>
      <c r="AK242" s="277" t="n">
        <v>2050</v>
      </c>
      <c r="AL242" s="277" t="n">
        <v>2050</v>
      </c>
      <c r="AM242" s="277" t="n">
        <v>2050</v>
      </c>
      <c r="AN242" s="277" t="n">
        <v>2050</v>
      </c>
      <c r="AO242" s="277" t="n">
        <v>2050</v>
      </c>
      <c r="AP242" s="277" t="n">
        <v>2050</v>
      </c>
      <c r="AQ242" s="277" t="n">
        <v>2050</v>
      </c>
      <c r="AR242" s="277" t="n">
        <v>2050</v>
      </c>
      <c r="AS242" s="277" t="n">
        <v>2050</v>
      </c>
      <c r="AT242" s="277" t="n">
        <v>2050</v>
      </c>
      <c r="AU242" s="277" t="n">
        <v>2050</v>
      </c>
      <c r="AV242" s="277" t="n">
        <v>2050</v>
      </c>
      <c r="AW242" s="277" t="n">
        <v>2050</v>
      </c>
      <c r="AX242" s="277" t="n">
        <v>2050</v>
      </c>
      <c r="AY242" s="277" t="n">
        <v>2050</v>
      </c>
      <c r="AZ242" s="277" t="n">
        <v>2050</v>
      </c>
    </row>
    <row r="243" customFormat="false" ht="15" hidden="false" customHeight="false" outlineLevel="0" collapsed="false">
      <c r="A243" s="275" t="s">
        <v>377</v>
      </c>
      <c r="B243" s="275"/>
      <c r="C243" s="276" t="n">
        <v>2050</v>
      </c>
      <c r="D243" s="276" t="n">
        <v>2050</v>
      </c>
      <c r="E243" s="276" t="n">
        <v>2050</v>
      </c>
      <c r="F243" s="276" t="n">
        <v>2050</v>
      </c>
      <c r="G243" s="276" t="n">
        <v>2050</v>
      </c>
      <c r="H243" s="276" t="n">
        <v>2050</v>
      </c>
      <c r="I243" s="276" t="n">
        <v>2050</v>
      </c>
      <c r="J243" s="276" t="n">
        <v>2050</v>
      </c>
      <c r="K243" s="276" t="n">
        <v>2050</v>
      </c>
      <c r="L243" s="276" t="n">
        <v>2050</v>
      </c>
      <c r="M243" s="276" t="n">
        <v>2050</v>
      </c>
      <c r="N243" s="276" t="n">
        <v>2050</v>
      </c>
      <c r="O243" s="276" t="n">
        <v>2050</v>
      </c>
      <c r="P243" s="276" t="n">
        <v>2050</v>
      </c>
      <c r="Q243" s="277" t="n">
        <v>2050</v>
      </c>
      <c r="R243" s="277" t="n">
        <v>2050</v>
      </c>
      <c r="S243" s="277" t="n">
        <v>2050</v>
      </c>
      <c r="T243" s="277" t="n">
        <v>2050</v>
      </c>
      <c r="U243" s="277" t="n">
        <v>2050</v>
      </c>
      <c r="V243" s="277" t="n">
        <v>2050</v>
      </c>
      <c r="W243" s="277" t="n">
        <v>2050</v>
      </c>
      <c r="X243" s="277" t="n">
        <v>2050</v>
      </c>
      <c r="Y243" s="277" t="n">
        <v>2050</v>
      </c>
      <c r="Z243" s="277" t="n">
        <v>2050</v>
      </c>
      <c r="AA243" s="277" t="n">
        <v>2050</v>
      </c>
      <c r="AB243" s="277" t="n">
        <v>2050</v>
      </c>
      <c r="AC243" s="277" t="n">
        <v>2050</v>
      </c>
      <c r="AD243" s="277" t="n">
        <v>2050</v>
      </c>
      <c r="AE243" s="277" t="n">
        <v>2050</v>
      </c>
      <c r="AF243" s="277" t="n">
        <v>2050</v>
      </c>
      <c r="AG243" s="277" t="n">
        <v>2050</v>
      </c>
      <c r="AH243" s="277" t="n">
        <v>2050</v>
      </c>
      <c r="AI243" s="277" t="n">
        <v>2050</v>
      </c>
      <c r="AJ243" s="277" t="n">
        <v>2050</v>
      </c>
      <c r="AK243" s="277" t="n">
        <v>2050</v>
      </c>
      <c r="AL243" s="277" t="n">
        <v>2050</v>
      </c>
      <c r="AM243" s="277" t="n">
        <v>2050</v>
      </c>
      <c r="AN243" s="277" t="n">
        <v>2050</v>
      </c>
      <c r="AO243" s="277" t="n">
        <v>2050</v>
      </c>
      <c r="AP243" s="277" t="n">
        <v>2050</v>
      </c>
      <c r="AQ243" s="277" t="n">
        <v>2050</v>
      </c>
      <c r="AR243" s="277" t="n">
        <v>2050</v>
      </c>
      <c r="AS243" s="277" t="n">
        <v>2050</v>
      </c>
      <c r="AT243" s="277" t="n">
        <v>2050</v>
      </c>
      <c r="AU243" s="277" t="n">
        <v>2050</v>
      </c>
      <c r="AV243" s="277" t="n">
        <v>2050</v>
      </c>
      <c r="AW243" s="277" t="n">
        <v>2050</v>
      </c>
      <c r="AX243" s="277" t="n">
        <v>2050</v>
      </c>
      <c r="AY243" s="277" t="n">
        <v>2050</v>
      </c>
      <c r="AZ243" s="277" t="n">
        <v>2050</v>
      </c>
    </row>
    <row r="244" customFormat="false" ht="15" hidden="false" customHeight="false" outlineLevel="0" collapsed="false">
      <c r="A244" s="275" t="s">
        <v>378</v>
      </c>
      <c r="B244" s="275"/>
      <c r="C244" s="278" t="n">
        <v>2050</v>
      </c>
      <c r="D244" s="278" t="n">
        <v>2050</v>
      </c>
      <c r="E244" s="278" t="n">
        <v>2050</v>
      </c>
      <c r="F244" s="278" t="n">
        <v>2050</v>
      </c>
      <c r="G244" s="278" t="n">
        <v>2050</v>
      </c>
      <c r="H244" s="278" t="n">
        <v>2050</v>
      </c>
      <c r="I244" s="278" t="n">
        <v>2050</v>
      </c>
      <c r="J244" s="278" t="n">
        <v>2050</v>
      </c>
      <c r="K244" s="278" t="n">
        <v>2050</v>
      </c>
      <c r="L244" s="278" t="n">
        <v>2050</v>
      </c>
      <c r="M244" s="278" t="n">
        <v>2050</v>
      </c>
      <c r="N244" s="278" t="n">
        <v>2050</v>
      </c>
      <c r="O244" s="278" t="n">
        <v>2050</v>
      </c>
      <c r="P244" s="278" t="n">
        <v>2050</v>
      </c>
      <c r="Q244" s="279" t="n">
        <v>2050</v>
      </c>
      <c r="R244" s="279" t="n">
        <v>2050</v>
      </c>
      <c r="S244" s="279" t="n">
        <v>2050</v>
      </c>
      <c r="T244" s="279" t="n">
        <v>2050</v>
      </c>
      <c r="U244" s="279" t="n">
        <v>2050</v>
      </c>
      <c r="V244" s="279" t="n">
        <v>2050</v>
      </c>
      <c r="W244" s="279" t="n">
        <v>2050</v>
      </c>
      <c r="X244" s="279" t="n">
        <v>2050</v>
      </c>
      <c r="Y244" s="279" t="n">
        <v>2050</v>
      </c>
      <c r="Z244" s="279" t="n">
        <v>2050</v>
      </c>
      <c r="AA244" s="279" t="n">
        <v>2050</v>
      </c>
      <c r="AB244" s="279" t="n">
        <v>2050</v>
      </c>
      <c r="AC244" s="279" t="n">
        <v>2050</v>
      </c>
      <c r="AD244" s="279" t="n">
        <v>2050</v>
      </c>
      <c r="AE244" s="279" t="n">
        <v>2050</v>
      </c>
      <c r="AF244" s="279" t="n">
        <v>2050</v>
      </c>
      <c r="AG244" s="279" t="n">
        <v>2050</v>
      </c>
      <c r="AH244" s="279" t="n">
        <v>2050</v>
      </c>
      <c r="AI244" s="279" t="n">
        <v>2050</v>
      </c>
      <c r="AJ244" s="279" t="n">
        <v>2050</v>
      </c>
      <c r="AK244" s="279" t="n">
        <v>2050</v>
      </c>
      <c r="AL244" s="279" t="n">
        <v>2050</v>
      </c>
      <c r="AM244" s="279" t="n">
        <v>2050</v>
      </c>
      <c r="AN244" s="279" t="n">
        <v>2050</v>
      </c>
      <c r="AO244" s="279" t="n">
        <v>2050</v>
      </c>
      <c r="AP244" s="279" t="n">
        <v>2050</v>
      </c>
      <c r="AQ244" s="279" t="n">
        <v>2050</v>
      </c>
      <c r="AR244" s="279" t="n">
        <v>2050</v>
      </c>
      <c r="AS244" s="279" t="n">
        <v>2050</v>
      </c>
      <c r="AT244" s="279" t="n">
        <v>2050</v>
      </c>
      <c r="AU244" s="279" t="n">
        <v>2050</v>
      </c>
      <c r="AV244" s="279" t="n">
        <v>2050</v>
      </c>
      <c r="AW244" s="279" t="n">
        <v>2050</v>
      </c>
      <c r="AX244" s="279" t="n">
        <v>2050</v>
      </c>
      <c r="AY244" s="279" t="n">
        <v>2050</v>
      </c>
      <c r="AZ244" s="279" t="n">
        <v>2050</v>
      </c>
    </row>
    <row r="246" customFormat="false" ht="23.25" hidden="false" customHeight="true" outlineLevel="0" collapsed="false">
      <c r="A246" s="200" t="s">
        <v>386</v>
      </c>
      <c r="B246" s="200"/>
      <c r="C246" s="200"/>
    </row>
    <row r="247" customFormat="false" ht="15.75" hidden="false" customHeight="true" outlineLevel="0" collapsed="false">
      <c r="A247" s="245" t="s">
        <v>387</v>
      </c>
      <c r="B247" s="280" t="s">
        <v>388</v>
      </c>
      <c r="C247" s="281" t="n">
        <v>1</v>
      </c>
    </row>
    <row r="248" customFormat="false" ht="14.25" hidden="false" customHeight="true" outlineLevel="0" collapsed="false">
      <c r="A248" s="245"/>
      <c r="B248" s="280" t="s">
        <v>389</v>
      </c>
      <c r="C248" s="281"/>
    </row>
    <row r="249" customFormat="false" ht="15" hidden="false" customHeight="false" outlineLevel="0" collapsed="false">
      <c r="A249" s="208" t="s">
        <v>648</v>
      </c>
      <c r="B249" s="280" t="s">
        <v>36</v>
      </c>
      <c r="C249" s="204" t="n">
        <v>2020</v>
      </c>
    </row>
    <row r="250" customFormat="false" ht="15" hidden="false" customHeight="false" outlineLevel="0" collapsed="false">
      <c r="A250" s="282" t="s">
        <v>390</v>
      </c>
      <c r="B250" s="283" t="s">
        <v>36</v>
      </c>
      <c r="C250" s="284" t="n">
        <v>2050</v>
      </c>
    </row>
    <row r="251" customFormat="false" ht="14.25" hidden="false" customHeight="true" outlineLevel="0" collapsed="false">
      <c r="A251" s="200" t="s">
        <v>394</v>
      </c>
      <c r="B251" s="200"/>
      <c r="C251" s="200"/>
      <c r="D251" s="200"/>
      <c r="E251" s="200"/>
      <c r="F251" s="200"/>
      <c r="G251" s="200"/>
      <c r="H251" s="200"/>
      <c r="I251" s="200"/>
      <c r="J251" s="200"/>
      <c r="K251" s="200"/>
      <c r="L251" s="200"/>
      <c r="M251" s="200"/>
      <c r="N251" s="200"/>
      <c r="O251" s="200"/>
      <c r="P251" s="200"/>
      <c r="Q251" s="200"/>
    </row>
    <row r="252" customFormat="false" ht="15" hidden="false" customHeight="false" outlineLevel="0" collapsed="false">
      <c r="A252" s="285" t="s">
        <v>649</v>
      </c>
      <c r="B252" s="285"/>
      <c r="C252" s="273" t="s">
        <v>580</v>
      </c>
      <c r="D252" s="273" t="s">
        <v>597</v>
      </c>
      <c r="E252" s="273" t="s">
        <v>598</v>
      </c>
      <c r="F252" s="273" t="s">
        <v>599</v>
      </c>
      <c r="G252" s="273" t="s">
        <v>600</v>
      </c>
      <c r="H252" s="273" t="s">
        <v>601</v>
      </c>
      <c r="I252" s="273" t="s">
        <v>602</v>
      </c>
      <c r="J252" s="273" t="s">
        <v>603</v>
      </c>
      <c r="K252" s="273" t="s">
        <v>354</v>
      </c>
      <c r="L252" s="273" t="s">
        <v>369</v>
      </c>
      <c r="M252" s="273" t="s">
        <v>604</v>
      </c>
      <c r="N252" s="273" t="s">
        <v>605</v>
      </c>
      <c r="O252" s="273" t="s">
        <v>606</v>
      </c>
      <c r="P252" s="273" t="s">
        <v>607</v>
      </c>
      <c r="Q252" s="274" t="s">
        <v>608</v>
      </c>
      <c r="R252" s="274" t="s">
        <v>609</v>
      </c>
      <c r="S252" s="274" t="s">
        <v>610</v>
      </c>
      <c r="T252" s="274" t="s">
        <v>611</v>
      </c>
      <c r="U252" s="274" t="s">
        <v>612</v>
      </c>
      <c r="V252" s="274" t="s">
        <v>613</v>
      </c>
      <c r="W252" s="274" t="s">
        <v>614</v>
      </c>
      <c r="X252" s="274" t="s">
        <v>615</v>
      </c>
      <c r="Y252" s="274" t="s">
        <v>616</v>
      </c>
      <c r="Z252" s="274" t="s">
        <v>617</v>
      </c>
      <c r="AA252" s="274" t="s">
        <v>618</v>
      </c>
      <c r="AB252" s="274" t="s">
        <v>619</v>
      </c>
      <c r="AC252" s="274" t="s">
        <v>620</v>
      </c>
      <c r="AD252" s="274" t="s">
        <v>621</v>
      </c>
      <c r="AE252" s="1" t="s">
        <v>622</v>
      </c>
      <c r="AF252" s="1" t="s">
        <v>623</v>
      </c>
      <c r="AG252" s="1" t="s">
        <v>624</v>
      </c>
      <c r="AH252" s="1" t="s">
        <v>625</v>
      </c>
      <c r="AI252" s="1" t="s">
        <v>626</v>
      </c>
      <c r="AJ252" s="1" t="s">
        <v>627</v>
      </c>
      <c r="AK252" s="1" t="s">
        <v>628</v>
      </c>
      <c r="AL252" s="1" t="s">
        <v>629</v>
      </c>
      <c r="AM252" s="1" t="s">
        <v>630</v>
      </c>
      <c r="AN252" s="1" t="s">
        <v>631</v>
      </c>
      <c r="AO252" s="1" t="s">
        <v>632</v>
      </c>
      <c r="AP252" s="1" t="s">
        <v>633</v>
      </c>
      <c r="AQ252" s="1" t="s">
        <v>634</v>
      </c>
      <c r="AR252" s="1" t="s">
        <v>635</v>
      </c>
      <c r="AS252" s="1" t="s">
        <v>636</v>
      </c>
      <c r="AT252" s="1" t="s">
        <v>637</v>
      </c>
      <c r="AU252" s="1" t="s">
        <v>638</v>
      </c>
      <c r="AV252" s="1" t="s">
        <v>639</v>
      </c>
      <c r="AW252" s="1" t="s">
        <v>640</v>
      </c>
      <c r="AX252" s="1" t="s">
        <v>641</v>
      </c>
      <c r="AY252" s="1" t="s">
        <v>642</v>
      </c>
      <c r="AZ252" s="1" t="s">
        <v>643</v>
      </c>
    </row>
    <row r="253" customFormat="false" ht="16.4" hidden="false" customHeight="false" outlineLevel="0" collapsed="false">
      <c r="A253" s="286" t="s">
        <v>374</v>
      </c>
      <c r="B253" s="286"/>
      <c r="C253" s="287" t="n">
        <v>6.63886470341898E-007</v>
      </c>
      <c r="D253" s="287" t="n">
        <v>3.94150567716759E-007</v>
      </c>
      <c r="E253" s="287" t="n">
        <v>2.60568742418199E-007</v>
      </c>
      <c r="F253" s="287" t="n">
        <v>6.18039564557812E-007</v>
      </c>
      <c r="G253" s="287" t="n">
        <v>9.7945182522388E-012</v>
      </c>
      <c r="H253" s="287" t="n">
        <v>7.30787418870611E-007</v>
      </c>
      <c r="I253" s="287" t="n">
        <v>3.79996708414692E-007</v>
      </c>
      <c r="J253" s="287" t="n">
        <v>5.57245049378412E-008</v>
      </c>
      <c r="K253" s="287" t="n">
        <v>3.61288267486793E-008</v>
      </c>
      <c r="L253" s="287" t="n">
        <v>2.5952047310106E-007</v>
      </c>
      <c r="M253" s="287" t="n">
        <v>8.27091816090622E-007</v>
      </c>
      <c r="N253" s="287" t="n">
        <v>5.65420601412154E-007</v>
      </c>
      <c r="O253" s="287" t="n">
        <v>7.21581299965534E-008</v>
      </c>
      <c r="P253" s="287" t="n">
        <v>1.15467604006966E-007</v>
      </c>
      <c r="Q253" s="287" t="n">
        <v>5.86077156941521E-007</v>
      </c>
      <c r="R253" s="287" t="n">
        <v>1.79320763389123E-008</v>
      </c>
      <c r="S253" s="287" t="n">
        <v>6.43633772333513E-008</v>
      </c>
      <c r="T253" s="287" t="n">
        <v>2.23024552956448E-007</v>
      </c>
      <c r="U253" s="287" t="n">
        <v>6.40515485778184E-008</v>
      </c>
      <c r="V253" s="287" t="n">
        <v>1.99496814280996E-007</v>
      </c>
      <c r="W253" s="287" t="n">
        <v>2.16510736064606E-007</v>
      </c>
      <c r="X253" s="287" t="n">
        <v>2.30452333108599E-009</v>
      </c>
      <c r="Y253" s="287" t="n">
        <v>1.70445443975063E-007</v>
      </c>
      <c r="Z253" s="287" t="n">
        <v>2.14575741626411E-007</v>
      </c>
      <c r="AA253" s="287" t="n">
        <v>1.05813934184632E-007</v>
      </c>
      <c r="AB253" s="287" t="n">
        <v>1.43702630489252E-007</v>
      </c>
      <c r="AC253" s="287" t="n">
        <v>7.13526139338255E-007</v>
      </c>
      <c r="AD253" s="287" t="n">
        <v>5.78349221314126E-008</v>
      </c>
      <c r="AE253" s="287" t="n">
        <v>4.55283697897388E-007</v>
      </c>
      <c r="AF253" s="287" t="n">
        <v>1.4631072238219E-012</v>
      </c>
      <c r="AG253" s="287" t="n">
        <v>8.90634162582962E-007</v>
      </c>
      <c r="AH253" s="287" t="n">
        <v>9.95236494024349E-008</v>
      </c>
      <c r="AI253" s="287" t="n">
        <v>4.39854052739937E-007</v>
      </c>
      <c r="AJ253" s="287" t="n">
        <v>1.54705102206599E-006</v>
      </c>
      <c r="AK253" s="287" t="n">
        <v>1.67290094289979E-007</v>
      </c>
      <c r="AL253" s="287" t="n">
        <v>4.80047702366887E-008</v>
      </c>
      <c r="AM253" s="287" t="n">
        <v>2.43605175777352E-007</v>
      </c>
      <c r="AN253" s="287" t="n">
        <v>2.14930417487574E-007</v>
      </c>
      <c r="AO253" s="287" t="n">
        <v>5.2163583308111E-007</v>
      </c>
      <c r="AP253" s="287" t="n">
        <v>4.57953895527142E-008</v>
      </c>
      <c r="AQ253" s="287" t="n">
        <v>2.21076614024649E-007</v>
      </c>
      <c r="AR253" s="287" t="n">
        <v>7.17335252429736E-007</v>
      </c>
      <c r="AS253" s="287" t="n">
        <v>2.29855691026717E-007</v>
      </c>
      <c r="AT253" s="287" t="n">
        <v>3.59353945637237E-007</v>
      </c>
      <c r="AU253" s="287" t="n">
        <v>5.55277486818566E-008</v>
      </c>
      <c r="AV253" s="287" t="n">
        <v>2.76146559048761E-007</v>
      </c>
      <c r="AW253" s="287" t="n">
        <v>1.2478451666421E-007</v>
      </c>
      <c r="AX253" s="287" t="n">
        <v>7.90194845804216E-007</v>
      </c>
      <c r="AY253" s="287" t="n">
        <v>1.76720754271825E-007</v>
      </c>
      <c r="AZ253" s="287" t="n">
        <v>2.83769321539764E-007</v>
      </c>
    </row>
    <row r="254" customFormat="false" ht="16.4" hidden="false" customHeight="false" outlineLevel="0" collapsed="false">
      <c r="A254" s="286" t="s">
        <v>375</v>
      </c>
      <c r="B254" s="286"/>
      <c r="C254" s="287" t="n">
        <v>2.96516881270739E-007</v>
      </c>
      <c r="D254" s="287" t="n">
        <v>8.10772503054704E-008</v>
      </c>
      <c r="E254" s="287" t="n">
        <v>7.89829863900569E-008</v>
      </c>
      <c r="F254" s="287" t="n">
        <v>6.20388803050883E-008</v>
      </c>
      <c r="G254" s="287" t="n">
        <v>0</v>
      </c>
      <c r="H254" s="287" t="n">
        <v>4.7908817149566E-007</v>
      </c>
      <c r="I254" s="287" t="n">
        <v>3.57502383554569E-007</v>
      </c>
      <c r="J254" s="287" t="n">
        <v>1.06554192034763E-008</v>
      </c>
      <c r="K254" s="287" t="n">
        <v>7.99584554772683E-010</v>
      </c>
      <c r="L254" s="287" t="n">
        <v>8.52185138273226E-008</v>
      </c>
      <c r="M254" s="287" t="n">
        <v>2.14852762100774E-007</v>
      </c>
      <c r="N254" s="287" t="n">
        <v>1.10895766402122E-007</v>
      </c>
      <c r="O254" s="287" t="n">
        <v>1.39506978647443E-008</v>
      </c>
      <c r="P254" s="287" t="n">
        <v>1.51103032914926E-010</v>
      </c>
      <c r="Q254" s="287" t="n">
        <v>1.10118569158592E-007</v>
      </c>
      <c r="R254" s="287" t="n">
        <v>1.80174543212224E-008</v>
      </c>
      <c r="S254" s="287" t="n">
        <v>2.71629176508381E-008</v>
      </c>
      <c r="T254" s="287" t="n">
        <v>3.77721969217409E-008</v>
      </c>
      <c r="U254" s="287" t="n">
        <v>1.76200452781978E-008</v>
      </c>
      <c r="V254" s="287" t="n">
        <v>2.19715555458601E-011</v>
      </c>
      <c r="W254" s="287" t="n">
        <v>1.58704076568663E-008</v>
      </c>
      <c r="X254" s="287" t="n">
        <v>3.74917296314513E-011</v>
      </c>
      <c r="Y254" s="287" t="n">
        <v>1.34122216941754E-008</v>
      </c>
      <c r="Z254" s="287" t="n">
        <v>4.03874291054144E-008</v>
      </c>
      <c r="AA254" s="287" t="n">
        <v>8.53530814195144E-009</v>
      </c>
      <c r="AB254" s="287" t="n">
        <v>2.66228149798063E-008</v>
      </c>
      <c r="AC254" s="287" t="n">
        <v>4.70114190176689E-008</v>
      </c>
      <c r="AD254" s="287" t="n">
        <v>7.65154022401153E-009</v>
      </c>
      <c r="AE254" s="287" t="n">
        <v>1.32331150029219E-007</v>
      </c>
      <c r="AF254" s="287" t="n">
        <v>6.39098839548138E-013</v>
      </c>
      <c r="AG254" s="287" t="n">
        <v>5.12692740849996E-008</v>
      </c>
      <c r="AH254" s="287" t="n">
        <v>1.54183260641453E-008</v>
      </c>
      <c r="AI254" s="287" t="n">
        <v>5.08338935291531E-008</v>
      </c>
      <c r="AJ254" s="287" t="n">
        <v>4.53503147387902E-007</v>
      </c>
      <c r="AK254" s="287" t="n">
        <v>2.39586561887609E-008</v>
      </c>
      <c r="AL254" s="287" t="n">
        <v>3.50964702072094E-010</v>
      </c>
      <c r="AM254" s="287" t="n">
        <v>5.11551738455244E-008</v>
      </c>
      <c r="AN254" s="287" t="n">
        <v>5.09548143847647E-008</v>
      </c>
      <c r="AO254" s="287" t="n">
        <v>6.64316566547081E-008</v>
      </c>
      <c r="AP254" s="287" t="n">
        <v>1.18680324465321E-008</v>
      </c>
      <c r="AQ254" s="287" t="n">
        <v>2.72388475655604E-008</v>
      </c>
      <c r="AR254" s="287" t="n">
        <v>1.19222167639975E-007</v>
      </c>
      <c r="AS254" s="287" t="n">
        <v>4.49207481195052E-008</v>
      </c>
      <c r="AT254" s="287" t="n">
        <v>5.30722949091413E-008</v>
      </c>
      <c r="AU254" s="287" t="n">
        <v>9.59470293662527E-009</v>
      </c>
      <c r="AV254" s="287" t="n">
        <v>3.42310884882536E-008</v>
      </c>
      <c r="AW254" s="287" t="n">
        <v>2.95967932048111E-008</v>
      </c>
      <c r="AX254" s="287" t="n">
        <v>2.02052307354887E-007</v>
      </c>
      <c r="AY254" s="287" t="n">
        <v>3.54878329047639E-008</v>
      </c>
      <c r="AZ254" s="287" t="n">
        <v>9.76491392770843E-008</v>
      </c>
    </row>
    <row r="255" customFormat="false" ht="16.4" hidden="false" customHeight="false" outlineLevel="0" collapsed="false">
      <c r="A255" s="286" t="s">
        <v>376</v>
      </c>
      <c r="B255" s="286"/>
      <c r="C255" s="287" t="n">
        <v>1.03985060477212E-007</v>
      </c>
      <c r="D255" s="287" t="n">
        <v>1.05816095143156E-008</v>
      </c>
      <c r="E255" s="287" t="n">
        <v>8.62963840675025E-009</v>
      </c>
      <c r="F255" s="287" t="n">
        <v>6.39515827658307E-007</v>
      </c>
      <c r="G255" s="287" t="n">
        <v>2.59538869563096E-006</v>
      </c>
      <c r="H255" s="287" t="n">
        <v>1.45063395572007E-007</v>
      </c>
      <c r="I255" s="287" t="n">
        <v>7.71028297251538E-007</v>
      </c>
      <c r="J255" s="287" t="n">
        <v>4.84240843028939E-009</v>
      </c>
      <c r="K255" s="287" t="n">
        <v>3.11908643205391E-008</v>
      </c>
      <c r="L255" s="287" t="n">
        <v>7.14265826479656E-009</v>
      </c>
      <c r="M255" s="287" t="n">
        <v>3.56275094935266E-009</v>
      </c>
      <c r="N255" s="287" t="n">
        <v>5.24606565118125E-008</v>
      </c>
      <c r="O255" s="287" t="n">
        <v>4.64960103230333E-009</v>
      </c>
      <c r="P255" s="287" t="n">
        <v>6.18316953439596E-007</v>
      </c>
      <c r="Q255" s="287" t="n">
        <v>2.62773167010878E-008</v>
      </c>
      <c r="R255" s="287" t="n">
        <v>9.57826879928728E-008</v>
      </c>
      <c r="S255" s="287" t="n">
        <v>2.65813949416685E-009</v>
      </c>
      <c r="T255" s="287" t="n">
        <v>6.98132192781577E-009</v>
      </c>
      <c r="U255" s="287" t="n">
        <v>7.59936250316163E-009</v>
      </c>
      <c r="V255" s="287" t="n">
        <v>0</v>
      </c>
      <c r="W255" s="287" t="n">
        <v>7.51070502157832E-009</v>
      </c>
      <c r="X255" s="287" t="n">
        <v>0</v>
      </c>
      <c r="Y255" s="287" t="n">
        <v>4.05931896677906E-009</v>
      </c>
      <c r="Z255" s="287" t="n">
        <v>0</v>
      </c>
      <c r="AA255" s="287" t="n">
        <v>0</v>
      </c>
      <c r="AB255" s="287" t="n">
        <v>0</v>
      </c>
      <c r="AC255" s="287" t="n">
        <v>0</v>
      </c>
      <c r="AD255" s="287" t="n">
        <v>0</v>
      </c>
      <c r="AE255" s="287" t="n">
        <v>0</v>
      </c>
      <c r="AF255" s="287" t="n">
        <v>1.86869684099419E-006</v>
      </c>
      <c r="AG255" s="287" t="n">
        <v>1.61004890655885E-008</v>
      </c>
      <c r="AH255" s="287" t="n">
        <v>1.02044014948275E-008</v>
      </c>
      <c r="AI255" s="287" t="n">
        <v>2.24791935659965E-008</v>
      </c>
      <c r="AJ255" s="287" t="n">
        <v>2.75313261448201E-008</v>
      </c>
      <c r="AK255" s="287" t="n">
        <v>7.35478089435239E-009</v>
      </c>
      <c r="AL255" s="287" t="n">
        <v>3.13860550502194E-009</v>
      </c>
      <c r="AM255" s="287" t="n">
        <v>1.42818807900209E-008</v>
      </c>
      <c r="AN255" s="287" t="n">
        <v>4.29677219161295E-009</v>
      </c>
      <c r="AO255" s="287" t="n">
        <v>9.58563143408979E-009</v>
      </c>
      <c r="AP255" s="287" t="n">
        <v>1.62907973119895E-008</v>
      </c>
      <c r="AQ255" s="287" t="n">
        <v>1.12366081406735E-008</v>
      </c>
      <c r="AR255" s="287" t="n">
        <v>3.0619441960548E-008</v>
      </c>
      <c r="AS255" s="287" t="n">
        <v>2.18427314304282E-008</v>
      </c>
      <c r="AT255" s="287" t="n">
        <v>2.11221032080138E-008</v>
      </c>
      <c r="AU255" s="287" t="n">
        <v>6.35867131517186E-009</v>
      </c>
      <c r="AV255" s="287" t="n">
        <v>7.51800346755243E-009</v>
      </c>
      <c r="AW255" s="287" t="n">
        <v>8.26424165067171E-009</v>
      </c>
      <c r="AX255" s="287" t="n">
        <v>1.32083817894127E-008</v>
      </c>
      <c r="AY255" s="287" t="n">
        <v>1.98862491171199E-008</v>
      </c>
      <c r="AZ255" s="287" t="n">
        <v>8.93467073806494E-009</v>
      </c>
    </row>
    <row r="256" customFormat="false" ht="16.4" hidden="false" customHeight="false" outlineLevel="0" collapsed="false">
      <c r="A256" s="286" t="s">
        <v>377</v>
      </c>
      <c r="B256" s="286"/>
      <c r="C256" s="287" t="n">
        <v>2.37805242084638E-007</v>
      </c>
      <c r="D256" s="287" t="n">
        <v>2.41590751071734E-008</v>
      </c>
      <c r="E256" s="287" t="n">
        <v>1.64535942486436E-007</v>
      </c>
      <c r="F256" s="287" t="n">
        <v>1.6366374270558E-007</v>
      </c>
      <c r="G256" s="287" t="n">
        <v>1.23252359463612E-013</v>
      </c>
      <c r="H256" s="287" t="n">
        <v>2.12205292907869E-007</v>
      </c>
      <c r="I256" s="287" t="n">
        <v>3.0042902981562E-007</v>
      </c>
      <c r="J256" s="287" t="n">
        <v>2.06433622855199E-009</v>
      </c>
      <c r="K256" s="287" t="n">
        <v>8.02757779372753E-009</v>
      </c>
      <c r="L256" s="287" t="n">
        <v>5.1665115339739E-008</v>
      </c>
      <c r="M256" s="287" t="n">
        <v>3.09001090236525E-008</v>
      </c>
      <c r="N256" s="287" t="n">
        <v>1.52742359319682E-007</v>
      </c>
      <c r="O256" s="287" t="n">
        <v>9.39539928774511E-009</v>
      </c>
      <c r="P256" s="287" t="n">
        <v>1.73427341625118E-010</v>
      </c>
      <c r="Q256" s="287" t="n">
        <v>2.03760195363012E-007</v>
      </c>
      <c r="R256" s="287" t="n">
        <v>4.45075967337456E-009</v>
      </c>
      <c r="S256" s="287" t="n">
        <v>1.44876128952679E-008</v>
      </c>
      <c r="T256" s="287" t="n">
        <v>3.62943782334155E-008</v>
      </c>
      <c r="U256" s="287" t="n">
        <v>1.83385587676844E-008</v>
      </c>
      <c r="V256" s="287" t="n">
        <v>0</v>
      </c>
      <c r="W256" s="287" t="n">
        <v>4.24162858292576E-008</v>
      </c>
      <c r="X256" s="287" t="n">
        <v>0</v>
      </c>
      <c r="Y256" s="287" t="n">
        <v>2.81370479987201E-008</v>
      </c>
      <c r="Z256" s="287" t="n">
        <v>0</v>
      </c>
      <c r="AA256" s="287" t="n">
        <v>0</v>
      </c>
      <c r="AB256" s="287" t="n">
        <v>0</v>
      </c>
      <c r="AC256" s="287" t="n">
        <v>0</v>
      </c>
      <c r="AD256" s="287" t="n">
        <v>0</v>
      </c>
      <c r="AE256" s="287" t="n">
        <v>0</v>
      </c>
      <c r="AF256" s="287" t="n">
        <v>4.998673491132E-011</v>
      </c>
      <c r="AG256" s="287" t="n">
        <v>2.53513941095283E-007</v>
      </c>
      <c r="AH256" s="287" t="n">
        <v>7.55867901348769E-009</v>
      </c>
      <c r="AI256" s="287" t="n">
        <v>2.78354650919815E-008</v>
      </c>
      <c r="AJ256" s="287" t="n">
        <v>2.67083013381304E-007</v>
      </c>
      <c r="AK256" s="287" t="n">
        <v>4.15935189990369E-009</v>
      </c>
      <c r="AL256" s="287" t="n">
        <v>7.72133429019673E-007</v>
      </c>
      <c r="AM256" s="287" t="n">
        <v>1.58984479678419E-007</v>
      </c>
      <c r="AN256" s="287" t="n">
        <v>3.0208541449537E-009</v>
      </c>
      <c r="AO256" s="287" t="n">
        <v>7.62737548565083E-009</v>
      </c>
      <c r="AP256" s="287" t="n">
        <v>5.46632593848939E-009</v>
      </c>
      <c r="AQ256" s="287" t="n">
        <v>2.79167899693875E-008</v>
      </c>
      <c r="AR256" s="287" t="n">
        <v>2.83142259225388E-008</v>
      </c>
      <c r="AS256" s="287" t="n">
        <v>1.40315060224337E-008</v>
      </c>
      <c r="AT256" s="287" t="n">
        <v>4.08162195231356E-008</v>
      </c>
      <c r="AU256" s="287" t="n">
        <v>2.9850469705488E-008</v>
      </c>
      <c r="AV256" s="287" t="n">
        <v>8.10993964528122E-008</v>
      </c>
      <c r="AW256" s="287" t="n">
        <v>5.37079390876278E-009</v>
      </c>
      <c r="AX256" s="287" t="n">
        <v>9.51620164224819E-009</v>
      </c>
      <c r="AY256" s="287" t="n">
        <v>1.75384761655157E-008</v>
      </c>
      <c r="AZ256" s="287" t="n">
        <v>1.50128470573686E-008</v>
      </c>
    </row>
    <row r="257" customFormat="false" ht="16.4" hidden="false" customHeight="false" outlineLevel="0" collapsed="false">
      <c r="A257" s="288" t="s">
        <v>378</v>
      </c>
      <c r="B257" s="288"/>
      <c r="C257" s="287" t="n">
        <v>3.55254103935776E-007</v>
      </c>
      <c r="D257" s="287" t="n">
        <v>2.293184615359E-008</v>
      </c>
      <c r="E257" s="287" t="n">
        <v>6.11663711445528E-009</v>
      </c>
      <c r="F257" s="287" t="n">
        <v>1.72830341553575E-007</v>
      </c>
      <c r="G257" s="287" t="n">
        <v>4.23282798205905E-013</v>
      </c>
      <c r="H257" s="287" t="n">
        <v>1.02715463588318E-007</v>
      </c>
      <c r="I257" s="287" t="n">
        <v>2.54317389315155E-008</v>
      </c>
      <c r="J257" s="287" t="n">
        <v>1.44538316904563E-009</v>
      </c>
      <c r="K257" s="287" t="n">
        <v>8.27837885813566E-010</v>
      </c>
      <c r="L257" s="287" t="n">
        <v>7.32648755899637E-009</v>
      </c>
      <c r="M257" s="287" t="n">
        <v>1.32935668929863E-009</v>
      </c>
      <c r="N257" s="287" t="n">
        <v>6.48770648693752E-008</v>
      </c>
      <c r="O257" s="287" t="n">
        <v>2.19454217543183E-009</v>
      </c>
      <c r="P257" s="287" t="n">
        <v>1.59725642227265E-010</v>
      </c>
      <c r="Q257" s="287" t="n">
        <v>7.79524843134575E-008</v>
      </c>
      <c r="R257" s="287" t="n">
        <v>1.33218730349096E-007</v>
      </c>
      <c r="S257" s="287" t="n">
        <v>1.05842679959771E-008</v>
      </c>
      <c r="T257" s="287" t="n">
        <v>6.79219205852576E-009</v>
      </c>
      <c r="U257" s="287" t="n">
        <v>3.66888073402148E-009</v>
      </c>
      <c r="V257" s="287" t="n">
        <v>0</v>
      </c>
      <c r="W257" s="287" t="n">
        <v>4.06295820779553E-009</v>
      </c>
      <c r="X257" s="287" t="n">
        <v>0</v>
      </c>
      <c r="Y257" s="287" t="n">
        <v>1.74158675806592E-009</v>
      </c>
      <c r="Z257" s="287" t="n">
        <v>0</v>
      </c>
      <c r="AA257" s="287" t="n">
        <v>0</v>
      </c>
      <c r="AB257" s="287" t="n">
        <v>0</v>
      </c>
      <c r="AC257" s="287" t="n">
        <v>0</v>
      </c>
      <c r="AD257" s="287" t="n">
        <v>0</v>
      </c>
      <c r="AE257" s="287" t="n">
        <v>0</v>
      </c>
      <c r="AF257" s="287" t="n">
        <v>1.45230268881311E-013</v>
      </c>
      <c r="AG257" s="287" t="n">
        <v>1.7072629561898E-007</v>
      </c>
      <c r="AH257" s="287" t="n">
        <v>1.29452428734285E-008</v>
      </c>
      <c r="AI257" s="287" t="n">
        <v>1.52206927646019E-008</v>
      </c>
      <c r="AJ257" s="287" t="n">
        <v>1.74492038373036E-006</v>
      </c>
      <c r="AK257" s="287" t="n">
        <v>1.26760646242401E-009</v>
      </c>
      <c r="AL257" s="287" t="n">
        <v>3.50321801908544E-008</v>
      </c>
      <c r="AM257" s="287" t="n">
        <v>1.09165823370552E-008</v>
      </c>
      <c r="AN257" s="287" t="n">
        <v>7.03100193637215E-009</v>
      </c>
      <c r="AO257" s="287" t="n">
        <v>1.22885410104119E-008</v>
      </c>
      <c r="AP257" s="287" t="n">
        <v>2.93787471176384E-009</v>
      </c>
      <c r="AQ257" s="287" t="n">
        <v>1.3604627215381E-008</v>
      </c>
      <c r="AR257" s="287" t="n">
        <v>8.4049425998585E-009</v>
      </c>
      <c r="AS257" s="287" t="n">
        <v>7.25992206017063E-009</v>
      </c>
      <c r="AT257" s="287" t="n">
        <v>3.53340067381558E-008</v>
      </c>
      <c r="AU257" s="287" t="n">
        <v>3.52975990925663E-009</v>
      </c>
      <c r="AV257" s="287" t="n">
        <v>6.55218761879912E-009</v>
      </c>
      <c r="AW257" s="287" t="n">
        <v>3.41862512974805E-009</v>
      </c>
      <c r="AX257" s="287" t="n">
        <v>1.66424261223756E-008</v>
      </c>
      <c r="AY257" s="287" t="n">
        <v>9.60120680639634E-009</v>
      </c>
      <c r="AZ257" s="287" t="n">
        <v>4.02920443706696E-007</v>
      </c>
    </row>
    <row r="258" customFormat="false" ht="17.35" hidden="false" customHeight="false" outlineLevel="0" collapsed="false">
      <c r="A258" s="200" t="s">
        <v>397</v>
      </c>
      <c r="B258" s="200"/>
      <c r="C258" s="200"/>
    </row>
    <row r="259" customFormat="false" ht="31.3" hidden="false" customHeight="false" outlineLevel="0" collapsed="false">
      <c r="A259" s="289" t="s">
        <v>398</v>
      </c>
      <c r="B259" s="280" t="s">
        <v>36</v>
      </c>
      <c r="C259" s="204" t="n">
        <v>2020</v>
      </c>
    </row>
    <row r="260" customFormat="false" ht="31.3" hidden="false" customHeight="false" outlineLevel="0" collapsed="false">
      <c r="A260" s="272" t="s">
        <v>399</v>
      </c>
      <c r="B260" s="290" t="s">
        <v>327</v>
      </c>
      <c r="C260" s="244" t="n">
        <v>-0.3</v>
      </c>
    </row>
    <row r="262" customFormat="false" ht="14.25" hidden="false" customHeight="true" outlineLevel="0" collapsed="false">
      <c r="A262" s="200" t="s">
        <v>400</v>
      </c>
      <c r="B262" s="200"/>
      <c r="C262" s="200"/>
    </row>
    <row r="263" customFormat="false" ht="28.5" hidden="false" customHeight="true" outlineLevel="0" collapsed="false">
      <c r="A263" s="291" t="s">
        <v>401</v>
      </c>
      <c r="B263" s="280" t="s">
        <v>28</v>
      </c>
      <c r="C263" s="281" t="n">
        <v>1</v>
      </c>
    </row>
    <row r="264" customFormat="false" ht="14.25" hidden="false" customHeight="true" outlineLevel="0" collapsed="false">
      <c r="A264" s="292" t="s">
        <v>403</v>
      </c>
      <c r="B264" s="280" t="s">
        <v>404</v>
      </c>
      <c r="C264" s="293" t="n">
        <v>1</v>
      </c>
    </row>
    <row r="265" customFormat="false" ht="15" hidden="false" customHeight="false" outlineLevel="0" collapsed="false">
      <c r="A265" s="292"/>
      <c r="B265" s="280" t="s">
        <v>408</v>
      </c>
      <c r="C265" s="293"/>
    </row>
    <row r="266" customFormat="false" ht="15" hidden="false" customHeight="false" outlineLevel="0" collapsed="false">
      <c r="A266" s="292"/>
      <c r="B266" s="280" t="s">
        <v>409</v>
      </c>
      <c r="C266" s="293"/>
    </row>
    <row r="267" customFormat="false" ht="16.4" hidden="false" customHeight="false" outlineLevel="0" collapsed="false">
      <c r="A267" s="291" t="s">
        <v>650</v>
      </c>
      <c r="B267" s="280" t="s">
        <v>651</v>
      </c>
      <c r="C267" s="204" t="n">
        <v>0.1</v>
      </c>
    </row>
    <row r="268" customFormat="false" ht="15" hidden="false" customHeight="true" outlineLevel="0" collapsed="false">
      <c r="A268" s="292" t="s">
        <v>406</v>
      </c>
      <c r="B268" s="280" t="s">
        <v>404</v>
      </c>
      <c r="C268" s="293" t="n">
        <v>1</v>
      </c>
    </row>
    <row r="269" customFormat="false" ht="15" hidden="false" customHeight="false" outlineLevel="0" collapsed="false">
      <c r="A269" s="292"/>
      <c r="B269" s="280" t="s">
        <v>408</v>
      </c>
      <c r="C269" s="293"/>
    </row>
    <row r="270" customFormat="false" ht="15" hidden="false" customHeight="false" outlineLevel="0" collapsed="false">
      <c r="A270" s="292"/>
      <c r="B270" s="280" t="s">
        <v>409</v>
      </c>
      <c r="C270" s="293"/>
    </row>
    <row r="271" customFormat="false" ht="16.4" hidden="false" customHeight="false" outlineLevel="0" collapsed="false">
      <c r="A271" s="294" t="s">
        <v>413</v>
      </c>
      <c r="B271" s="290" t="s">
        <v>651</v>
      </c>
      <c r="C271" s="244" t="n">
        <v>0.1</v>
      </c>
    </row>
    <row r="274" customFormat="false" ht="24.45" hidden="false" customHeight="false" outlineLevel="0" collapsed="false">
      <c r="A274" s="199" t="s">
        <v>652</v>
      </c>
    </row>
    <row r="275" customFormat="false" ht="15.75" hidden="false" customHeight="true" outlineLevel="0" collapsed="false">
      <c r="A275" s="200" t="s">
        <v>429</v>
      </c>
      <c r="B275" s="200"/>
      <c r="C275" s="200"/>
      <c r="D275" s="200"/>
    </row>
    <row r="276" customFormat="false" ht="15.75" hidden="false" customHeight="true" outlineLevel="0" collapsed="false">
      <c r="A276" s="295" t="s">
        <v>430</v>
      </c>
      <c r="B276" s="295"/>
      <c r="C276" s="295"/>
      <c r="D276" s="295"/>
    </row>
    <row r="277" customFormat="false" ht="15" hidden="false" customHeight="true" outlineLevel="0" collapsed="false">
      <c r="A277" s="291" t="s">
        <v>431</v>
      </c>
      <c r="B277" s="291"/>
      <c r="C277" s="291"/>
      <c r="D277" s="296" t="n">
        <v>2</v>
      </c>
    </row>
    <row r="278" customFormat="false" ht="16.4" hidden="false" customHeight="false" outlineLevel="0" collapsed="false">
      <c r="A278" s="297" t="s">
        <v>432</v>
      </c>
      <c r="B278" s="298"/>
      <c r="C278" s="298"/>
      <c r="D278" s="299"/>
    </row>
    <row r="279" customFormat="false" ht="15" hidden="false" customHeight="false" outlineLevel="0" collapsed="false">
      <c r="A279" s="300" t="s">
        <v>433</v>
      </c>
      <c r="B279" s="301" t="n">
        <v>2050</v>
      </c>
      <c r="C279" s="302"/>
      <c r="D279" s="302"/>
      <c r="E279" s="302"/>
    </row>
    <row r="280" customFormat="false" ht="16.4" hidden="false" customHeight="false" outlineLevel="0" collapsed="false">
      <c r="A280" s="303" t="s">
        <v>435</v>
      </c>
      <c r="B280" s="304" t="n">
        <v>2020</v>
      </c>
      <c r="C280" s="203"/>
      <c r="D280" s="305" t="s">
        <v>437</v>
      </c>
      <c r="E280" s="306" t="s">
        <v>438</v>
      </c>
    </row>
    <row r="281" customFormat="false" ht="13.5" hidden="false" customHeight="true" outlineLevel="0" collapsed="false">
      <c r="A281" s="307" t="s">
        <v>439</v>
      </c>
      <c r="B281" s="308" t="s">
        <v>440</v>
      </c>
      <c r="C281" s="280" t="s">
        <v>653</v>
      </c>
      <c r="D281" s="259" t="n">
        <v>0.201666666666667</v>
      </c>
      <c r="E281" s="226" t="n">
        <v>0.605</v>
      </c>
    </row>
    <row r="282" customFormat="false" ht="15" hidden="false" customHeight="false" outlineLevel="0" collapsed="false">
      <c r="A282" s="307"/>
      <c r="B282" s="308" t="s">
        <v>443</v>
      </c>
      <c r="C282" s="280" t="s">
        <v>653</v>
      </c>
      <c r="D282" s="259" t="n">
        <v>0.05</v>
      </c>
      <c r="E282" s="226" t="n">
        <v>0.15</v>
      </c>
    </row>
    <row r="283" customFormat="false" ht="15" hidden="false" customHeight="false" outlineLevel="0" collapsed="false">
      <c r="A283" s="307"/>
      <c r="B283" s="308" t="s">
        <v>444</v>
      </c>
      <c r="C283" s="280" t="s">
        <v>653</v>
      </c>
      <c r="D283" s="259" t="n">
        <v>0.196666666666667</v>
      </c>
      <c r="E283" s="226" t="n">
        <v>0.59</v>
      </c>
    </row>
    <row r="284" customFormat="false" ht="15" hidden="false" customHeight="false" outlineLevel="0" collapsed="false">
      <c r="A284" s="307"/>
      <c r="B284" s="308" t="s">
        <v>445</v>
      </c>
      <c r="C284" s="280" t="s">
        <v>653</v>
      </c>
      <c r="D284" s="259" t="n">
        <v>0.163333333333333</v>
      </c>
      <c r="E284" s="226" t="n">
        <v>0.49</v>
      </c>
    </row>
    <row r="285" customFormat="false" ht="15" hidden="false" customHeight="false" outlineLevel="0" collapsed="false">
      <c r="A285" s="307"/>
      <c r="B285" s="308" t="s">
        <v>446</v>
      </c>
      <c r="C285" s="280" t="s">
        <v>653</v>
      </c>
      <c r="D285" s="259" t="n">
        <v>0.00166666666666667</v>
      </c>
      <c r="E285" s="226" t="n">
        <v>0.005</v>
      </c>
    </row>
    <row r="286" customFormat="false" ht="15" hidden="false" customHeight="false" outlineLevel="0" collapsed="false">
      <c r="A286" s="307"/>
      <c r="B286" s="308" t="s">
        <v>447</v>
      </c>
      <c r="C286" s="280" t="s">
        <v>653</v>
      </c>
      <c r="D286" s="259" t="n">
        <v>0.0633333333333333</v>
      </c>
      <c r="E286" s="226" t="n">
        <v>0.19</v>
      </c>
    </row>
    <row r="287" customFormat="false" ht="15" hidden="false" customHeight="false" outlineLevel="0" collapsed="false">
      <c r="A287" s="307"/>
      <c r="B287" s="308" t="s">
        <v>448</v>
      </c>
      <c r="C287" s="280" t="s">
        <v>653</v>
      </c>
      <c r="D287" s="259" t="n">
        <v>0.253333333333333</v>
      </c>
      <c r="E287" s="226" t="n">
        <v>0.76</v>
      </c>
    </row>
    <row r="288" customFormat="false" ht="15" hidden="false" customHeight="false" outlineLevel="0" collapsed="false">
      <c r="A288" s="307"/>
      <c r="B288" s="308" t="s">
        <v>449</v>
      </c>
      <c r="C288" s="280" t="s">
        <v>653</v>
      </c>
      <c r="D288" s="259" t="n">
        <v>0.00166666666666667</v>
      </c>
      <c r="E288" s="226" t="n">
        <v>0.005</v>
      </c>
    </row>
    <row r="289" customFormat="false" ht="15" hidden="false" customHeight="false" outlineLevel="0" collapsed="false">
      <c r="A289" s="307"/>
      <c r="B289" s="308" t="s">
        <v>450</v>
      </c>
      <c r="C289" s="280" t="s">
        <v>653</v>
      </c>
      <c r="D289" s="259" t="n">
        <v>0.13</v>
      </c>
      <c r="E289" s="226" t="n">
        <v>0.39</v>
      </c>
    </row>
    <row r="290" customFormat="false" ht="15" hidden="false" customHeight="false" outlineLevel="0" collapsed="false">
      <c r="A290" s="307"/>
      <c r="B290" s="308" t="s">
        <v>451</v>
      </c>
      <c r="C290" s="280" t="s">
        <v>653</v>
      </c>
      <c r="D290" s="259" t="n">
        <v>0.176666666666667</v>
      </c>
      <c r="E290" s="226" t="n">
        <v>0.53</v>
      </c>
    </row>
    <row r="291" customFormat="false" ht="15" hidden="false" customHeight="false" outlineLevel="0" collapsed="false">
      <c r="A291" s="307"/>
      <c r="B291" s="308" t="s">
        <v>452</v>
      </c>
      <c r="C291" s="280" t="s">
        <v>653</v>
      </c>
      <c r="D291" s="259" t="n">
        <v>0.116666666666667</v>
      </c>
      <c r="E291" s="226" t="n">
        <v>0.35</v>
      </c>
    </row>
    <row r="292" customFormat="false" ht="15" hidden="false" customHeight="false" outlineLevel="0" collapsed="false">
      <c r="A292" s="307"/>
      <c r="B292" s="308" t="s">
        <v>453</v>
      </c>
      <c r="C292" s="280" t="s">
        <v>653</v>
      </c>
      <c r="D292" s="259" t="n">
        <v>0.188333333333333</v>
      </c>
      <c r="E292" s="226" t="n">
        <v>0.565</v>
      </c>
    </row>
    <row r="293" customFormat="false" ht="15" hidden="false" customHeight="false" outlineLevel="0" collapsed="false">
      <c r="A293" s="307"/>
      <c r="B293" s="308" t="s">
        <v>454</v>
      </c>
      <c r="C293" s="280" t="s">
        <v>653</v>
      </c>
      <c r="D293" s="259" t="n">
        <v>0.245</v>
      </c>
      <c r="E293" s="226" t="n">
        <v>0.735</v>
      </c>
    </row>
    <row r="294" customFormat="false" ht="15" hidden="false" customHeight="false" outlineLevel="0" collapsed="false">
      <c r="A294" s="307"/>
      <c r="B294" s="308" t="s">
        <v>455</v>
      </c>
      <c r="C294" s="280" t="s">
        <v>653</v>
      </c>
      <c r="D294" s="259" t="n">
        <v>0.191666666666667</v>
      </c>
      <c r="E294" s="226" t="n">
        <v>0.575</v>
      </c>
    </row>
    <row r="295" customFormat="false" ht="15" hidden="false" customHeight="false" outlineLevel="0" collapsed="false">
      <c r="A295" s="307"/>
      <c r="B295" s="308" t="s">
        <v>456</v>
      </c>
      <c r="C295" s="280" t="s">
        <v>653</v>
      </c>
      <c r="D295" s="259" t="n">
        <v>0.101666666666667</v>
      </c>
      <c r="E295" s="226" t="n">
        <v>0.305</v>
      </c>
    </row>
    <row r="296" customFormat="false" ht="15" hidden="false" customHeight="false" outlineLevel="0" collapsed="false">
      <c r="A296" s="307"/>
      <c r="B296" s="308" t="s">
        <v>457</v>
      </c>
      <c r="C296" s="280" t="s">
        <v>653</v>
      </c>
      <c r="D296" s="259" t="n">
        <v>0.00166666666666667</v>
      </c>
      <c r="E296" s="226" t="n">
        <v>0.005</v>
      </c>
    </row>
    <row r="297" customFormat="false" ht="15" hidden="false" customHeight="false" outlineLevel="0" collapsed="false">
      <c r="A297" s="307"/>
      <c r="B297" s="308" t="s">
        <v>458</v>
      </c>
      <c r="C297" s="280" t="s">
        <v>653</v>
      </c>
      <c r="D297" s="259" t="n">
        <v>0.303333333333333</v>
      </c>
      <c r="E297" s="226" t="n">
        <v>0.91</v>
      </c>
    </row>
    <row r="298" customFormat="false" ht="15" hidden="false" customHeight="false" outlineLevel="0" collapsed="false">
      <c r="A298" s="307"/>
      <c r="B298" s="308" t="s">
        <v>459</v>
      </c>
      <c r="C298" s="280" t="s">
        <v>653</v>
      </c>
      <c r="D298" s="259" t="n">
        <v>0.00166666666666667</v>
      </c>
      <c r="E298" s="226" t="n">
        <v>0.005</v>
      </c>
    </row>
    <row r="299" customFormat="false" ht="15" hidden="false" customHeight="false" outlineLevel="0" collapsed="false">
      <c r="A299" s="307"/>
      <c r="B299" s="309" t="s">
        <v>460</v>
      </c>
      <c r="C299" s="290" t="s">
        <v>653</v>
      </c>
      <c r="D299" s="206" t="n">
        <v>0.183333333333333</v>
      </c>
      <c r="E299" s="207" t="n">
        <v>0.55</v>
      </c>
    </row>
    <row r="300" customFormat="false" ht="15" hidden="false" customHeight="true" outlineLevel="0" collapsed="false">
      <c r="A300" s="310" t="s">
        <v>461</v>
      </c>
      <c r="B300" s="310"/>
      <c r="C300" s="310"/>
    </row>
    <row r="301" customFormat="false" ht="31.3" hidden="false" customHeight="false" outlineLevel="0" collapsed="false">
      <c r="A301" s="291" t="s">
        <v>654</v>
      </c>
      <c r="B301" s="280" t="s">
        <v>655</v>
      </c>
      <c r="C301" s="311" t="n">
        <v>0.014</v>
      </c>
    </row>
    <row r="302" customFormat="false" ht="16.4" hidden="false" customHeight="false" outlineLevel="0" collapsed="false">
      <c r="A302" s="291" t="s">
        <v>656</v>
      </c>
      <c r="B302" s="280" t="s">
        <v>423</v>
      </c>
      <c r="C302" s="204" t="n">
        <v>2020</v>
      </c>
    </row>
    <row r="303" customFormat="false" ht="16.4" hidden="false" customHeight="false" outlineLevel="0" collapsed="false">
      <c r="A303" s="291" t="s">
        <v>657</v>
      </c>
      <c r="B303" s="280" t="s">
        <v>655</v>
      </c>
      <c r="C303" s="311" t="n">
        <v>0.014</v>
      </c>
    </row>
    <row r="304" customFormat="false" ht="16.4" hidden="false" customHeight="false" outlineLevel="0" collapsed="false">
      <c r="A304" s="294" t="s">
        <v>658</v>
      </c>
      <c r="B304" s="290" t="s">
        <v>423</v>
      </c>
      <c r="C304" s="244" t="n">
        <v>2020</v>
      </c>
    </row>
    <row r="306" customFormat="false" ht="17.35" hidden="false" customHeight="false" outlineLevel="0" collapsed="false">
      <c r="A306" s="200" t="s">
        <v>232</v>
      </c>
      <c r="B306" s="200"/>
      <c r="C306" s="200"/>
    </row>
    <row r="307" customFormat="false" ht="15" hidden="false" customHeight="false" outlineLevel="0" collapsed="false">
      <c r="A307" s="312" t="s">
        <v>233</v>
      </c>
      <c r="B307" s="312"/>
      <c r="C307" s="312"/>
      <c r="H307" s="54"/>
      <c r="J307" s="57"/>
    </row>
    <row r="308" customFormat="false" ht="16.4" hidden="false" customHeight="false" outlineLevel="0" collapsed="false">
      <c r="A308" s="291" t="s">
        <v>234</v>
      </c>
      <c r="B308" s="203" t="s">
        <v>28</v>
      </c>
      <c r="C308" s="313" t="n">
        <v>1</v>
      </c>
      <c r="H308" s="54"/>
      <c r="J308" s="57"/>
    </row>
    <row r="309" customFormat="false" ht="15" hidden="false" customHeight="false" outlineLevel="0" collapsed="false">
      <c r="A309" s="312" t="s">
        <v>659</v>
      </c>
      <c r="B309" s="312"/>
      <c r="C309" s="312"/>
      <c r="H309" s="54"/>
      <c r="J309" s="57"/>
    </row>
    <row r="310" customFormat="false" ht="15" hidden="false" customHeight="true" outlineLevel="0" collapsed="false">
      <c r="A310" s="307" t="s">
        <v>660</v>
      </c>
      <c r="B310" s="280" t="s">
        <v>661</v>
      </c>
      <c r="C310" s="314" t="n">
        <v>4</v>
      </c>
      <c r="H310" s="54"/>
      <c r="J310" s="57"/>
    </row>
    <row r="311" customFormat="false" ht="15" hidden="false" customHeight="false" outlineLevel="0" collapsed="false">
      <c r="A311" s="307"/>
      <c r="B311" s="280" t="s">
        <v>662</v>
      </c>
      <c r="C311" s="314"/>
      <c r="H311" s="54"/>
      <c r="J311" s="57"/>
    </row>
    <row r="312" customFormat="false" ht="15" hidden="false" customHeight="false" outlineLevel="0" collapsed="false">
      <c r="A312" s="307"/>
      <c r="B312" s="280" t="s">
        <v>663</v>
      </c>
      <c r="C312" s="314"/>
      <c r="H312" s="54"/>
      <c r="J312" s="57"/>
    </row>
    <row r="313" customFormat="false" ht="15" hidden="false" customHeight="false" outlineLevel="0" collapsed="false">
      <c r="A313" s="307"/>
      <c r="B313" s="290" t="s">
        <v>664</v>
      </c>
      <c r="C313" s="314"/>
      <c r="H313" s="54"/>
      <c r="J313" s="57"/>
    </row>
    <row r="314" customFormat="false" ht="15" hidden="false" customHeight="false" outlineLevel="0" collapsed="false">
      <c r="H314" s="54"/>
      <c r="J314" s="57"/>
    </row>
    <row r="315" customFormat="false" ht="15" hidden="false" customHeight="false" outlineLevel="0" collapsed="false">
      <c r="A315" s="315" t="s">
        <v>164</v>
      </c>
      <c r="B315" s="316"/>
      <c r="H315" s="54"/>
      <c r="J315" s="57"/>
    </row>
    <row r="316" customFormat="false" ht="15" hidden="false" customHeight="false" outlineLevel="0" collapsed="false">
      <c r="A316" s="317" t="s">
        <v>165</v>
      </c>
      <c r="B316" s="318" t="n">
        <v>1</v>
      </c>
      <c r="H316" s="54"/>
      <c r="J316" s="57"/>
    </row>
    <row r="317" customFormat="false" ht="15" hidden="false" customHeight="false" outlineLevel="0" collapsed="false">
      <c r="H317" s="54"/>
      <c r="J317" s="57"/>
    </row>
    <row r="318" customFormat="false" ht="17.35" hidden="false" customHeight="false" outlineLevel="0" collapsed="false">
      <c r="A318" s="200" t="s">
        <v>665</v>
      </c>
      <c r="B318" s="200"/>
      <c r="C318" s="200"/>
      <c r="D318" s="200"/>
      <c r="E318" s="200"/>
      <c r="F318" s="200"/>
      <c r="G318" s="200"/>
      <c r="H318" s="200"/>
      <c r="I318" s="200"/>
      <c r="J318" s="57"/>
    </row>
    <row r="319" customFormat="false" ht="15" hidden="false" customHeight="false" outlineLevel="0" collapsed="false">
      <c r="A319" s="319" t="s">
        <v>666</v>
      </c>
      <c r="B319" s="202" t="s">
        <v>36</v>
      </c>
      <c r="C319" s="203" t="n">
        <v>2020</v>
      </c>
      <c r="D319" s="203" t="n">
        <v>2025</v>
      </c>
      <c r="E319" s="203" t="n">
        <v>2030</v>
      </c>
      <c r="F319" s="203" t="n">
        <v>2035</v>
      </c>
      <c r="G319" s="203" t="n">
        <v>2040</v>
      </c>
      <c r="H319" s="203" t="n">
        <v>2045</v>
      </c>
      <c r="I319" s="204" t="n">
        <v>2050</v>
      </c>
      <c r="J319" s="57"/>
    </row>
    <row r="320" customFormat="false" ht="15" hidden="false" customHeight="false" outlineLevel="0" collapsed="false">
      <c r="A320" s="319" t="s">
        <v>580</v>
      </c>
      <c r="B320" s="202" t="s">
        <v>499</v>
      </c>
      <c r="C320" s="203" t="n">
        <v>0</v>
      </c>
      <c r="D320" s="203" t="n">
        <v>0</v>
      </c>
      <c r="E320" s="203" t="n">
        <v>0</v>
      </c>
      <c r="F320" s="203" t="n">
        <v>0</v>
      </c>
      <c r="G320" s="203" t="n">
        <v>0</v>
      </c>
      <c r="H320" s="203" t="n">
        <v>0</v>
      </c>
      <c r="I320" s="204" t="n">
        <v>0</v>
      </c>
      <c r="J320" s="57"/>
    </row>
    <row r="321" customFormat="false" ht="15" hidden="false" customHeight="false" outlineLevel="0" collapsed="false">
      <c r="A321" s="319" t="s">
        <v>597</v>
      </c>
      <c r="B321" s="202"/>
      <c r="C321" s="203" t="n">
        <v>0</v>
      </c>
      <c r="D321" s="203" t="n">
        <v>0</v>
      </c>
      <c r="E321" s="203" t="n">
        <v>0</v>
      </c>
      <c r="F321" s="203" t="n">
        <v>0</v>
      </c>
      <c r="G321" s="203" t="n">
        <v>0</v>
      </c>
      <c r="H321" s="203" t="n">
        <v>0</v>
      </c>
      <c r="I321" s="204" t="n">
        <v>0</v>
      </c>
      <c r="J321" s="57"/>
    </row>
    <row r="322" customFormat="false" ht="15" hidden="false" customHeight="false" outlineLevel="0" collapsed="false">
      <c r="A322" s="319" t="s">
        <v>598</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19" t="s">
        <v>599</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19" t="s">
        <v>600</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19" t="s">
        <v>601</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19" t="s">
        <v>602</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19" t="s">
        <v>603</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19" t="s">
        <v>354</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19" t="s">
        <v>369</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19" t="s">
        <v>604</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19" t="s">
        <v>605</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19" t="s">
        <v>606</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19" t="s">
        <v>607</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19" t="s">
        <v>608</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19" t="s">
        <v>609</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19" t="s">
        <v>610</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19" t="s">
        <v>611</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19" t="s">
        <v>612</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19" t="s">
        <v>613</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19" t="s">
        <v>614</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19" t="s">
        <v>615</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19" t="s">
        <v>616</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19" t="s">
        <v>617</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19" t="s">
        <v>618</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19" t="s">
        <v>619</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19" t="s">
        <v>620</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19" t="s">
        <v>621</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19" t="s">
        <v>622</v>
      </c>
      <c r="B348" s="202" t="s">
        <v>499</v>
      </c>
      <c r="C348" s="203" t="n">
        <v>0</v>
      </c>
      <c r="D348" s="203" t="n">
        <v>0</v>
      </c>
      <c r="E348" s="203" t="n">
        <v>0</v>
      </c>
      <c r="F348" s="203" t="n">
        <v>0</v>
      </c>
      <c r="G348" s="203" t="n">
        <v>0</v>
      </c>
      <c r="H348" s="203" t="n">
        <v>0</v>
      </c>
      <c r="I348" s="204" t="n">
        <v>0</v>
      </c>
      <c r="J348" s="57"/>
    </row>
    <row r="349" customFormat="false" ht="15" hidden="false" customHeight="false" outlineLevel="0" collapsed="false">
      <c r="A349" s="319" t="s">
        <v>623</v>
      </c>
      <c r="B349" s="202" t="s">
        <v>499</v>
      </c>
      <c r="C349" s="203" t="n">
        <v>0</v>
      </c>
      <c r="D349" s="203" t="n">
        <v>0</v>
      </c>
      <c r="E349" s="203" t="n">
        <v>0</v>
      </c>
      <c r="F349" s="203" t="n">
        <v>0</v>
      </c>
      <c r="G349" s="203" t="n">
        <v>0</v>
      </c>
      <c r="H349" s="203" t="n">
        <v>0</v>
      </c>
      <c r="I349" s="204" t="n">
        <v>0</v>
      </c>
      <c r="J349" s="57"/>
    </row>
    <row r="350" customFormat="false" ht="15" hidden="false" customHeight="false" outlineLevel="0" collapsed="false">
      <c r="A350" s="319" t="s">
        <v>624</v>
      </c>
      <c r="B350" s="202" t="s">
        <v>499</v>
      </c>
      <c r="C350" s="203" t="n">
        <v>0</v>
      </c>
      <c r="D350" s="203" t="n">
        <v>0</v>
      </c>
      <c r="E350" s="203" t="n">
        <v>0.00086013</v>
      </c>
      <c r="F350" s="203" t="n">
        <v>0.001453609</v>
      </c>
      <c r="G350" s="203" t="n">
        <v>0.002036738</v>
      </c>
      <c r="H350" s="203" t="n">
        <v>0.002500292</v>
      </c>
      <c r="I350" s="204" t="n">
        <v>0.002963845</v>
      </c>
      <c r="J350" s="57"/>
    </row>
    <row r="351" customFormat="false" ht="15" hidden="false" customHeight="false" outlineLevel="0" collapsed="false">
      <c r="A351" s="319" t="s">
        <v>625</v>
      </c>
      <c r="B351" s="202" t="s">
        <v>499</v>
      </c>
      <c r="C351" s="203" t="n">
        <v>0</v>
      </c>
      <c r="D351" s="203" t="n">
        <v>0</v>
      </c>
      <c r="E351" s="203" t="n">
        <v>0</v>
      </c>
      <c r="F351" s="203" t="n">
        <v>0</v>
      </c>
      <c r="G351" s="203" t="n">
        <v>0</v>
      </c>
      <c r="H351" s="203" t="n">
        <v>0</v>
      </c>
      <c r="I351" s="204" t="n">
        <v>0</v>
      </c>
      <c r="J351" s="57"/>
    </row>
    <row r="352" customFormat="false" ht="15" hidden="false" customHeight="false" outlineLevel="0" collapsed="false">
      <c r="A352" s="319" t="s">
        <v>626</v>
      </c>
      <c r="B352" s="202" t="s">
        <v>499</v>
      </c>
      <c r="C352" s="203" t="n">
        <v>0</v>
      </c>
      <c r="D352" s="203" t="n">
        <v>0</v>
      </c>
      <c r="E352" s="203" t="n">
        <v>0.00086013</v>
      </c>
      <c r="F352" s="203" t="n">
        <v>0.001453609</v>
      </c>
      <c r="G352" s="203" t="n">
        <v>0.002036738</v>
      </c>
      <c r="H352" s="203" t="n">
        <v>0.002500292</v>
      </c>
      <c r="I352" s="204" t="n">
        <v>0.002963845</v>
      </c>
      <c r="J352" s="57"/>
    </row>
    <row r="353" customFormat="false" ht="15" hidden="false" customHeight="false" outlineLevel="0" collapsed="false">
      <c r="A353" s="319" t="s">
        <v>627</v>
      </c>
      <c r="B353" s="202" t="s">
        <v>499</v>
      </c>
      <c r="C353" s="203" t="n">
        <v>0</v>
      </c>
      <c r="D353" s="203" t="n">
        <v>0</v>
      </c>
      <c r="E353" s="203" t="n">
        <v>0</v>
      </c>
      <c r="F353" s="203" t="n">
        <v>0</v>
      </c>
      <c r="G353" s="203" t="n">
        <v>0</v>
      </c>
      <c r="H353" s="203" t="n">
        <v>0</v>
      </c>
      <c r="I353" s="204" t="n">
        <v>0</v>
      </c>
      <c r="J353" s="57"/>
    </row>
    <row r="354" customFormat="false" ht="15" hidden="false" customHeight="false" outlineLevel="0" collapsed="false">
      <c r="A354" s="319" t="s">
        <v>628</v>
      </c>
      <c r="B354" s="202" t="s">
        <v>499</v>
      </c>
      <c r="C354" s="203" t="n">
        <v>0</v>
      </c>
      <c r="D354" s="203" t="n">
        <v>0</v>
      </c>
      <c r="E354" s="203" t="n">
        <v>0</v>
      </c>
      <c r="F354" s="203" t="n">
        <v>0</v>
      </c>
      <c r="G354" s="203" t="n">
        <v>0</v>
      </c>
      <c r="H354" s="203" t="n">
        <v>0</v>
      </c>
      <c r="I354" s="204" t="n">
        <v>0</v>
      </c>
      <c r="J354" s="57"/>
    </row>
    <row r="355" customFormat="false" ht="15" hidden="false" customHeight="false" outlineLevel="0" collapsed="false">
      <c r="A355" s="319" t="s">
        <v>629</v>
      </c>
      <c r="B355" s="202" t="s">
        <v>499</v>
      </c>
      <c r="C355" s="203" t="n">
        <v>0</v>
      </c>
      <c r="D355" s="203" t="n">
        <v>0</v>
      </c>
      <c r="E355" s="203" t="n">
        <v>0.001290195</v>
      </c>
      <c r="F355" s="203" t="n">
        <v>0.002180414</v>
      </c>
      <c r="G355" s="203" t="n">
        <v>0.003055107</v>
      </c>
      <c r="H355" s="203" t="n">
        <v>0.003750438</v>
      </c>
      <c r="I355" s="204" t="n">
        <v>0.004445768</v>
      </c>
      <c r="J355" s="57"/>
    </row>
    <row r="356" customFormat="false" ht="15" hidden="false" customHeight="false" outlineLevel="0" collapsed="false">
      <c r="A356" s="319" t="s">
        <v>630</v>
      </c>
      <c r="B356" s="202" t="s">
        <v>499</v>
      </c>
      <c r="C356" s="203" t="n">
        <v>0</v>
      </c>
      <c r="D356" s="203" t="n">
        <v>0</v>
      </c>
      <c r="E356" s="203" t="n">
        <v>0</v>
      </c>
      <c r="F356" s="203" t="n">
        <v>0</v>
      </c>
      <c r="G356" s="203" t="n">
        <v>0</v>
      </c>
      <c r="H356" s="203" t="n">
        <v>0</v>
      </c>
      <c r="I356" s="204" t="n">
        <v>0</v>
      </c>
      <c r="J356" s="57"/>
    </row>
    <row r="357" customFormat="false" ht="15" hidden="false" customHeight="false" outlineLevel="0" collapsed="false">
      <c r="A357" s="319" t="s">
        <v>631</v>
      </c>
      <c r="B357" s="202" t="s">
        <v>499</v>
      </c>
      <c r="C357" s="203" t="n">
        <v>0</v>
      </c>
      <c r="D357" s="203" t="n">
        <v>0</v>
      </c>
      <c r="E357" s="203" t="n">
        <v>0</v>
      </c>
      <c r="F357" s="203" t="n">
        <v>0</v>
      </c>
      <c r="G357" s="203" t="n">
        <v>0</v>
      </c>
      <c r="H357" s="203" t="n">
        <v>0</v>
      </c>
      <c r="I357" s="204" t="n">
        <v>0</v>
      </c>
      <c r="J357" s="57"/>
    </row>
    <row r="358" customFormat="false" ht="15" hidden="false" customHeight="false" outlineLevel="0" collapsed="false">
      <c r="A358" s="319" t="s">
        <v>632</v>
      </c>
      <c r="B358" s="202" t="s">
        <v>499</v>
      </c>
      <c r="C358" s="203" t="n">
        <v>0</v>
      </c>
      <c r="D358" s="203" t="n">
        <v>0</v>
      </c>
      <c r="E358" s="203" t="n">
        <v>0.001290195</v>
      </c>
      <c r="F358" s="203" t="n">
        <v>0.002180414</v>
      </c>
      <c r="G358" s="203" t="n">
        <v>0.003055107</v>
      </c>
      <c r="H358" s="203" t="n">
        <v>0.003750438</v>
      </c>
      <c r="I358" s="204" t="n">
        <v>0.004445768</v>
      </c>
      <c r="J358" s="57"/>
    </row>
    <row r="359" customFormat="false" ht="15" hidden="false" customHeight="false" outlineLevel="0" collapsed="false">
      <c r="A359" s="319" t="s">
        <v>633</v>
      </c>
      <c r="B359" s="202" t="s">
        <v>499</v>
      </c>
      <c r="C359" s="203" t="n">
        <v>0</v>
      </c>
      <c r="D359" s="203" t="n">
        <v>0</v>
      </c>
      <c r="E359" s="203" t="n">
        <v>0</v>
      </c>
      <c r="F359" s="203" t="n">
        <v>0</v>
      </c>
      <c r="G359" s="203" t="n">
        <v>0</v>
      </c>
      <c r="H359" s="203" t="n">
        <v>0</v>
      </c>
      <c r="I359" s="204" t="n">
        <v>0</v>
      </c>
      <c r="J359" s="57"/>
    </row>
    <row r="360" customFormat="false" ht="15" hidden="false" customHeight="false" outlineLevel="0" collapsed="false">
      <c r="A360" s="319" t="s">
        <v>634</v>
      </c>
      <c r="B360" s="202" t="s">
        <v>499</v>
      </c>
      <c r="C360" s="203" t="n">
        <v>0</v>
      </c>
      <c r="D360" s="203" t="n">
        <v>0</v>
      </c>
      <c r="E360" s="203" t="n">
        <v>0</v>
      </c>
      <c r="F360" s="203" t="n">
        <v>0</v>
      </c>
      <c r="G360" s="203" t="n">
        <v>0</v>
      </c>
      <c r="H360" s="203" t="n">
        <v>0</v>
      </c>
      <c r="I360" s="204" t="n">
        <v>0</v>
      </c>
      <c r="J360" s="57"/>
    </row>
    <row r="361" customFormat="false" ht="15" hidden="false" customHeight="false" outlineLevel="0" collapsed="false">
      <c r="A361" s="319" t="s">
        <v>635</v>
      </c>
      <c r="B361" s="202" t="s">
        <v>499</v>
      </c>
      <c r="C361" s="203" t="n">
        <v>0</v>
      </c>
      <c r="D361" s="203" t="n">
        <v>0</v>
      </c>
      <c r="E361" s="203" t="n">
        <v>0.00086013</v>
      </c>
      <c r="F361" s="203" t="n">
        <v>0.001453609</v>
      </c>
      <c r="G361" s="203" t="n">
        <v>0.002036738</v>
      </c>
      <c r="H361" s="203" t="n">
        <v>0.002500292</v>
      </c>
      <c r="I361" s="204" t="n">
        <v>0.002963845</v>
      </c>
      <c r="J361" s="57"/>
    </row>
    <row r="362" customFormat="false" ht="15" hidden="false" customHeight="false" outlineLevel="0" collapsed="false">
      <c r="A362" s="319" t="s">
        <v>636</v>
      </c>
      <c r="B362" s="202" t="s">
        <v>499</v>
      </c>
      <c r="C362" s="203" t="n">
        <v>0</v>
      </c>
      <c r="D362" s="203" t="n">
        <v>0</v>
      </c>
      <c r="E362" s="203" t="n">
        <v>0</v>
      </c>
      <c r="F362" s="203" t="n">
        <v>0</v>
      </c>
      <c r="G362" s="203" t="n">
        <v>0</v>
      </c>
      <c r="H362" s="203" t="n">
        <v>0</v>
      </c>
      <c r="I362" s="204" t="n">
        <v>0</v>
      </c>
      <c r="J362" s="57"/>
    </row>
    <row r="363" customFormat="false" ht="15" hidden="false" customHeight="false" outlineLevel="0" collapsed="false">
      <c r="A363" s="319" t="s">
        <v>637</v>
      </c>
      <c r="B363" s="202" t="s">
        <v>499</v>
      </c>
      <c r="C363" s="203" t="n">
        <v>0</v>
      </c>
      <c r="D363" s="203" t="n">
        <v>0</v>
      </c>
      <c r="E363" s="203" t="n">
        <v>0.000430065</v>
      </c>
      <c r="F363" s="203" t="n">
        <v>0.000726805</v>
      </c>
      <c r="G363" s="203" t="n">
        <v>0.001018369</v>
      </c>
      <c r="H363" s="203" t="n">
        <v>0.001250146</v>
      </c>
      <c r="I363" s="204" t="n">
        <v>0.001481923</v>
      </c>
      <c r="J363" s="57"/>
    </row>
    <row r="364" customFormat="false" ht="15" hidden="false" customHeight="false" outlineLevel="0" collapsed="false">
      <c r="A364" s="319" t="s">
        <v>638</v>
      </c>
      <c r="B364" s="202" t="s">
        <v>499</v>
      </c>
      <c r="C364" s="203" t="n">
        <v>0</v>
      </c>
      <c r="D364" s="203" t="n">
        <v>0</v>
      </c>
      <c r="E364" s="203" t="n">
        <v>0.001290195</v>
      </c>
      <c r="F364" s="203" t="n">
        <v>0.002180414</v>
      </c>
      <c r="G364" s="203" t="n">
        <v>0.003055107</v>
      </c>
      <c r="H364" s="203" t="n">
        <v>0.003750438</v>
      </c>
      <c r="I364" s="204" t="n">
        <v>0.004445768</v>
      </c>
      <c r="J364" s="57"/>
    </row>
    <row r="365" customFormat="false" ht="15" hidden="false" customHeight="false" outlineLevel="0" collapsed="false">
      <c r="A365" s="319" t="s">
        <v>639</v>
      </c>
      <c r="B365" s="202" t="s">
        <v>499</v>
      </c>
      <c r="C365" s="203" t="n">
        <v>0</v>
      </c>
      <c r="D365" s="203" t="n">
        <v>0</v>
      </c>
      <c r="E365" s="203" t="n">
        <v>0</v>
      </c>
      <c r="F365" s="203" t="n">
        <v>0</v>
      </c>
      <c r="G365" s="203" t="n">
        <v>0</v>
      </c>
      <c r="H365" s="203" t="n">
        <v>0</v>
      </c>
      <c r="I365" s="204" t="n">
        <v>0</v>
      </c>
      <c r="J365" s="57"/>
    </row>
    <row r="366" customFormat="false" ht="15" hidden="false" customHeight="false" outlineLevel="0" collapsed="false">
      <c r="A366" s="319" t="s">
        <v>640</v>
      </c>
      <c r="B366" s="202" t="s">
        <v>499</v>
      </c>
      <c r="C366" s="203" t="n">
        <v>0</v>
      </c>
      <c r="D366" s="203" t="n">
        <v>0</v>
      </c>
      <c r="E366" s="203" t="n">
        <v>0.00086013</v>
      </c>
      <c r="F366" s="203" t="n">
        <v>0.001453609</v>
      </c>
      <c r="G366" s="203" t="n">
        <v>0.002036738</v>
      </c>
      <c r="H366" s="203" t="n">
        <v>0.002500292</v>
      </c>
      <c r="I366" s="204" t="n">
        <v>0.002963845</v>
      </c>
      <c r="J366" s="57"/>
    </row>
    <row r="367" customFormat="false" ht="15" hidden="false" customHeight="false" outlineLevel="0" collapsed="false">
      <c r="A367" s="319" t="s">
        <v>641</v>
      </c>
      <c r="B367" s="202" t="s">
        <v>499</v>
      </c>
      <c r="C367" s="203" t="n">
        <v>0</v>
      </c>
      <c r="D367" s="203" t="n">
        <v>0</v>
      </c>
      <c r="E367" s="203" t="n">
        <v>0</v>
      </c>
      <c r="F367" s="203" t="n">
        <v>0</v>
      </c>
      <c r="G367" s="203" t="n">
        <v>0</v>
      </c>
      <c r="H367" s="203" t="n">
        <v>0</v>
      </c>
      <c r="I367" s="204" t="n">
        <v>0</v>
      </c>
      <c r="J367" s="57"/>
    </row>
    <row r="368" customFormat="false" ht="15" hidden="false" customHeight="false" outlineLevel="0" collapsed="false">
      <c r="A368" s="319" t="s">
        <v>642</v>
      </c>
      <c r="B368" s="202" t="s">
        <v>499</v>
      </c>
      <c r="C368" s="203" t="n">
        <v>0</v>
      </c>
      <c r="D368" s="203" t="n">
        <v>0</v>
      </c>
      <c r="E368" s="203" t="n">
        <v>0.00086013</v>
      </c>
      <c r="F368" s="203" t="n">
        <v>0.001453609</v>
      </c>
      <c r="G368" s="203" t="n">
        <v>0.002036738</v>
      </c>
      <c r="H368" s="203" t="n">
        <v>0.002500292</v>
      </c>
      <c r="I368" s="204" t="n">
        <v>0.002963845</v>
      </c>
      <c r="J368" s="57"/>
    </row>
    <row r="369" customFormat="false" ht="15" hidden="false" customHeight="false" outlineLevel="0" collapsed="false">
      <c r="A369" s="319" t="s">
        <v>643</v>
      </c>
      <c r="B369" s="202" t="s">
        <v>499</v>
      </c>
      <c r="C369" s="203" t="n">
        <v>0</v>
      </c>
      <c r="D369" s="203" t="n">
        <v>0</v>
      </c>
      <c r="E369" s="203" t="n">
        <v>0</v>
      </c>
      <c r="F369" s="203" t="n">
        <v>0</v>
      </c>
      <c r="G369" s="203" t="n">
        <v>0</v>
      </c>
      <c r="H369" s="203" t="n">
        <v>0</v>
      </c>
      <c r="I369" s="204" t="n">
        <v>0</v>
      </c>
      <c r="J369" s="57"/>
    </row>
    <row r="370" customFormat="false" ht="15" hidden="false" customHeight="false" outlineLevel="0" collapsed="false">
      <c r="A370" s="320" t="s">
        <v>667</v>
      </c>
      <c r="B370" s="321"/>
      <c r="C370" s="321"/>
      <c r="D370" s="321"/>
      <c r="E370" s="321"/>
      <c r="F370" s="321"/>
      <c r="G370" s="321"/>
      <c r="H370" s="322"/>
      <c r="I370" s="321"/>
      <c r="J370" s="57"/>
    </row>
    <row r="371" customFormat="false" ht="15" hidden="false" customHeight="false" outlineLevel="0" collapsed="false">
      <c r="A371" s="319" t="s">
        <v>580</v>
      </c>
      <c r="B371" s="202" t="s">
        <v>28</v>
      </c>
      <c r="C371" s="203" t="n">
        <v>0.189349112426035</v>
      </c>
      <c r="D371" s="203" t="n">
        <v>0.189349112426035</v>
      </c>
      <c r="E371" s="203" t="n">
        <v>0.189349112426035</v>
      </c>
      <c r="F371" s="203" t="n">
        <v>0.189349112426035</v>
      </c>
      <c r="G371" s="203" t="n">
        <v>0.189349112426035</v>
      </c>
      <c r="H371" s="203" t="n">
        <f aca="false">G371+(I371-G371)/2</f>
        <v>0.238653613804641</v>
      </c>
      <c r="I371" s="203" t="n">
        <v>0.287958115183246</v>
      </c>
      <c r="J371" s="57"/>
    </row>
    <row r="372" customFormat="false" ht="15" hidden="false" customHeight="false" outlineLevel="0" collapsed="false">
      <c r="A372" s="319" t="s">
        <v>597</v>
      </c>
      <c r="B372" s="202" t="s">
        <v>28</v>
      </c>
      <c r="C372" s="203" t="n">
        <v>0.189349112</v>
      </c>
      <c r="D372" s="203" t="n">
        <v>0.189349112</v>
      </c>
      <c r="E372" s="203" t="n">
        <v>0.189349112</v>
      </c>
      <c r="F372" s="203" t="n">
        <v>0.189349112</v>
      </c>
      <c r="G372" s="203" t="n">
        <v>0.189349112</v>
      </c>
      <c r="H372" s="203" t="n">
        <v>0.238653614</v>
      </c>
      <c r="I372" s="203" t="n">
        <v>0.287958115</v>
      </c>
      <c r="J372" s="57"/>
    </row>
    <row r="373" customFormat="false" ht="15" hidden="false" customHeight="false" outlineLevel="0" collapsed="false">
      <c r="A373" s="319" t="s">
        <v>598</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19" t="s">
        <v>599</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19" t="s">
        <v>600</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19" t="s">
        <v>601</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19" t="s">
        <v>602</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19" t="s">
        <v>603</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19" t="s">
        <v>354</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19" t="s">
        <v>369</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19" t="s">
        <v>604</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19" t="s">
        <v>605</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19" t="s">
        <v>606</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19" t="s">
        <v>607</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19" t="s">
        <v>608</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19" t="s">
        <v>609</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19" t="s">
        <v>610</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19" t="s">
        <v>611</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19" t="s">
        <v>612</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19" t="s">
        <v>613</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19" t="s">
        <v>614</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19" t="s">
        <v>615</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19" t="s">
        <v>616</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19" t="s">
        <v>617</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19" t="s">
        <v>618</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19" t="s">
        <v>619</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19" t="s">
        <v>620</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19" t="s">
        <v>621</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19" t="s">
        <v>622</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19" t="s">
        <v>623</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19" t="s">
        <v>624</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19" t="s">
        <v>625</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19" t="s">
        <v>626</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19" t="s">
        <v>627</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19" t="s">
        <v>628</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19" t="s">
        <v>629</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19" t="s">
        <v>630</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19" t="s">
        <v>631</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19" t="s">
        <v>632</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19" t="s">
        <v>633</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19" t="s">
        <v>634</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19" t="s">
        <v>635</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19" t="s">
        <v>636</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19" t="s">
        <v>637</v>
      </c>
      <c r="B414" s="202" t="s">
        <v>28</v>
      </c>
      <c r="C414" s="203" t="n">
        <v>0.189349112</v>
      </c>
      <c r="D414" s="203" t="n">
        <v>0.189349112</v>
      </c>
      <c r="E414" s="203" t="n">
        <v>0.189349112</v>
      </c>
      <c r="F414" s="203" t="n">
        <v>0.189349112</v>
      </c>
      <c r="G414" s="203" t="n">
        <v>0.189349112</v>
      </c>
      <c r="H414" s="203" t="n">
        <v>0.169674556</v>
      </c>
      <c r="I414" s="203" t="n">
        <v>0.15</v>
      </c>
      <c r="J414" s="57"/>
    </row>
    <row r="415" customFormat="false" ht="15" hidden="false" customHeight="false" outlineLevel="0" collapsed="false">
      <c r="A415" s="319" t="s">
        <v>638</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19" t="s">
        <v>639</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19" t="s">
        <v>640</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19" t="s">
        <v>641</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19" t="s">
        <v>642</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19" t="s">
        <v>643</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8" hidden="false" customHeight="true" outlineLevel="0" collapsed="false">
      <c r="A421" s="200" t="s">
        <v>668</v>
      </c>
      <c r="B421" s="200"/>
      <c r="C421" s="200"/>
      <c r="D421" s="200"/>
      <c r="E421" s="200"/>
      <c r="F421" s="200"/>
      <c r="G421" s="200"/>
      <c r="H421" s="200"/>
      <c r="I421" s="200"/>
    </row>
    <row r="422" customFormat="false" ht="15" hidden="false" customHeight="false" outlineLevel="0" collapsed="false">
      <c r="A422" s="319" t="s">
        <v>669</v>
      </c>
      <c r="B422" s="219" t="s">
        <v>499</v>
      </c>
      <c r="C422" s="203" t="n">
        <v>0</v>
      </c>
      <c r="D422" s="203" t="n">
        <v>0.00625343327625571</v>
      </c>
      <c r="E422" s="203" t="n">
        <v>0.0125068665525114</v>
      </c>
      <c r="F422" s="203" t="n">
        <v>0.0135108581335616</v>
      </c>
      <c r="G422" s="203" t="n">
        <v>0.0145148497146119</v>
      </c>
      <c r="H422" s="203" t="n">
        <v>0.0155188412956621</v>
      </c>
      <c r="I422" s="203" t="n">
        <v>0.0165228328767123</v>
      </c>
    </row>
    <row r="423" customFormat="false" ht="15" hidden="false" customHeight="false" outlineLevel="0" collapsed="false">
      <c r="H423" s="54"/>
      <c r="J423" s="57"/>
    </row>
    <row r="424" customFormat="false" ht="17.35" hidden="false" customHeight="false" outlineLevel="0" collapsed="false">
      <c r="A424" s="323" t="s">
        <v>670</v>
      </c>
      <c r="B424" s="324"/>
      <c r="C424" s="325"/>
    </row>
    <row r="425" customFormat="false" ht="15" hidden="false" customHeight="false" outlineLevel="0" collapsed="false">
      <c r="A425" s="319" t="s">
        <v>434</v>
      </c>
      <c r="B425" s="202" t="s">
        <v>36</v>
      </c>
      <c r="C425" s="204" t="n">
        <v>2050</v>
      </c>
    </row>
    <row r="426" customFormat="false" ht="15" hidden="false" customHeight="false" outlineLevel="0" collapsed="false">
      <c r="A426" s="326" t="s">
        <v>671</v>
      </c>
      <c r="B426" s="205" t="s">
        <v>327</v>
      </c>
      <c r="C426" s="327" t="n">
        <v>0.05</v>
      </c>
    </row>
    <row r="428" customFormat="false" ht="17.35" hidden="false" customHeight="false" outlineLevel="0" collapsed="false">
      <c r="A428" s="323" t="s">
        <v>672</v>
      </c>
      <c r="B428" s="323"/>
      <c r="C428" s="323"/>
      <c r="D428" s="323"/>
      <c r="E428" s="323"/>
      <c r="F428" s="323"/>
      <c r="G428" s="323"/>
      <c r="H428" s="323"/>
      <c r="I428" s="323"/>
    </row>
    <row r="429" customFormat="false" ht="15" hidden="false" customHeight="false" outlineLevel="0" collapsed="false">
      <c r="A429" s="319" t="s">
        <v>673</v>
      </c>
      <c r="B429" s="202" t="s">
        <v>36</v>
      </c>
      <c r="C429" s="203" t="n">
        <v>2020</v>
      </c>
      <c r="D429" s="203" t="n">
        <f aca="false">C429+5</f>
        <v>2025</v>
      </c>
      <c r="E429" s="203" t="n">
        <f aca="false">D429+5</f>
        <v>2030</v>
      </c>
      <c r="F429" s="203" t="n">
        <f aca="false">E429+5</f>
        <v>2035</v>
      </c>
      <c r="G429" s="203" t="n">
        <f aca="false">F429+5</f>
        <v>2040</v>
      </c>
      <c r="H429" s="203" t="n">
        <f aca="false">G429+5</f>
        <v>2045</v>
      </c>
      <c r="I429" s="203" t="n">
        <f aca="false">H429+5</f>
        <v>2050</v>
      </c>
    </row>
    <row r="430" customFormat="false" ht="15" hidden="false" customHeight="false" outlineLevel="0" collapsed="false">
      <c r="A430" s="319" t="s">
        <v>674</v>
      </c>
      <c r="B430" s="202" t="s">
        <v>675</v>
      </c>
      <c r="C430" s="203" t="n">
        <v>0</v>
      </c>
      <c r="D430" s="203" t="n">
        <v>0</v>
      </c>
      <c r="E430" s="203" t="n">
        <v>0</v>
      </c>
      <c r="F430" s="203" t="n">
        <v>0</v>
      </c>
      <c r="G430" s="203" t="n">
        <v>0</v>
      </c>
      <c r="H430" s="203" t="n">
        <v>0</v>
      </c>
      <c r="I430" s="203" t="n">
        <v>0</v>
      </c>
      <c r="M430" s="198"/>
      <c r="Q430" s="198"/>
      <c r="U430" s="198"/>
    </row>
    <row r="432" customFormat="false" ht="17.35" hidden="false" customHeight="false" outlineLevel="0" collapsed="false">
      <c r="A432" s="323" t="s">
        <v>676</v>
      </c>
      <c r="B432" s="323"/>
      <c r="C432" s="323"/>
      <c r="D432" s="323"/>
      <c r="E432" s="323"/>
      <c r="F432" s="323"/>
      <c r="G432" s="323"/>
      <c r="H432" s="323"/>
      <c r="I432" s="323"/>
      <c r="J432" s="323"/>
      <c r="K432" s="323"/>
      <c r="L432" s="323"/>
      <c r="M432" s="323"/>
      <c r="N432" s="323"/>
      <c r="O432" s="323"/>
      <c r="P432" s="323"/>
      <c r="Q432" s="323"/>
      <c r="R432" s="323"/>
      <c r="S432" s="323"/>
      <c r="T432" s="323"/>
      <c r="U432" s="323"/>
      <c r="V432" s="323"/>
      <c r="W432" s="323"/>
      <c r="X432" s="323"/>
    </row>
    <row r="433" customFormat="false" ht="15" hidden="false" customHeight="false" outlineLevel="0" collapsed="false">
      <c r="A433" s="319" t="s">
        <v>673</v>
      </c>
      <c r="B433" s="202" t="s">
        <v>36</v>
      </c>
      <c r="C433" s="203" t="n">
        <v>1980</v>
      </c>
      <c r="D433" s="203" t="n">
        <v>2020</v>
      </c>
      <c r="E433" s="203" t="n">
        <f aca="false">D433+5</f>
        <v>2025</v>
      </c>
      <c r="F433" s="203" t="n">
        <f aca="false">E433+5</f>
        <v>2030</v>
      </c>
      <c r="G433" s="203" t="n">
        <f aca="false">F433+5</f>
        <v>2035</v>
      </c>
      <c r="H433" s="203" t="n">
        <f aca="false">G433+5</f>
        <v>2040</v>
      </c>
      <c r="I433" s="203" t="n">
        <f aca="false">H433+5</f>
        <v>2045</v>
      </c>
      <c r="J433" s="203" t="n">
        <f aca="false">I433+5</f>
        <v>2050</v>
      </c>
      <c r="K433" s="203" t="n">
        <f aca="false">J433+5</f>
        <v>2055</v>
      </c>
      <c r="L433" s="203" t="n">
        <f aca="false">K433+5</f>
        <v>2060</v>
      </c>
      <c r="M433" s="203" t="n">
        <f aca="false">L433+5</f>
        <v>2065</v>
      </c>
      <c r="N433" s="203" t="n">
        <f aca="false">M433+5</f>
        <v>2070</v>
      </c>
      <c r="O433" s="203" t="n">
        <f aca="false">N433+5</f>
        <v>2075</v>
      </c>
      <c r="P433" s="203" t="n">
        <f aca="false">O433+5</f>
        <v>2080</v>
      </c>
      <c r="Q433" s="203" t="n">
        <f aca="false">P433+5</f>
        <v>2085</v>
      </c>
      <c r="R433" s="203" t="n">
        <f aca="false">Q433+5</f>
        <v>2090</v>
      </c>
      <c r="S433" s="203" t="n">
        <f aca="false">R433+5</f>
        <v>2095</v>
      </c>
      <c r="T433" s="203" t="n">
        <f aca="false">S433+5</f>
        <v>2100</v>
      </c>
      <c r="U433" s="203" t="n">
        <f aca="false">T433+5</f>
        <v>2105</v>
      </c>
      <c r="V433" s="203" t="n">
        <f aca="false">U433+5</f>
        <v>2110</v>
      </c>
      <c r="W433" s="203" t="n">
        <f aca="false">V433+5</f>
        <v>2115</v>
      </c>
      <c r="X433" s="203" t="n">
        <f aca="false">W433+5</f>
        <v>2120</v>
      </c>
    </row>
    <row r="434" customFormat="false" ht="15" hidden="false" customHeight="false" outlineLevel="0" collapsed="false">
      <c r="A434" s="319" t="s">
        <v>676</v>
      </c>
      <c r="B434" s="202" t="s">
        <v>677</v>
      </c>
      <c r="C434" s="203"/>
      <c r="D434" s="203" t="n">
        <v>345</v>
      </c>
      <c r="E434" s="203"/>
      <c r="F434" s="203" t="n">
        <v>345</v>
      </c>
      <c r="G434" s="203"/>
      <c r="H434" s="203" t="n">
        <v>298</v>
      </c>
      <c r="I434" s="203"/>
      <c r="J434" s="203" t="n">
        <v>333</v>
      </c>
      <c r="K434" s="203"/>
      <c r="L434" s="203"/>
      <c r="M434" s="203"/>
      <c r="N434" s="203"/>
      <c r="O434" s="203"/>
      <c r="P434" s="203"/>
      <c r="Q434" s="203"/>
      <c r="R434" s="203"/>
      <c r="S434" s="203"/>
      <c r="T434" s="203"/>
      <c r="U434" s="203"/>
      <c r="V434" s="203"/>
      <c r="W434" s="203"/>
      <c r="X434" s="203"/>
    </row>
    <row r="435" customFormat="false" ht="15" hidden="false" customHeight="false" outlineLevel="0" collapsed="false">
      <c r="H435" s="54"/>
      <c r="J435" s="57"/>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24.45" hidden="false" customHeight="false" outlineLevel="0" collapsed="false">
      <c r="A440" s="199" t="s">
        <v>678</v>
      </c>
    </row>
    <row r="443" customFormat="false" ht="15" hidden="false" customHeight="false" outlineLevel="0" collapsed="false">
      <c r="H443" s="328"/>
    </row>
    <row r="444" customFormat="false" ht="15" hidden="false" customHeight="false" outlineLevel="0" collapsed="false">
      <c r="H444" s="328"/>
    </row>
    <row r="445" customFormat="false" ht="17.35" hidden="false" customHeight="false" outlineLevel="0" collapsed="false">
      <c r="A445" s="200" t="s">
        <v>679</v>
      </c>
      <c r="B445" s="200"/>
      <c r="C445" s="200"/>
      <c r="D445" s="200"/>
      <c r="E445" s="200"/>
      <c r="F445" s="200"/>
      <c r="G445" s="200"/>
      <c r="H445" s="200"/>
    </row>
    <row r="446" customFormat="false" ht="15" hidden="false" customHeight="false" outlineLevel="0" collapsed="false">
      <c r="A446" s="329" t="s">
        <v>36</v>
      </c>
      <c r="B446" s="203" t="n">
        <v>2020</v>
      </c>
      <c r="C446" s="203" t="n">
        <v>2025</v>
      </c>
      <c r="D446" s="203" t="n">
        <v>2030</v>
      </c>
      <c r="E446" s="203" t="n">
        <v>2035</v>
      </c>
      <c r="F446" s="203" t="n">
        <v>2040</v>
      </c>
      <c r="G446" s="203" t="n">
        <v>2045</v>
      </c>
      <c r="H446" s="204" t="n">
        <v>2050</v>
      </c>
    </row>
    <row r="447" customFormat="false" ht="15" hidden="false" customHeight="false" outlineLevel="0" collapsed="false">
      <c r="A447" s="312" t="s">
        <v>472</v>
      </c>
      <c r="B447" s="312"/>
      <c r="C447" s="312"/>
      <c r="D447" s="312"/>
      <c r="E447" s="312"/>
      <c r="F447" s="312"/>
      <c r="G447" s="312"/>
      <c r="H447" s="312"/>
    </row>
    <row r="448" customFormat="false" ht="15" hidden="false" customHeight="false" outlineLevel="0" collapsed="false">
      <c r="A448" s="330" t="s">
        <v>680</v>
      </c>
      <c r="B448" s="203" t="n">
        <v>18.8</v>
      </c>
      <c r="C448" s="203" t="n">
        <v>16.1316315</v>
      </c>
      <c r="D448" s="203" t="n">
        <v>13.486491</v>
      </c>
      <c r="E448" s="203" t="n">
        <v>10.8413505</v>
      </c>
      <c r="F448" s="203" t="n">
        <v>8.19621</v>
      </c>
      <c r="G448" s="203" t="n">
        <v>5.5510695</v>
      </c>
      <c r="H448" s="204" t="n">
        <v>2.9</v>
      </c>
    </row>
    <row r="449" customFormat="false" ht="15" hidden="false" customHeight="false" outlineLevel="0" collapsed="false">
      <c r="A449" s="312" t="s">
        <v>479</v>
      </c>
      <c r="B449" s="312"/>
      <c r="C449" s="312"/>
      <c r="D449" s="312"/>
      <c r="E449" s="312"/>
      <c r="F449" s="312"/>
      <c r="G449" s="312"/>
      <c r="H449" s="312"/>
      <c r="I449" s="57"/>
    </row>
    <row r="450" customFormat="false" ht="15" hidden="false" customHeight="false" outlineLevel="0" collapsed="false">
      <c r="A450" s="330" t="s">
        <v>680</v>
      </c>
      <c r="B450" s="203" t="n">
        <v>13.3</v>
      </c>
      <c r="C450" s="203" t="n">
        <v>11.39042</v>
      </c>
      <c r="D450" s="203" t="n">
        <v>9.52904</v>
      </c>
      <c r="E450" s="203" t="n">
        <v>7.66766</v>
      </c>
      <c r="F450" s="203" t="n">
        <v>5.80628</v>
      </c>
      <c r="G450" s="203" t="n">
        <v>3.9449</v>
      </c>
      <c r="H450" s="204" t="n">
        <v>2.1</v>
      </c>
    </row>
    <row r="451" customFormat="false" ht="15" hidden="false" customHeight="false" outlineLevel="0" collapsed="false">
      <c r="A451" s="312" t="s">
        <v>485</v>
      </c>
      <c r="B451" s="312"/>
      <c r="C451" s="312"/>
      <c r="D451" s="312"/>
      <c r="E451" s="312"/>
      <c r="F451" s="312"/>
      <c r="G451" s="312"/>
      <c r="H451" s="312"/>
      <c r="I451" s="57"/>
    </row>
    <row r="452" customFormat="false" ht="15" hidden="false" customHeight="false" outlineLevel="0" collapsed="false">
      <c r="A452" s="331" t="s">
        <v>680</v>
      </c>
      <c r="B452" s="332" t="n">
        <v>2.4</v>
      </c>
      <c r="C452" s="332" t="n">
        <v>2.083</v>
      </c>
      <c r="D452" s="332" t="n">
        <v>1.769</v>
      </c>
      <c r="E452" s="332" t="n">
        <v>1.455</v>
      </c>
      <c r="F452" s="332" t="n">
        <v>3</v>
      </c>
      <c r="G452" s="332" t="n">
        <v>3</v>
      </c>
      <c r="H452" s="332" t="n">
        <v>1.141</v>
      </c>
    </row>
    <row r="453" customFormat="false" ht="15" hidden="false" customHeight="false" outlineLevel="0" collapsed="false">
      <c r="F453" s="332" t="n">
        <v>1.141</v>
      </c>
      <c r="G453" s="332" t="n">
        <v>0.827</v>
      </c>
      <c r="H453" s="244" t="n">
        <v>0.5</v>
      </c>
    </row>
    <row r="454" customFormat="false" ht="17.35" hidden="false" customHeight="false" outlineLevel="0" collapsed="false">
      <c r="A454" s="200" t="s">
        <v>681</v>
      </c>
      <c r="B454" s="200"/>
      <c r="C454" s="200"/>
      <c r="D454" s="200"/>
      <c r="E454" s="200"/>
      <c r="F454" s="200"/>
      <c r="G454" s="200"/>
      <c r="H454" s="200"/>
      <c r="I454" s="200"/>
    </row>
    <row r="455" customFormat="false" ht="15" hidden="false" customHeight="false" outlineLevel="0" collapsed="false">
      <c r="A455" s="333"/>
      <c r="B455" s="202" t="s">
        <v>36</v>
      </c>
      <c r="C455" s="203" t="n">
        <v>2020</v>
      </c>
      <c r="D455" s="203" t="n">
        <v>2025</v>
      </c>
      <c r="E455" s="203" t="n">
        <v>2030</v>
      </c>
      <c r="F455" s="203" t="n">
        <v>2035</v>
      </c>
      <c r="G455" s="203" t="n">
        <v>2040</v>
      </c>
      <c r="H455" s="203" t="n">
        <v>2045</v>
      </c>
      <c r="I455" s="204" t="n">
        <v>2050</v>
      </c>
    </row>
    <row r="456" customFormat="false" ht="15" hidden="false" customHeight="false" outlineLevel="0" collapsed="false">
      <c r="A456" s="319" t="s">
        <v>682</v>
      </c>
      <c r="B456" s="202" t="s">
        <v>146</v>
      </c>
      <c r="C456" s="204" t="n">
        <v>-0.01</v>
      </c>
      <c r="D456" s="204" t="n">
        <v>-0.013</v>
      </c>
      <c r="E456" s="204" t="n">
        <v>-0.016</v>
      </c>
      <c r="F456" s="204" t="n">
        <v>-0.019</v>
      </c>
      <c r="G456" s="204" t="n">
        <v>-0.023</v>
      </c>
      <c r="H456" s="204" t="n">
        <v>-0.026</v>
      </c>
      <c r="I456" s="204" t="n">
        <v>-0.029</v>
      </c>
    </row>
    <row r="457" customFormat="false" ht="15" hidden="false" customHeight="false" outlineLevel="0" collapsed="false">
      <c r="A457" s="326" t="s">
        <v>683</v>
      </c>
      <c r="B457" s="205" t="s">
        <v>327</v>
      </c>
      <c r="C457" s="311" t="n">
        <v>0</v>
      </c>
      <c r="D457" s="311" t="n">
        <v>0</v>
      </c>
      <c r="E457" s="311" t="n">
        <v>0</v>
      </c>
      <c r="F457" s="311" t="n">
        <v>0</v>
      </c>
      <c r="G457" s="311" t="n">
        <v>0</v>
      </c>
      <c r="H457" s="311" t="n">
        <v>0</v>
      </c>
      <c r="I457" s="311" t="n">
        <v>0</v>
      </c>
    </row>
    <row r="461" customFormat="false" ht="24.45" hidden="false" customHeight="false" outlineLevel="0" collapsed="false">
      <c r="A461" s="199" t="s">
        <v>684</v>
      </c>
      <c r="H461" s="54"/>
      <c r="J461" s="57"/>
    </row>
    <row r="462" customFormat="false" ht="17.35" hidden="false" customHeight="false" outlineLevel="0" collapsed="false">
      <c r="A462" s="200" t="s">
        <v>685</v>
      </c>
      <c r="B462" s="200"/>
      <c r="C462" s="200"/>
      <c r="H462" s="54"/>
      <c r="J462" s="57"/>
    </row>
    <row r="463" customFormat="false" ht="15" hidden="false" customHeight="false" outlineLevel="0" collapsed="false">
      <c r="A463" s="319" t="s">
        <v>416</v>
      </c>
      <c r="B463" s="202" t="s">
        <v>28</v>
      </c>
      <c r="C463" s="204" t="n">
        <v>0</v>
      </c>
    </row>
    <row r="464" customFormat="false" ht="15" hidden="false" customHeight="false" outlineLevel="0" collapsed="false">
      <c r="A464" s="319" t="s">
        <v>418</v>
      </c>
      <c r="B464" s="202" t="s">
        <v>125</v>
      </c>
      <c r="C464" s="204" t="n">
        <v>200</v>
      </c>
    </row>
    <row r="465" customFormat="false" ht="15" hidden="false" customHeight="false" outlineLevel="0" collapsed="false">
      <c r="A465" s="319" t="s">
        <v>420</v>
      </c>
      <c r="B465" s="202" t="s">
        <v>686</v>
      </c>
      <c r="C465" s="258" t="n">
        <v>0.0074</v>
      </c>
    </row>
    <row r="466" customFormat="false" ht="15" hidden="false" customHeight="false" outlineLevel="0" collapsed="false">
      <c r="A466" s="319" t="s">
        <v>687</v>
      </c>
      <c r="B466" s="202" t="s">
        <v>36</v>
      </c>
      <c r="C466" s="204" t="n">
        <v>2020</v>
      </c>
    </row>
    <row r="467" customFormat="false" ht="15" hidden="false" customHeight="false" outlineLevel="0" collapsed="false">
      <c r="A467" s="319" t="s">
        <v>424</v>
      </c>
      <c r="B467" s="202" t="s">
        <v>688</v>
      </c>
      <c r="C467" s="204" t="n">
        <v>185</v>
      </c>
    </row>
    <row r="468" customFormat="false" ht="15" hidden="false" customHeight="false" outlineLevel="0" collapsed="false">
      <c r="A468" s="319" t="s">
        <v>427</v>
      </c>
      <c r="B468" s="202" t="s">
        <v>36</v>
      </c>
      <c r="C468" s="204" t="n">
        <v>2020</v>
      </c>
    </row>
    <row r="469" customFormat="false" ht="15" hidden="false" customHeight="false" outlineLevel="0" collapsed="false">
      <c r="A469" s="326" t="s">
        <v>428</v>
      </c>
      <c r="B469" s="205" t="s">
        <v>36</v>
      </c>
      <c r="C469" s="244" t="n">
        <v>2050</v>
      </c>
    </row>
    <row r="471" customFormat="false" ht="14.25" hidden="false" customHeight="true" outlineLevel="0" collapsed="false">
      <c r="A471" s="334" t="s">
        <v>70</v>
      </c>
      <c r="B471" s="334"/>
      <c r="C471" s="334"/>
      <c r="F471" s="328"/>
      <c r="G471" s="328"/>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c r="AD471" s="328"/>
      <c r="AE471" s="328"/>
      <c r="AF471" s="328"/>
      <c r="AG471" s="328"/>
      <c r="AH471" s="328"/>
      <c r="AI471" s="328"/>
      <c r="AJ471" s="328"/>
      <c r="AK471" s="328"/>
      <c r="AL471" s="328"/>
    </row>
    <row r="472" customFormat="false" ht="15" hidden="false" customHeight="false" outlineLevel="0" collapsed="false">
      <c r="A472" s="335" t="s">
        <v>75</v>
      </c>
      <c r="B472" s="270" t="s">
        <v>76</v>
      </c>
      <c r="C472" s="336" t="n">
        <v>135</v>
      </c>
      <c r="F472" s="328"/>
      <c r="G472" s="328"/>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c r="AD472" s="328"/>
      <c r="AE472" s="328"/>
      <c r="AF472" s="328"/>
      <c r="AG472" s="328"/>
      <c r="AH472" s="328"/>
      <c r="AI472" s="328"/>
      <c r="AJ472" s="328"/>
      <c r="AK472" s="328"/>
      <c r="AL472" s="328"/>
    </row>
    <row r="473" customFormat="false" ht="15" hidden="false" customHeight="false" outlineLevel="0" collapsed="false">
      <c r="A473" s="319" t="s">
        <v>74</v>
      </c>
      <c r="B473" s="202" t="s">
        <v>28</v>
      </c>
      <c r="C473" s="204" t="n">
        <v>0.2</v>
      </c>
      <c r="F473" s="328"/>
      <c r="G473" s="328"/>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c r="AD473" s="328"/>
      <c r="AE473" s="328"/>
      <c r="AF473" s="328"/>
      <c r="AG473" s="328"/>
      <c r="AH473" s="328"/>
      <c r="AI473" s="328"/>
      <c r="AJ473" s="328"/>
      <c r="AK473" s="328"/>
      <c r="AL473" s="328"/>
    </row>
    <row r="474" customFormat="false" ht="15" hidden="false" customHeight="false" outlineLevel="0" collapsed="false">
      <c r="A474" s="319" t="s">
        <v>80</v>
      </c>
      <c r="B474" s="202" t="s">
        <v>28</v>
      </c>
      <c r="C474" s="204" t="n">
        <v>2020</v>
      </c>
      <c r="F474" s="328"/>
      <c r="G474" s="328"/>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c r="AD474" s="328"/>
      <c r="AE474" s="328"/>
      <c r="AF474" s="328"/>
      <c r="AG474" s="328"/>
      <c r="AH474" s="328"/>
      <c r="AI474" s="328"/>
      <c r="AJ474" s="328"/>
      <c r="AK474" s="328"/>
      <c r="AL474" s="328"/>
    </row>
    <row r="475" customFormat="false" ht="15" hidden="false" customHeight="false" outlineLevel="0" collapsed="false">
      <c r="A475" s="326" t="s">
        <v>83</v>
      </c>
      <c r="B475" s="205" t="s">
        <v>28</v>
      </c>
      <c r="C475" s="244" t="n">
        <v>2050</v>
      </c>
      <c r="F475" s="328"/>
      <c r="G475" s="328"/>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c r="AD475" s="328"/>
      <c r="AE475" s="328"/>
      <c r="AF475" s="328"/>
      <c r="AG475" s="328"/>
      <c r="AH475" s="328"/>
      <c r="AI475" s="328"/>
      <c r="AJ475" s="328"/>
      <c r="AK475" s="328"/>
      <c r="AL475" s="328"/>
    </row>
    <row r="478" customFormat="false" ht="17.35" hidden="false" customHeight="false" outlineLevel="0" collapsed="false">
      <c r="A478" s="334" t="s">
        <v>86</v>
      </c>
      <c r="B478" s="334"/>
      <c r="C478" s="334"/>
    </row>
    <row r="479" customFormat="false" ht="15" hidden="false" customHeight="false" outlineLevel="0" collapsed="false">
      <c r="A479" s="319" t="s">
        <v>89</v>
      </c>
      <c r="B479" s="202" t="s">
        <v>28</v>
      </c>
      <c r="C479" s="311" t="n">
        <v>0.5</v>
      </c>
    </row>
    <row r="480" customFormat="false" ht="15" hidden="false" customHeight="false" outlineLevel="0" collapsed="false">
      <c r="A480" s="319" t="s">
        <v>92</v>
      </c>
      <c r="B480" s="202" t="s">
        <v>28</v>
      </c>
      <c r="C480" s="311" t="n">
        <v>0.5</v>
      </c>
    </row>
    <row r="481" customFormat="false" ht="15" hidden="false" customHeight="false" outlineLevel="0" collapsed="false">
      <c r="A481" s="319" t="s">
        <v>93</v>
      </c>
      <c r="B481" s="202" t="s">
        <v>28</v>
      </c>
      <c r="C481" s="311" t="n">
        <v>0.5</v>
      </c>
    </row>
    <row r="482" customFormat="false" ht="15" hidden="false" customHeight="false" outlineLevel="0" collapsed="false">
      <c r="A482" s="326" t="s">
        <v>118</v>
      </c>
      <c r="B482" s="205" t="s">
        <v>28</v>
      </c>
      <c r="C482" s="337" t="n">
        <v>0.5</v>
      </c>
    </row>
    <row r="484" customFormat="false" ht="15.75" hidden="false" customHeight="true" outlineLevel="0" collapsed="false">
      <c r="A484" s="334" t="s">
        <v>689</v>
      </c>
      <c r="B484" s="334"/>
      <c r="C484" s="338" t="s">
        <v>580</v>
      </c>
      <c r="D484" s="339" t="s">
        <v>690</v>
      </c>
      <c r="E484" s="339" t="s">
        <v>691</v>
      </c>
      <c r="F484" s="339" t="s">
        <v>692</v>
      </c>
      <c r="G484" s="339" t="s">
        <v>693</v>
      </c>
      <c r="H484" s="339" t="s">
        <v>694</v>
      </c>
      <c r="I484" s="339" t="s">
        <v>695</v>
      </c>
      <c r="J484" s="339" t="s">
        <v>696</v>
      </c>
      <c r="K484" s="339" t="s">
        <v>354</v>
      </c>
      <c r="L484" s="339" t="s">
        <v>697</v>
      </c>
      <c r="M484" s="339" t="s">
        <v>698</v>
      </c>
      <c r="N484" s="339" t="s">
        <v>699</v>
      </c>
      <c r="O484" s="339" t="s">
        <v>700</v>
      </c>
      <c r="P484" s="339" t="s">
        <v>701</v>
      </c>
      <c r="Q484" s="340" t="s">
        <v>702</v>
      </c>
    </row>
    <row r="485" customFormat="false" ht="15" hidden="false" customHeight="false" outlineLevel="0" collapsed="false">
      <c r="A485" s="319" t="s">
        <v>703</v>
      </c>
      <c r="B485" s="341" t="s">
        <v>374</v>
      </c>
      <c r="C485" s="204" t="s">
        <v>704</v>
      </c>
      <c r="D485" s="204" t="s">
        <v>704</v>
      </c>
      <c r="E485" s="204" t="s">
        <v>704</v>
      </c>
      <c r="F485" s="204" t="s">
        <v>704</v>
      </c>
      <c r="G485" s="204" t="s">
        <v>704</v>
      </c>
      <c r="H485" s="204" t="s">
        <v>704</v>
      </c>
      <c r="I485" s="204" t="s">
        <v>704</v>
      </c>
      <c r="J485" s="204" t="s">
        <v>704</v>
      </c>
      <c r="K485" s="204" t="s">
        <v>704</v>
      </c>
      <c r="L485" s="204" t="s">
        <v>704</v>
      </c>
      <c r="M485" s="204" t="s">
        <v>704</v>
      </c>
      <c r="N485" s="204" t="s">
        <v>704</v>
      </c>
      <c r="O485" s="204" t="s">
        <v>704</v>
      </c>
      <c r="P485" s="204" t="s">
        <v>704</v>
      </c>
      <c r="Q485" s="204" t="s">
        <v>704</v>
      </c>
    </row>
    <row r="486" customFormat="false" ht="15" hidden="false" customHeight="false" outlineLevel="0" collapsed="false">
      <c r="A486" s="319" t="s">
        <v>705</v>
      </c>
      <c r="B486" s="341"/>
      <c r="C486" s="204" t="s">
        <v>704</v>
      </c>
      <c r="D486" s="204" t="s">
        <v>704</v>
      </c>
      <c r="E486" s="204" t="s">
        <v>704</v>
      </c>
      <c r="F486" s="204" t="s">
        <v>704</v>
      </c>
      <c r="G486" s="204" t="s">
        <v>704</v>
      </c>
      <c r="H486" s="204" t="s">
        <v>704</v>
      </c>
      <c r="I486" s="204" t="s">
        <v>704</v>
      </c>
      <c r="J486" s="204" t="s">
        <v>704</v>
      </c>
      <c r="K486" s="204" t="s">
        <v>704</v>
      </c>
      <c r="L486" s="204" t="s">
        <v>704</v>
      </c>
      <c r="M486" s="204" t="s">
        <v>704</v>
      </c>
      <c r="N486" s="204" t="s">
        <v>704</v>
      </c>
      <c r="O486" s="204" t="s">
        <v>704</v>
      </c>
      <c r="P486" s="204" t="s">
        <v>704</v>
      </c>
      <c r="Q486" s="204" t="s">
        <v>704</v>
      </c>
    </row>
    <row r="487" customFormat="false" ht="15" hidden="false" customHeight="false" outlineLevel="0" collapsed="false">
      <c r="A487" s="319" t="s">
        <v>706</v>
      </c>
      <c r="B487" s="341"/>
      <c r="C487" s="204" t="s">
        <v>704</v>
      </c>
      <c r="D487" s="204" t="s">
        <v>704</v>
      </c>
      <c r="E487" s="204" t="s">
        <v>704</v>
      </c>
      <c r="F487" s="204" t="s">
        <v>704</v>
      </c>
      <c r="G487" s="204" t="s">
        <v>704</v>
      </c>
      <c r="H487" s="204" t="s">
        <v>704</v>
      </c>
      <c r="I487" s="204" t="s">
        <v>704</v>
      </c>
      <c r="J487" s="204" t="s">
        <v>704</v>
      </c>
      <c r="K487" s="204" t="s">
        <v>704</v>
      </c>
      <c r="L487" s="204" t="s">
        <v>704</v>
      </c>
      <c r="M487" s="204" t="s">
        <v>704</v>
      </c>
      <c r="N487" s="204" t="s">
        <v>704</v>
      </c>
      <c r="O487" s="204" t="s">
        <v>704</v>
      </c>
      <c r="P487" s="204" t="s">
        <v>704</v>
      </c>
      <c r="Q487" s="204" t="s">
        <v>704</v>
      </c>
    </row>
    <row r="488" customFormat="false" ht="15" hidden="false" customHeight="false" outlineLevel="0" collapsed="false">
      <c r="A488" s="319" t="s">
        <v>707</v>
      </c>
      <c r="B488" s="341"/>
      <c r="C488" s="204" t="s">
        <v>704</v>
      </c>
      <c r="D488" s="204" t="s">
        <v>704</v>
      </c>
      <c r="E488" s="204" t="s">
        <v>704</v>
      </c>
      <c r="F488" s="204" t="s">
        <v>704</v>
      </c>
      <c r="G488" s="204" t="s">
        <v>704</v>
      </c>
      <c r="H488" s="204" t="s">
        <v>704</v>
      </c>
      <c r="I488" s="204" t="s">
        <v>704</v>
      </c>
      <c r="J488" s="204" t="s">
        <v>704</v>
      </c>
      <c r="K488" s="204" t="s">
        <v>704</v>
      </c>
      <c r="L488" s="204" t="s">
        <v>704</v>
      </c>
      <c r="M488" s="204" t="s">
        <v>704</v>
      </c>
      <c r="N488" s="204" t="s">
        <v>704</v>
      </c>
      <c r="O488" s="204" t="s">
        <v>704</v>
      </c>
      <c r="P488" s="204" t="s">
        <v>704</v>
      </c>
      <c r="Q488" s="204" t="s">
        <v>704</v>
      </c>
    </row>
    <row r="489" customFormat="false" ht="15" hidden="false" customHeight="false" outlineLevel="0" collapsed="false">
      <c r="A489" s="319" t="s">
        <v>708</v>
      </c>
      <c r="B489" s="341"/>
      <c r="C489" s="204" t="s">
        <v>704</v>
      </c>
      <c r="D489" s="204" t="s">
        <v>704</v>
      </c>
      <c r="E489" s="204" t="s">
        <v>704</v>
      </c>
      <c r="F489" s="204" t="s">
        <v>704</v>
      </c>
      <c r="G489" s="204" t="s">
        <v>704</v>
      </c>
      <c r="H489" s="204" t="s">
        <v>704</v>
      </c>
      <c r="I489" s="204" t="s">
        <v>704</v>
      </c>
      <c r="J489" s="204" t="s">
        <v>704</v>
      </c>
      <c r="K489" s="204" t="s">
        <v>704</v>
      </c>
      <c r="L489" s="204" t="s">
        <v>704</v>
      </c>
      <c r="M489" s="204" t="s">
        <v>704</v>
      </c>
      <c r="N489" s="204" t="s">
        <v>704</v>
      </c>
      <c r="O489" s="204" t="s">
        <v>704</v>
      </c>
      <c r="P489" s="204" t="s">
        <v>704</v>
      </c>
      <c r="Q489" s="204" t="s">
        <v>704</v>
      </c>
    </row>
    <row r="490" customFormat="false" ht="15" hidden="false" customHeight="false" outlineLevel="0" collapsed="false">
      <c r="A490" s="319" t="s">
        <v>703</v>
      </c>
      <c r="B490" s="341" t="s">
        <v>375</v>
      </c>
      <c r="C490" s="204" t="s">
        <v>704</v>
      </c>
      <c r="D490" s="204" t="s">
        <v>704</v>
      </c>
      <c r="E490" s="204" t="s">
        <v>704</v>
      </c>
      <c r="F490" s="204" t="s">
        <v>704</v>
      </c>
      <c r="G490" s="204" t="s">
        <v>704</v>
      </c>
      <c r="H490" s="204" t="s">
        <v>704</v>
      </c>
      <c r="I490" s="204" t="s">
        <v>704</v>
      </c>
      <c r="J490" s="204" t="s">
        <v>704</v>
      </c>
      <c r="K490" s="204" t="s">
        <v>704</v>
      </c>
      <c r="L490" s="204" t="s">
        <v>704</v>
      </c>
      <c r="M490" s="204" t="s">
        <v>704</v>
      </c>
      <c r="N490" s="204" t="s">
        <v>704</v>
      </c>
      <c r="O490" s="204" t="s">
        <v>704</v>
      </c>
      <c r="P490" s="204" t="s">
        <v>704</v>
      </c>
      <c r="Q490" s="204" t="s">
        <v>704</v>
      </c>
    </row>
    <row r="491" customFormat="false" ht="15" hidden="false" customHeight="false" outlineLevel="0" collapsed="false">
      <c r="A491" s="319" t="s">
        <v>705</v>
      </c>
      <c r="B491" s="341"/>
      <c r="C491" s="204" t="s">
        <v>704</v>
      </c>
      <c r="D491" s="204" t="s">
        <v>704</v>
      </c>
      <c r="E491" s="204" t="s">
        <v>704</v>
      </c>
      <c r="F491" s="204" t="s">
        <v>704</v>
      </c>
      <c r="G491" s="204" t="s">
        <v>704</v>
      </c>
      <c r="H491" s="204" t="s">
        <v>704</v>
      </c>
      <c r="I491" s="204" t="s">
        <v>704</v>
      </c>
      <c r="J491" s="204" t="s">
        <v>704</v>
      </c>
      <c r="K491" s="204" t="s">
        <v>704</v>
      </c>
      <c r="L491" s="204" t="s">
        <v>704</v>
      </c>
      <c r="M491" s="204" t="s">
        <v>704</v>
      </c>
      <c r="N491" s="204" t="s">
        <v>704</v>
      </c>
      <c r="O491" s="204" t="s">
        <v>704</v>
      </c>
      <c r="P491" s="204" t="s">
        <v>704</v>
      </c>
      <c r="Q491" s="204" t="s">
        <v>704</v>
      </c>
    </row>
    <row r="492" customFormat="false" ht="15" hidden="false" customHeight="false" outlineLevel="0" collapsed="false">
      <c r="A492" s="319" t="s">
        <v>706</v>
      </c>
      <c r="B492" s="341"/>
      <c r="C492" s="204" t="s">
        <v>704</v>
      </c>
      <c r="D492" s="204" t="s">
        <v>704</v>
      </c>
      <c r="E492" s="204" t="s">
        <v>704</v>
      </c>
      <c r="F492" s="204" t="s">
        <v>704</v>
      </c>
      <c r="G492" s="204" t="s">
        <v>704</v>
      </c>
      <c r="H492" s="204" t="s">
        <v>704</v>
      </c>
      <c r="I492" s="204" t="s">
        <v>704</v>
      </c>
      <c r="J492" s="204" t="s">
        <v>704</v>
      </c>
      <c r="K492" s="204" t="s">
        <v>704</v>
      </c>
      <c r="L492" s="204" t="s">
        <v>704</v>
      </c>
      <c r="M492" s="204" t="s">
        <v>704</v>
      </c>
      <c r="N492" s="204" t="s">
        <v>704</v>
      </c>
      <c r="O492" s="204" t="s">
        <v>704</v>
      </c>
      <c r="P492" s="204" t="s">
        <v>704</v>
      </c>
      <c r="Q492" s="204" t="s">
        <v>704</v>
      </c>
    </row>
    <row r="493" customFormat="false" ht="15" hidden="false" customHeight="false" outlineLevel="0" collapsed="false">
      <c r="A493" s="319" t="s">
        <v>707</v>
      </c>
      <c r="B493" s="341"/>
      <c r="C493" s="204" t="s">
        <v>704</v>
      </c>
      <c r="D493" s="204" t="s">
        <v>704</v>
      </c>
      <c r="E493" s="204" t="s">
        <v>704</v>
      </c>
      <c r="F493" s="204" t="s">
        <v>704</v>
      </c>
      <c r="G493" s="204" t="s">
        <v>704</v>
      </c>
      <c r="H493" s="204" t="s">
        <v>704</v>
      </c>
      <c r="I493" s="204" t="s">
        <v>704</v>
      </c>
      <c r="J493" s="204" t="s">
        <v>704</v>
      </c>
      <c r="K493" s="204" t="s">
        <v>704</v>
      </c>
      <c r="L493" s="204" t="s">
        <v>704</v>
      </c>
      <c r="M493" s="204" t="s">
        <v>704</v>
      </c>
      <c r="N493" s="204" t="s">
        <v>704</v>
      </c>
      <c r="O493" s="204" t="s">
        <v>704</v>
      </c>
      <c r="P493" s="204" t="s">
        <v>704</v>
      </c>
      <c r="Q493" s="204" t="s">
        <v>704</v>
      </c>
    </row>
    <row r="494" customFormat="false" ht="15" hidden="false" customHeight="false" outlineLevel="0" collapsed="false">
      <c r="A494" s="319" t="s">
        <v>708</v>
      </c>
      <c r="B494" s="341"/>
      <c r="C494" s="204" t="s">
        <v>704</v>
      </c>
      <c r="D494" s="204" t="s">
        <v>704</v>
      </c>
      <c r="E494" s="204" t="s">
        <v>704</v>
      </c>
      <c r="F494" s="204" t="s">
        <v>704</v>
      </c>
      <c r="G494" s="204" t="s">
        <v>704</v>
      </c>
      <c r="H494" s="204" t="s">
        <v>704</v>
      </c>
      <c r="I494" s="204" t="s">
        <v>704</v>
      </c>
      <c r="J494" s="204" t="s">
        <v>704</v>
      </c>
      <c r="K494" s="204" t="s">
        <v>704</v>
      </c>
      <c r="L494" s="204" t="s">
        <v>704</v>
      </c>
      <c r="M494" s="204" t="s">
        <v>704</v>
      </c>
      <c r="N494" s="204" t="s">
        <v>704</v>
      </c>
      <c r="O494" s="204" t="s">
        <v>704</v>
      </c>
      <c r="P494" s="204" t="s">
        <v>704</v>
      </c>
      <c r="Q494" s="204" t="s">
        <v>704</v>
      </c>
    </row>
    <row r="495" customFormat="false" ht="15" hidden="false" customHeight="false" outlineLevel="0" collapsed="false">
      <c r="A495" s="319" t="s">
        <v>709</v>
      </c>
      <c r="B495" s="341" t="s">
        <v>376</v>
      </c>
      <c r="C495" s="204" t="s">
        <v>704</v>
      </c>
      <c r="D495" s="204" t="s">
        <v>704</v>
      </c>
      <c r="E495" s="204" t="s">
        <v>704</v>
      </c>
      <c r="F495" s="204" t="s">
        <v>704</v>
      </c>
      <c r="G495" s="204" t="s">
        <v>704</v>
      </c>
      <c r="H495" s="204" t="s">
        <v>704</v>
      </c>
      <c r="I495" s="204" t="s">
        <v>704</v>
      </c>
      <c r="J495" s="204" t="s">
        <v>704</v>
      </c>
      <c r="K495" s="204" t="s">
        <v>704</v>
      </c>
      <c r="L495" s="204" t="s">
        <v>704</v>
      </c>
      <c r="M495" s="204" t="s">
        <v>704</v>
      </c>
      <c r="N495" s="204" t="s">
        <v>704</v>
      </c>
      <c r="O495" s="204" t="s">
        <v>704</v>
      </c>
      <c r="P495" s="204" t="s">
        <v>704</v>
      </c>
      <c r="Q495" s="204" t="s">
        <v>704</v>
      </c>
    </row>
    <row r="496" customFormat="false" ht="15" hidden="false" customHeight="false" outlineLevel="0" collapsed="false">
      <c r="A496" s="319" t="s">
        <v>705</v>
      </c>
      <c r="B496" s="341"/>
      <c r="C496" s="204" t="s">
        <v>704</v>
      </c>
      <c r="D496" s="204" t="s">
        <v>704</v>
      </c>
      <c r="E496" s="204" t="s">
        <v>704</v>
      </c>
      <c r="F496" s="204" t="s">
        <v>704</v>
      </c>
      <c r="G496" s="204" t="s">
        <v>704</v>
      </c>
      <c r="H496" s="204" t="s">
        <v>704</v>
      </c>
      <c r="I496" s="204" t="s">
        <v>704</v>
      </c>
      <c r="J496" s="204" t="s">
        <v>704</v>
      </c>
      <c r="K496" s="204" t="s">
        <v>704</v>
      </c>
      <c r="L496" s="204" t="s">
        <v>704</v>
      </c>
      <c r="M496" s="204" t="s">
        <v>704</v>
      </c>
      <c r="N496" s="204" t="s">
        <v>704</v>
      </c>
      <c r="O496" s="204" t="s">
        <v>704</v>
      </c>
      <c r="P496" s="204" t="s">
        <v>704</v>
      </c>
      <c r="Q496" s="204" t="s">
        <v>704</v>
      </c>
    </row>
    <row r="497" customFormat="false" ht="15" hidden="false" customHeight="false" outlineLevel="0" collapsed="false">
      <c r="A497" s="319" t="s">
        <v>706</v>
      </c>
      <c r="B497" s="341"/>
      <c r="C497" s="204" t="s">
        <v>704</v>
      </c>
      <c r="D497" s="204" t="s">
        <v>704</v>
      </c>
      <c r="E497" s="204" t="s">
        <v>704</v>
      </c>
      <c r="F497" s="204" t="s">
        <v>704</v>
      </c>
      <c r="G497" s="204" t="s">
        <v>704</v>
      </c>
      <c r="H497" s="204" t="s">
        <v>704</v>
      </c>
      <c r="I497" s="204" t="s">
        <v>704</v>
      </c>
      <c r="J497" s="204" t="s">
        <v>704</v>
      </c>
      <c r="K497" s="204" t="s">
        <v>704</v>
      </c>
      <c r="L497" s="204" t="s">
        <v>704</v>
      </c>
      <c r="M497" s="204" t="s">
        <v>704</v>
      </c>
      <c r="N497" s="204" t="s">
        <v>704</v>
      </c>
      <c r="O497" s="204" t="s">
        <v>704</v>
      </c>
      <c r="P497" s="204" t="s">
        <v>704</v>
      </c>
      <c r="Q497" s="204" t="s">
        <v>704</v>
      </c>
    </row>
    <row r="498" customFormat="false" ht="15" hidden="false" customHeight="false" outlineLevel="0" collapsed="false">
      <c r="A498" s="319" t="s">
        <v>707</v>
      </c>
      <c r="B498" s="341"/>
      <c r="C498" s="204" t="s">
        <v>704</v>
      </c>
      <c r="D498" s="204" t="s">
        <v>704</v>
      </c>
      <c r="E498" s="204" t="s">
        <v>704</v>
      </c>
      <c r="F498" s="204" t="s">
        <v>704</v>
      </c>
      <c r="G498" s="204" t="s">
        <v>704</v>
      </c>
      <c r="H498" s="204" t="s">
        <v>704</v>
      </c>
      <c r="I498" s="204" t="s">
        <v>704</v>
      </c>
      <c r="J498" s="204" t="s">
        <v>704</v>
      </c>
      <c r="K498" s="204" t="s">
        <v>704</v>
      </c>
      <c r="L498" s="204" t="s">
        <v>704</v>
      </c>
      <c r="M498" s="204" t="s">
        <v>704</v>
      </c>
      <c r="N498" s="204" t="s">
        <v>704</v>
      </c>
      <c r="O498" s="204" t="s">
        <v>704</v>
      </c>
      <c r="P498" s="204" t="s">
        <v>704</v>
      </c>
      <c r="Q498" s="204" t="s">
        <v>704</v>
      </c>
    </row>
    <row r="499" customFormat="false" ht="15" hidden="false" customHeight="false" outlineLevel="0" collapsed="false">
      <c r="A499" s="319" t="s">
        <v>708</v>
      </c>
      <c r="B499" s="341"/>
      <c r="C499" s="204" t="s">
        <v>704</v>
      </c>
      <c r="D499" s="204" t="s">
        <v>704</v>
      </c>
      <c r="E499" s="204" t="s">
        <v>704</v>
      </c>
      <c r="F499" s="204" t="s">
        <v>704</v>
      </c>
      <c r="G499" s="204" t="s">
        <v>704</v>
      </c>
      <c r="H499" s="204" t="s">
        <v>704</v>
      </c>
      <c r="I499" s="204" t="s">
        <v>704</v>
      </c>
      <c r="J499" s="204" t="s">
        <v>704</v>
      </c>
      <c r="K499" s="204" t="s">
        <v>704</v>
      </c>
      <c r="L499" s="204" t="s">
        <v>704</v>
      </c>
      <c r="M499" s="204" t="s">
        <v>704</v>
      </c>
      <c r="N499" s="204" t="s">
        <v>704</v>
      </c>
      <c r="O499" s="204" t="s">
        <v>704</v>
      </c>
      <c r="P499" s="204" t="s">
        <v>704</v>
      </c>
      <c r="Q499" s="204" t="s">
        <v>704</v>
      </c>
    </row>
    <row r="500" customFormat="false" ht="15" hidden="false" customHeight="false" outlineLevel="0" collapsed="false">
      <c r="A500" s="319" t="s">
        <v>703</v>
      </c>
      <c r="B500" s="341" t="s">
        <v>377</v>
      </c>
      <c r="C500" s="204" t="s">
        <v>704</v>
      </c>
      <c r="D500" s="204" t="s">
        <v>704</v>
      </c>
      <c r="E500" s="204" t="s">
        <v>704</v>
      </c>
      <c r="F500" s="204" t="s">
        <v>704</v>
      </c>
      <c r="G500" s="204" t="s">
        <v>704</v>
      </c>
      <c r="H500" s="204" t="s">
        <v>704</v>
      </c>
      <c r="I500" s="204" t="s">
        <v>704</v>
      </c>
      <c r="J500" s="204" t="s">
        <v>704</v>
      </c>
      <c r="K500" s="204" t="s">
        <v>704</v>
      </c>
      <c r="L500" s="204" t="s">
        <v>704</v>
      </c>
      <c r="M500" s="204" t="s">
        <v>704</v>
      </c>
      <c r="N500" s="204" t="s">
        <v>704</v>
      </c>
      <c r="O500" s="204" t="s">
        <v>704</v>
      </c>
      <c r="P500" s="204" t="s">
        <v>704</v>
      </c>
      <c r="Q500" s="204" t="s">
        <v>704</v>
      </c>
    </row>
    <row r="501" customFormat="false" ht="15" hidden="false" customHeight="false" outlineLevel="0" collapsed="false">
      <c r="A501" s="319" t="s">
        <v>705</v>
      </c>
      <c r="B501" s="341"/>
      <c r="C501" s="204" t="s">
        <v>704</v>
      </c>
      <c r="D501" s="204" t="s">
        <v>704</v>
      </c>
      <c r="E501" s="204" t="s">
        <v>704</v>
      </c>
      <c r="F501" s="204" t="s">
        <v>704</v>
      </c>
      <c r="G501" s="204" t="s">
        <v>704</v>
      </c>
      <c r="H501" s="204" t="s">
        <v>704</v>
      </c>
      <c r="I501" s="204" t="s">
        <v>704</v>
      </c>
      <c r="J501" s="204" t="s">
        <v>704</v>
      </c>
      <c r="K501" s="204" t="s">
        <v>704</v>
      </c>
      <c r="L501" s="204" t="s">
        <v>704</v>
      </c>
      <c r="M501" s="204" t="s">
        <v>704</v>
      </c>
      <c r="N501" s="204" t="s">
        <v>704</v>
      </c>
      <c r="O501" s="204" t="s">
        <v>704</v>
      </c>
      <c r="P501" s="204" t="s">
        <v>704</v>
      </c>
      <c r="Q501" s="204" t="s">
        <v>704</v>
      </c>
    </row>
    <row r="502" customFormat="false" ht="15" hidden="false" customHeight="false" outlineLevel="0" collapsed="false">
      <c r="A502" s="319" t="s">
        <v>706</v>
      </c>
      <c r="B502" s="341"/>
      <c r="C502" s="204" t="s">
        <v>704</v>
      </c>
      <c r="D502" s="204" t="s">
        <v>704</v>
      </c>
      <c r="E502" s="204" t="s">
        <v>704</v>
      </c>
      <c r="F502" s="204" t="s">
        <v>704</v>
      </c>
      <c r="G502" s="204" t="s">
        <v>704</v>
      </c>
      <c r="H502" s="204" t="s">
        <v>704</v>
      </c>
      <c r="I502" s="204" t="s">
        <v>704</v>
      </c>
      <c r="J502" s="204" t="s">
        <v>704</v>
      </c>
      <c r="K502" s="204" t="s">
        <v>704</v>
      </c>
      <c r="L502" s="204" t="s">
        <v>704</v>
      </c>
      <c r="M502" s="204" t="s">
        <v>704</v>
      </c>
      <c r="N502" s="204" t="s">
        <v>704</v>
      </c>
      <c r="O502" s="204" t="s">
        <v>704</v>
      </c>
      <c r="P502" s="204" t="s">
        <v>704</v>
      </c>
      <c r="Q502" s="204" t="s">
        <v>704</v>
      </c>
    </row>
    <row r="503" customFormat="false" ht="15" hidden="false" customHeight="false" outlineLevel="0" collapsed="false">
      <c r="A503" s="319" t="s">
        <v>707</v>
      </c>
      <c r="B503" s="341"/>
      <c r="C503" s="204" t="s">
        <v>704</v>
      </c>
      <c r="D503" s="204" t="s">
        <v>704</v>
      </c>
      <c r="E503" s="204" t="s">
        <v>704</v>
      </c>
      <c r="F503" s="204" t="s">
        <v>704</v>
      </c>
      <c r="G503" s="204" t="s">
        <v>704</v>
      </c>
      <c r="H503" s="204" t="s">
        <v>704</v>
      </c>
      <c r="I503" s="204" t="s">
        <v>704</v>
      </c>
      <c r="J503" s="204" t="s">
        <v>704</v>
      </c>
      <c r="K503" s="204" t="s">
        <v>704</v>
      </c>
      <c r="L503" s="204" t="s">
        <v>704</v>
      </c>
      <c r="M503" s="204" t="s">
        <v>704</v>
      </c>
      <c r="N503" s="204" t="s">
        <v>704</v>
      </c>
      <c r="O503" s="204" t="s">
        <v>704</v>
      </c>
      <c r="P503" s="204" t="s">
        <v>704</v>
      </c>
      <c r="Q503" s="204" t="s">
        <v>704</v>
      </c>
    </row>
    <row r="504" customFormat="false" ht="15" hidden="false" customHeight="false" outlineLevel="0" collapsed="false">
      <c r="A504" s="319" t="s">
        <v>708</v>
      </c>
      <c r="B504" s="341"/>
      <c r="C504" s="204" t="s">
        <v>704</v>
      </c>
      <c r="D504" s="204" t="s">
        <v>704</v>
      </c>
      <c r="E504" s="204" t="s">
        <v>704</v>
      </c>
      <c r="F504" s="204" t="s">
        <v>704</v>
      </c>
      <c r="G504" s="204" t="s">
        <v>704</v>
      </c>
      <c r="H504" s="204" t="s">
        <v>704</v>
      </c>
      <c r="I504" s="204" t="s">
        <v>704</v>
      </c>
      <c r="J504" s="204" t="s">
        <v>704</v>
      </c>
      <c r="K504" s="204" t="s">
        <v>704</v>
      </c>
      <c r="L504" s="204" t="s">
        <v>704</v>
      </c>
      <c r="M504" s="204" t="s">
        <v>704</v>
      </c>
      <c r="N504" s="204" t="s">
        <v>704</v>
      </c>
      <c r="O504" s="204" t="s">
        <v>704</v>
      </c>
      <c r="P504" s="204" t="s">
        <v>704</v>
      </c>
      <c r="Q504" s="204" t="s">
        <v>704</v>
      </c>
    </row>
    <row r="505" customFormat="false" ht="15" hidden="false" customHeight="false" outlineLevel="0" collapsed="false">
      <c r="A505" s="319" t="s">
        <v>703</v>
      </c>
      <c r="B505" s="341" t="s">
        <v>378</v>
      </c>
      <c r="C505" s="204" t="s">
        <v>704</v>
      </c>
      <c r="D505" s="204" t="s">
        <v>704</v>
      </c>
      <c r="E505" s="204" t="s">
        <v>704</v>
      </c>
      <c r="F505" s="204" t="s">
        <v>704</v>
      </c>
      <c r="G505" s="204" t="s">
        <v>704</v>
      </c>
      <c r="H505" s="204" t="s">
        <v>704</v>
      </c>
      <c r="I505" s="204" t="s">
        <v>704</v>
      </c>
      <c r="J505" s="204" t="s">
        <v>704</v>
      </c>
      <c r="K505" s="204" t="s">
        <v>704</v>
      </c>
      <c r="L505" s="204" t="s">
        <v>704</v>
      </c>
      <c r="M505" s="204" t="s">
        <v>704</v>
      </c>
      <c r="N505" s="204" t="s">
        <v>704</v>
      </c>
      <c r="O505" s="204" t="s">
        <v>704</v>
      </c>
      <c r="P505" s="204" t="s">
        <v>704</v>
      </c>
      <c r="Q505" s="204" t="s">
        <v>704</v>
      </c>
    </row>
    <row r="506" customFormat="false" ht="15" hidden="false" customHeight="false" outlineLevel="0" collapsed="false">
      <c r="A506" s="319" t="s">
        <v>705</v>
      </c>
      <c r="B506" s="341"/>
      <c r="C506" s="204" t="s">
        <v>704</v>
      </c>
      <c r="D506" s="204" t="s">
        <v>704</v>
      </c>
      <c r="E506" s="204" t="s">
        <v>704</v>
      </c>
      <c r="F506" s="204" t="s">
        <v>704</v>
      </c>
      <c r="G506" s="204" t="s">
        <v>704</v>
      </c>
      <c r="H506" s="204" t="s">
        <v>704</v>
      </c>
      <c r="I506" s="204" t="s">
        <v>704</v>
      </c>
      <c r="J506" s="204" t="s">
        <v>704</v>
      </c>
      <c r="K506" s="204" t="s">
        <v>704</v>
      </c>
      <c r="L506" s="204" t="s">
        <v>704</v>
      </c>
      <c r="M506" s="204" t="s">
        <v>704</v>
      </c>
      <c r="N506" s="204" t="s">
        <v>704</v>
      </c>
      <c r="O506" s="204" t="s">
        <v>704</v>
      </c>
      <c r="P506" s="204" t="s">
        <v>704</v>
      </c>
      <c r="Q506" s="204" t="s">
        <v>704</v>
      </c>
    </row>
    <row r="507" customFormat="false" ht="15" hidden="false" customHeight="false" outlineLevel="0" collapsed="false">
      <c r="A507" s="319" t="s">
        <v>706</v>
      </c>
      <c r="B507" s="341"/>
      <c r="C507" s="204" t="s">
        <v>704</v>
      </c>
      <c r="D507" s="204" t="s">
        <v>704</v>
      </c>
      <c r="E507" s="204" t="s">
        <v>704</v>
      </c>
      <c r="F507" s="204" t="s">
        <v>704</v>
      </c>
      <c r="G507" s="204" t="s">
        <v>704</v>
      </c>
      <c r="H507" s="204" t="s">
        <v>704</v>
      </c>
      <c r="I507" s="204" t="s">
        <v>704</v>
      </c>
      <c r="J507" s="204" t="s">
        <v>704</v>
      </c>
      <c r="K507" s="204" t="s">
        <v>704</v>
      </c>
      <c r="L507" s="204" t="s">
        <v>704</v>
      </c>
      <c r="M507" s="204" t="s">
        <v>704</v>
      </c>
      <c r="N507" s="204" t="s">
        <v>704</v>
      </c>
      <c r="O507" s="204" t="s">
        <v>704</v>
      </c>
      <c r="P507" s="204" t="s">
        <v>704</v>
      </c>
      <c r="Q507" s="204" t="s">
        <v>704</v>
      </c>
    </row>
    <row r="508" customFormat="false" ht="15" hidden="false" customHeight="false" outlineLevel="0" collapsed="false">
      <c r="A508" s="319" t="s">
        <v>707</v>
      </c>
      <c r="B508" s="341"/>
      <c r="C508" s="204" t="s">
        <v>704</v>
      </c>
      <c r="D508" s="204" t="s">
        <v>704</v>
      </c>
      <c r="E508" s="204" t="s">
        <v>704</v>
      </c>
      <c r="F508" s="204" t="s">
        <v>704</v>
      </c>
      <c r="G508" s="204" t="s">
        <v>704</v>
      </c>
      <c r="H508" s="204" t="s">
        <v>704</v>
      </c>
      <c r="I508" s="204" t="s">
        <v>704</v>
      </c>
      <c r="J508" s="204" t="s">
        <v>704</v>
      </c>
      <c r="K508" s="204" t="s">
        <v>704</v>
      </c>
      <c r="L508" s="204" t="s">
        <v>704</v>
      </c>
      <c r="M508" s="204" t="s">
        <v>704</v>
      </c>
      <c r="N508" s="204" t="s">
        <v>704</v>
      </c>
      <c r="O508" s="204" t="s">
        <v>704</v>
      </c>
      <c r="P508" s="204" t="s">
        <v>704</v>
      </c>
      <c r="Q508" s="204" t="s">
        <v>704</v>
      </c>
    </row>
    <row r="509" customFormat="false" ht="15" hidden="false" customHeight="false" outlineLevel="0" collapsed="false">
      <c r="A509" s="326" t="s">
        <v>708</v>
      </c>
      <c r="B509" s="341"/>
      <c r="C509" s="244" t="s">
        <v>704</v>
      </c>
      <c r="D509" s="244" t="s">
        <v>704</v>
      </c>
      <c r="E509" s="244" t="s">
        <v>704</v>
      </c>
      <c r="F509" s="244" t="s">
        <v>704</v>
      </c>
      <c r="G509" s="244" t="s">
        <v>704</v>
      </c>
      <c r="H509" s="244" t="s">
        <v>704</v>
      </c>
      <c r="I509" s="244" t="s">
        <v>704</v>
      </c>
      <c r="J509" s="244" t="s">
        <v>704</v>
      </c>
      <c r="K509" s="244" t="s">
        <v>704</v>
      </c>
      <c r="L509" s="244" t="s">
        <v>704</v>
      </c>
      <c r="M509" s="244" t="s">
        <v>704</v>
      </c>
      <c r="N509" s="244" t="s">
        <v>704</v>
      </c>
      <c r="O509" s="244" t="s">
        <v>704</v>
      </c>
      <c r="P509" s="244" t="s">
        <v>704</v>
      </c>
      <c r="Q509" s="244" t="s">
        <v>704</v>
      </c>
    </row>
  </sheetData>
  <mergeCells count="133">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7"/>
    <mergeCell ref="A128:A132"/>
    <mergeCell ref="A136:H136"/>
    <mergeCell ref="A138:A141"/>
    <mergeCell ref="A142:A145"/>
    <mergeCell ref="A146:A149"/>
    <mergeCell ref="A150:A153"/>
    <mergeCell ref="A154:A157"/>
    <mergeCell ref="A158:H158"/>
    <mergeCell ref="A160:A163"/>
    <mergeCell ref="A164:A167"/>
    <mergeCell ref="A168:A171"/>
    <mergeCell ref="A172:A175"/>
    <mergeCell ref="A176:A179"/>
    <mergeCell ref="A181:H181"/>
    <mergeCell ref="A183:A187"/>
    <mergeCell ref="A188:A192"/>
    <mergeCell ref="A193:A197"/>
    <mergeCell ref="A198:A202"/>
    <mergeCell ref="A205:E205"/>
    <mergeCell ref="A206:E206"/>
    <mergeCell ref="A208:A210"/>
    <mergeCell ref="C208:C210"/>
    <mergeCell ref="A212:C212"/>
    <mergeCell ref="A215:B215"/>
    <mergeCell ref="A216:B216"/>
    <mergeCell ref="A217:B217"/>
    <mergeCell ref="A218:B218"/>
    <mergeCell ref="A219:B219"/>
    <mergeCell ref="A220:B220"/>
    <mergeCell ref="A221:Q221"/>
    <mergeCell ref="A222:B222"/>
    <mergeCell ref="A223:B223"/>
    <mergeCell ref="A224:B224"/>
    <mergeCell ref="A225:B225"/>
    <mergeCell ref="A226:B226"/>
    <mergeCell ref="A227:Q227"/>
    <mergeCell ref="A228:B228"/>
    <mergeCell ref="A229:B229"/>
    <mergeCell ref="A230:B230"/>
    <mergeCell ref="A231:B231"/>
    <mergeCell ref="A232:B232"/>
    <mergeCell ref="A233:Q233"/>
    <mergeCell ref="A234:B234"/>
    <mergeCell ref="A235:B235"/>
    <mergeCell ref="A236:B236"/>
    <mergeCell ref="A237:B237"/>
    <mergeCell ref="A238:B238"/>
    <mergeCell ref="A239:Q239"/>
    <mergeCell ref="A240:B240"/>
    <mergeCell ref="A241:B241"/>
    <mergeCell ref="A242:B242"/>
    <mergeCell ref="A243:B243"/>
    <mergeCell ref="A244:B244"/>
    <mergeCell ref="A246:C246"/>
    <mergeCell ref="A247:A248"/>
    <mergeCell ref="C247:C248"/>
    <mergeCell ref="A251:Q251"/>
    <mergeCell ref="A252:B252"/>
    <mergeCell ref="A253:B253"/>
    <mergeCell ref="A254:B254"/>
    <mergeCell ref="A255:B255"/>
    <mergeCell ref="A256:B256"/>
    <mergeCell ref="A257:B257"/>
    <mergeCell ref="A258:C258"/>
    <mergeCell ref="A262:C262"/>
    <mergeCell ref="A264:A266"/>
    <mergeCell ref="C264:C266"/>
    <mergeCell ref="A268:A270"/>
    <mergeCell ref="C268:C270"/>
    <mergeCell ref="A275:D275"/>
    <mergeCell ref="A276:D276"/>
    <mergeCell ref="A277:C277"/>
    <mergeCell ref="C279:E279"/>
    <mergeCell ref="A281:A299"/>
    <mergeCell ref="A300:C300"/>
    <mergeCell ref="A306:C306"/>
    <mergeCell ref="A307:C307"/>
    <mergeCell ref="A309:C309"/>
    <mergeCell ref="A310:A313"/>
    <mergeCell ref="C310:C313"/>
    <mergeCell ref="A318:I318"/>
    <mergeCell ref="A421:I421"/>
    <mergeCell ref="A445:H445"/>
    <mergeCell ref="A447:H447"/>
    <mergeCell ref="A449:H449"/>
    <mergeCell ref="A451:H451"/>
    <mergeCell ref="A454:I454"/>
    <mergeCell ref="A462:C462"/>
    <mergeCell ref="A471:C471"/>
    <mergeCell ref="A478:C478"/>
    <mergeCell ref="A484:B484"/>
    <mergeCell ref="B485:B489"/>
    <mergeCell ref="B490:B494"/>
    <mergeCell ref="B495:B499"/>
    <mergeCell ref="B500:B504"/>
    <mergeCell ref="B505:B509"/>
  </mergeCells>
  <conditionalFormatting sqref="C253:AZ257">
    <cfRule type="cellIs" priority="2" operator="lessThan" aboveAverage="0" equalAverage="0" bottom="0" percent="0" rank="0" text="" dxfId="0">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Z545"/>
  <sheetViews>
    <sheetView showFormulas="false" showGridLines="true" showRowColHeaders="true" showZeros="true" rightToLeft="false" tabSelected="false" showOutlineSymbols="true" defaultGridColor="true" view="normal" topLeftCell="D107" colorId="64" zoomScale="85" zoomScaleNormal="85" zoomScalePageLayoutView="100" workbookViewId="0">
      <selection pane="topLeft" activeCell="J127" activeCellId="0" sqref="J127"/>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v>
      </c>
      <c r="N10" s="206"/>
      <c r="O10" s="206"/>
      <c r="P10" s="206"/>
      <c r="Q10" s="206"/>
      <c r="R10" s="206" t="n">
        <v>0.011</v>
      </c>
      <c r="S10" s="206"/>
      <c r="T10" s="206"/>
      <c r="U10" s="206"/>
      <c r="V10" s="206"/>
      <c r="W10" s="206" t="n">
        <v>0.011</v>
      </c>
      <c r="X10" s="206"/>
      <c r="Y10" s="206"/>
      <c r="Z10" s="206"/>
      <c r="AA10" s="206"/>
      <c r="AB10" s="206" t="n">
        <v>0.011</v>
      </c>
      <c r="AC10" s="206"/>
      <c r="AD10" s="206"/>
      <c r="AE10" s="206"/>
      <c r="AF10" s="206"/>
      <c r="AG10" s="206" t="n">
        <v>0.011</v>
      </c>
      <c r="AH10" s="206"/>
      <c r="AI10" s="206"/>
      <c r="AJ10" s="206"/>
      <c r="AK10" s="206"/>
      <c r="AL10" s="206" t="n">
        <v>0.011</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498</v>
      </c>
      <c r="B16" s="202" t="s">
        <v>499</v>
      </c>
      <c r="C16" s="212" t="n">
        <v>0.117609721833719</v>
      </c>
      <c r="D16" s="212" t="n">
        <v>0.126664781007908</v>
      </c>
      <c r="E16" s="212" t="n">
        <v>0.1268050283133</v>
      </c>
      <c r="F16" s="212" t="n">
        <v>0.135126859489025</v>
      </c>
      <c r="G16" s="212" t="n">
        <v>0.140282729162163</v>
      </c>
      <c r="H16" s="212" t="n">
        <v>0.146916832301251</v>
      </c>
      <c r="I16" s="213" t="n">
        <v>0.148630915135189</v>
      </c>
      <c r="J16" s="81"/>
      <c r="K16" s="160"/>
      <c r="L16" s="81"/>
    </row>
    <row r="17" customFormat="false" ht="1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5" hidden="false" customHeight="false" outlineLevel="0" collapsed="false">
      <c r="A18" s="211" t="s">
        <v>501</v>
      </c>
      <c r="B18" s="202" t="s">
        <v>499</v>
      </c>
      <c r="C18" s="212" t="n">
        <v>0.0374522</v>
      </c>
      <c r="D18" s="212" t="n">
        <v>0.043388</v>
      </c>
      <c r="E18" s="212" t="n">
        <v>0.06069115</v>
      </c>
      <c r="F18" s="214" t="n">
        <v>0.08975165</v>
      </c>
      <c r="G18" s="214" t="n">
        <v>0.12725</v>
      </c>
      <c r="H18" s="214" t="n">
        <v>0.1769065</v>
      </c>
      <c r="I18" s="213" t="n">
        <v>0.2118585</v>
      </c>
      <c r="J18" s="81"/>
      <c r="K18" s="81"/>
      <c r="L18" s="81"/>
    </row>
    <row r="19" customFormat="false" ht="15" hidden="false" customHeight="false" outlineLevel="0" collapsed="false">
      <c r="A19" s="211" t="s">
        <v>502</v>
      </c>
      <c r="B19" s="202" t="s">
        <v>499</v>
      </c>
      <c r="C19" s="212" t="n">
        <v>0.0008299085</v>
      </c>
      <c r="D19" s="212" t="n">
        <v>0.00444725</v>
      </c>
      <c r="E19" s="212" t="n">
        <v>0.014096475</v>
      </c>
      <c r="F19" s="214" t="n">
        <v>0.02532925</v>
      </c>
      <c r="G19" s="214" t="n">
        <v>0.03581605</v>
      </c>
      <c r="H19" s="214" t="n">
        <v>0.04635715</v>
      </c>
      <c r="I19" s="213" t="n">
        <v>0.05620975</v>
      </c>
      <c r="J19" s="160"/>
      <c r="K19" s="81"/>
      <c r="L19" s="81"/>
    </row>
    <row r="20" customFormat="false" ht="15" hidden="false" customHeight="false" outlineLevel="0" collapsed="false">
      <c r="A20" s="211" t="s">
        <v>503</v>
      </c>
      <c r="B20" s="202" t="s">
        <v>499</v>
      </c>
      <c r="C20" s="212" t="n">
        <v>0.146914125126844</v>
      </c>
      <c r="D20" s="212" t="n">
        <v>0.252394063397019</v>
      </c>
      <c r="E20" s="212" t="n">
        <v>0.359162426436101</v>
      </c>
      <c r="F20" s="214" t="n">
        <v>0.526015222710319</v>
      </c>
      <c r="G20" s="214" t="n">
        <v>0.6707412377823</v>
      </c>
      <c r="H20" s="214" t="n">
        <v>0.895000988463177</v>
      </c>
      <c r="I20" s="213" t="n">
        <v>1.01362210322222</v>
      </c>
    </row>
    <row r="21" customFormat="false" ht="15" hidden="false" customHeight="false" outlineLevel="0" collapsed="false">
      <c r="A21" s="211" t="s">
        <v>504</v>
      </c>
      <c r="B21" s="202" t="s">
        <v>499</v>
      </c>
      <c r="C21" s="212" t="n">
        <v>0.0121029772625668</v>
      </c>
      <c r="D21" s="212" t="n">
        <v>0.0294920972654814</v>
      </c>
      <c r="E21" s="212" t="n">
        <v>0.0638937271994091</v>
      </c>
      <c r="F21" s="214" t="n">
        <v>0.105000218961605</v>
      </c>
      <c r="G21" s="214" t="n">
        <v>0.186851022344914</v>
      </c>
      <c r="H21" s="214" t="n">
        <v>0.324965157175987</v>
      </c>
      <c r="I21" s="213" t="n">
        <v>0.362987208788995</v>
      </c>
      <c r="K21" s="81"/>
      <c r="L21" s="81"/>
    </row>
    <row r="22" customFormat="false" ht="15" hidden="false" customHeight="false" outlineLevel="0" collapsed="false">
      <c r="A22" s="211" t="s">
        <v>505</v>
      </c>
      <c r="B22" s="202" t="s">
        <v>499</v>
      </c>
      <c r="C22" s="212" t="n">
        <v>0.125671151626567</v>
      </c>
      <c r="D22" s="212" t="n">
        <v>0.243542844662369</v>
      </c>
      <c r="E22" s="212" t="n">
        <v>0.389285836686693</v>
      </c>
      <c r="F22" s="214" t="n">
        <v>0.545212013431527</v>
      </c>
      <c r="G22" s="214" t="n">
        <v>0.755351384766724</v>
      </c>
      <c r="H22" s="214" t="n">
        <v>0.97004701873674</v>
      </c>
      <c r="I22" s="213" t="n">
        <v>1.15086859750692</v>
      </c>
      <c r="K22" s="81"/>
      <c r="L22" s="81"/>
    </row>
    <row r="23" customFormat="false" ht="1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710</v>
      </c>
      <c r="B27" s="200"/>
      <c r="C27" s="200"/>
      <c r="D27" s="200"/>
      <c r="E27" s="200"/>
      <c r="F27" s="200"/>
      <c r="G27" s="200"/>
      <c r="H27" s="200"/>
      <c r="I27" s="200"/>
    </row>
    <row r="28" customFormat="false" ht="15" hidden="false" customHeight="false" outlineLevel="0" collapsed="false">
      <c r="A28" s="218" t="s">
        <v>510</v>
      </c>
      <c r="B28" s="219" t="s">
        <v>146</v>
      </c>
      <c r="C28" s="220" t="n">
        <v>0</v>
      </c>
      <c r="D28" s="220" t="n">
        <v>0</v>
      </c>
      <c r="E28" s="220" t="n">
        <v>0</v>
      </c>
      <c r="F28" s="220" t="n">
        <v>0</v>
      </c>
      <c r="G28" s="220" t="n">
        <v>0</v>
      </c>
      <c r="H28" s="220" t="n">
        <v>0</v>
      </c>
      <c r="I28" s="220" t="n">
        <v>0</v>
      </c>
    </row>
    <row r="29" customFormat="false" ht="1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511</v>
      </c>
      <c r="B31" s="222"/>
      <c r="C31" s="222"/>
      <c r="E31" s="81"/>
      <c r="F31" s="81"/>
      <c r="G31" s="81"/>
      <c r="H31" s="160"/>
      <c r="I31" s="81"/>
      <c r="L31" s="75"/>
    </row>
    <row r="32" customFormat="false" ht="15" hidden="false" customHeight="false" outlineLevel="0" collapsed="false">
      <c r="A32" s="211" t="s">
        <v>512</v>
      </c>
      <c r="B32" s="202" t="s">
        <v>513</v>
      </c>
      <c r="C32" s="226" t="n">
        <v>0.1</v>
      </c>
      <c r="H32" s="160"/>
      <c r="K32" s="45"/>
      <c r="M32" s="81"/>
    </row>
    <row r="33" customFormat="false" ht="15" hidden="false" customHeight="false" outlineLevel="0" collapsed="false">
      <c r="A33" s="211" t="s">
        <v>514</v>
      </c>
      <c r="B33" s="202" t="s">
        <v>36</v>
      </c>
      <c r="C33" s="204" t="n">
        <v>2035</v>
      </c>
      <c r="E33" s="81"/>
      <c r="F33" s="81"/>
      <c r="G33" s="81"/>
      <c r="H33" s="160"/>
      <c r="I33" s="81"/>
      <c r="J33" s="62"/>
    </row>
    <row r="34" customFormat="false" ht="15" hidden="false" customHeight="false" outlineLevel="0" collapsed="false">
      <c r="A34" s="211" t="s">
        <v>515</v>
      </c>
      <c r="B34" s="202" t="s">
        <v>513</v>
      </c>
      <c r="C34" s="227"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516</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517</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518</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519</v>
      </c>
      <c r="B38" s="202" t="s">
        <v>513</v>
      </c>
      <c r="C38" s="227"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520</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521</v>
      </c>
      <c r="B40" s="202" t="s">
        <v>513</v>
      </c>
      <c r="C40" s="227"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16" t="s">
        <v>522</v>
      </c>
      <c r="B42" s="205" t="s">
        <v>513</v>
      </c>
      <c r="C42" s="228"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16" t="s">
        <v>523</v>
      </c>
      <c r="B45" s="205" t="s">
        <v>513</v>
      </c>
      <c r="C45" s="228"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524</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525</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526</v>
      </c>
      <c r="B50" s="202" t="s">
        <v>513</v>
      </c>
      <c r="C50" s="227"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527</v>
      </c>
      <c r="B51" s="202" t="s">
        <v>513</v>
      </c>
      <c r="C51" s="227"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6" t="s">
        <v>528</v>
      </c>
      <c r="B52" s="205" t="s">
        <v>513</v>
      </c>
      <c r="C52" s="229" t="n">
        <v>0.01</v>
      </c>
      <c r="D52" s="229"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s="81" customFormat="true" ht="17.35" hidden="false" customHeight="false" outlineLevel="0" collapsed="false">
      <c r="A53" s="200" t="s">
        <v>529</v>
      </c>
      <c r="B53" s="200"/>
      <c r="C53" s="200"/>
    </row>
    <row r="54" s="81" customFormat="true" ht="15" hidden="false" customHeight="false" outlineLevel="0" collapsed="false">
      <c r="A54" s="230" t="s">
        <v>530</v>
      </c>
      <c r="B54" s="202" t="s">
        <v>36</v>
      </c>
      <c r="C54" s="203" t="n">
        <v>2050</v>
      </c>
    </row>
    <row r="55" s="81" customFormat="true" ht="15" hidden="false" customHeight="false" outlineLevel="0" collapsed="false">
      <c r="A55" s="230" t="s">
        <v>531</v>
      </c>
      <c r="B55" s="202" t="s">
        <v>532</v>
      </c>
      <c r="C55" s="231" t="n">
        <v>0</v>
      </c>
    </row>
    <row r="56" s="81" customFormat="true" ht="15" hidden="false" customHeight="false" outlineLevel="0" collapsed="false">
      <c r="A56" s="230" t="s">
        <v>533</v>
      </c>
      <c r="B56" s="202" t="s">
        <v>532</v>
      </c>
      <c r="C56" s="231" t="n">
        <v>0</v>
      </c>
    </row>
    <row r="57" s="81" customFormat="true" ht="15" hidden="false" customHeight="false" outlineLevel="0" collapsed="false">
      <c r="A57" s="230" t="s">
        <v>534</v>
      </c>
      <c r="B57" s="202" t="s">
        <v>532</v>
      </c>
      <c r="C57" s="231" t="n">
        <v>0.1</v>
      </c>
    </row>
    <row r="58" s="81" customFormat="true" ht="15" hidden="false" customHeight="false" outlineLevel="0" collapsed="false">
      <c r="A58" s="230" t="s">
        <v>535</v>
      </c>
      <c r="B58" s="202" t="s">
        <v>532</v>
      </c>
      <c r="C58" s="231" t="n">
        <v>0.5</v>
      </c>
    </row>
    <row r="59" s="81" customFormat="true" ht="15" hidden="false" customHeight="false" outlineLevel="0" collapsed="false"/>
    <row r="60" customFormat="false" ht="17.35" hidden="false" customHeight="false" outlineLevel="0" collapsed="false">
      <c r="A60" s="200" t="s">
        <v>536</v>
      </c>
      <c r="B60" s="200"/>
      <c r="C60" s="200"/>
      <c r="D60" s="200"/>
      <c r="E60" s="200"/>
      <c r="F60" s="200"/>
      <c r="G60" s="200"/>
      <c r="H60" s="200"/>
      <c r="I60" s="200"/>
    </row>
    <row r="61" customFormat="false" ht="15" hidden="false" customHeight="false" outlineLevel="0" collapsed="false">
      <c r="A61" s="230" t="s">
        <v>36</v>
      </c>
      <c r="B61" s="202" t="s">
        <v>36</v>
      </c>
      <c r="C61" s="232" t="n">
        <v>2020</v>
      </c>
      <c r="D61" s="232" t="n">
        <v>2025</v>
      </c>
      <c r="E61" s="232" t="n">
        <v>2030</v>
      </c>
      <c r="F61" s="232" t="n">
        <v>2035</v>
      </c>
      <c r="G61" s="232" t="n">
        <v>2040</v>
      </c>
      <c r="H61" s="232" t="n">
        <v>2045</v>
      </c>
      <c r="I61" s="233" t="n">
        <v>2050</v>
      </c>
    </row>
    <row r="62" customFormat="false" ht="15" hidden="false" customHeight="false" outlineLevel="0" collapsed="false">
      <c r="A62" s="230" t="s">
        <v>537</v>
      </c>
      <c r="B62" s="202" t="s">
        <v>146</v>
      </c>
      <c r="C62" s="234" t="n">
        <v>0</v>
      </c>
      <c r="D62" s="234" t="n">
        <v>0</v>
      </c>
      <c r="E62" s="234" t="n">
        <v>0</v>
      </c>
      <c r="F62" s="234" t="n">
        <v>0</v>
      </c>
      <c r="G62" s="234" t="n">
        <v>0</v>
      </c>
      <c r="H62" s="234" t="n">
        <v>0</v>
      </c>
      <c r="I62" s="234" t="n">
        <v>0</v>
      </c>
      <c r="J62" s="221"/>
      <c r="K62" s="221"/>
    </row>
    <row r="63" customFormat="false" ht="15" hidden="false" customHeight="false" outlineLevel="0" collapsed="false">
      <c r="A63" s="230" t="s">
        <v>538</v>
      </c>
      <c r="B63" s="202" t="s">
        <v>146</v>
      </c>
      <c r="C63" s="234" t="n">
        <v>0</v>
      </c>
      <c r="D63" s="234" t="n">
        <v>0</v>
      </c>
      <c r="E63" s="234" t="n">
        <v>0.00189148985353949</v>
      </c>
      <c r="F63" s="234" t="n">
        <v>0.482964256198595</v>
      </c>
      <c r="G63" s="234" t="n">
        <v>1.23853129255308</v>
      </c>
      <c r="H63" s="234" t="n">
        <v>2.86141754184028</v>
      </c>
      <c r="I63" s="234" t="n">
        <v>2.81340799792693</v>
      </c>
      <c r="J63" s="221"/>
      <c r="K63" s="221"/>
    </row>
    <row r="64" customFormat="false" ht="15" hidden="false" customHeight="false" outlineLevel="0" collapsed="false">
      <c r="A64" s="230" t="s">
        <v>539</v>
      </c>
      <c r="B64" s="202" t="s">
        <v>146</v>
      </c>
      <c r="C64" s="234" t="n">
        <v>4.41217077793692E-005</v>
      </c>
      <c r="D64" s="234" t="n">
        <v>0.000751828466159761</v>
      </c>
      <c r="E64" s="234" t="n">
        <v>0.0152316875119172</v>
      </c>
      <c r="F64" s="234" t="n">
        <v>0.138807762777472</v>
      </c>
      <c r="G64" s="234" t="n">
        <v>0.868480719185939</v>
      </c>
      <c r="H64" s="234" t="n">
        <v>1.87867682957348</v>
      </c>
      <c r="I64" s="234" t="n">
        <v>2.78389156693196</v>
      </c>
    </row>
    <row r="65" customFormat="false" ht="15" hidden="false" customHeight="false" outlineLevel="0" collapsed="false">
      <c r="A65" s="230" t="s">
        <v>540</v>
      </c>
      <c r="B65" s="202" t="s">
        <v>146</v>
      </c>
      <c r="C65" s="234" t="n">
        <v>0</v>
      </c>
      <c r="D65" s="234" t="n">
        <v>0</v>
      </c>
      <c r="E65" s="234" t="n">
        <v>0</v>
      </c>
      <c r="F65" s="234" t="n">
        <v>0</v>
      </c>
      <c r="G65" s="234" t="n">
        <v>0</v>
      </c>
      <c r="H65" s="234" t="n">
        <v>0</v>
      </c>
      <c r="I65" s="234" t="n">
        <v>0</v>
      </c>
    </row>
    <row r="66" s="81" customFormat="true" ht="15" hidden="false" customHeight="false" outlineLevel="0" collapsed="false"/>
    <row r="67" s="81" customFormat="true" ht="15" hidden="false" customHeight="false" outlineLevel="0" collapsed="false"/>
    <row r="68" customFormat="false" ht="24.45" hidden="false" customHeight="false" outlineLevel="0" collapsed="false">
      <c r="A68" s="199" t="s">
        <v>541</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5" t="s">
        <v>168</v>
      </c>
      <c r="B69" s="236"/>
      <c r="C69" s="237"/>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8"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38"/>
      <c r="B71" s="205" t="s">
        <v>542</v>
      </c>
      <c r="C71" s="229"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s="81" customFormat="true" ht="15" hidden="false" customHeight="false" outlineLevel="0" collapsed="false"/>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8"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38"/>
      <c r="B75" s="205" t="s">
        <v>543</v>
      </c>
      <c r="C75" s="229"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9" t="s">
        <v>228</v>
      </c>
      <c r="B77" s="239"/>
      <c r="C77" s="239"/>
      <c r="D77" s="240" t="s">
        <v>544</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545</v>
      </c>
      <c r="B78" s="202" t="s">
        <v>546</v>
      </c>
      <c r="C78" s="231"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1" t="s">
        <v>230</v>
      </c>
      <c r="B79" s="241"/>
      <c r="C79" s="241"/>
      <c r="D79" s="242" t="s">
        <v>547</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548</v>
      </c>
      <c r="B80" s="205" t="s">
        <v>546</v>
      </c>
      <c r="C80" s="243" t="n">
        <v>0.2</v>
      </c>
      <c r="D80" s="244"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s="81" customFormat="true" ht="15" hidden="false" customHeight="false" outlineLevel="0" collapsed="false"/>
    <row r="82" customFormat="false" ht="17.35" hidden="false" customHeight="false" outlineLevel="0" collapsed="false">
      <c r="A82" s="200" t="s">
        <v>236</v>
      </c>
      <c r="B82" s="200"/>
      <c r="C82" s="200"/>
    </row>
    <row r="83" customFormat="false" ht="15" hidden="false" customHeight="false" outlineLevel="0" collapsed="false">
      <c r="A83" s="245" t="s">
        <v>549</v>
      </c>
      <c r="B83" s="202" t="s">
        <v>550</v>
      </c>
      <c r="C83" s="246" t="n">
        <v>0</v>
      </c>
    </row>
    <row r="84" customFormat="false" ht="15" hidden="false" customHeight="false" outlineLevel="0" collapsed="false">
      <c r="A84" s="245"/>
      <c r="B84" s="202" t="s">
        <v>551</v>
      </c>
      <c r="C84" s="246" t="n">
        <v>2023</v>
      </c>
    </row>
    <row r="85" customFormat="false" ht="15" hidden="false" customHeight="false" outlineLevel="0" collapsed="false">
      <c r="A85" s="245" t="s">
        <v>237</v>
      </c>
      <c r="B85" s="202" t="s">
        <v>238</v>
      </c>
      <c r="C85" s="246"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45"/>
      <c r="B86" s="202" t="s">
        <v>241</v>
      </c>
      <c r="C86" s="247"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45" t="s">
        <v>243</v>
      </c>
      <c r="B87" s="202" t="s">
        <v>238</v>
      </c>
      <c r="C87" s="246" t="n">
        <v>2015</v>
      </c>
    </row>
    <row r="88" customFormat="false" ht="15" hidden="false" customHeight="false" outlineLevel="0" collapsed="false">
      <c r="A88" s="245"/>
      <c r="B88" s="202" t="s">
        <v>241</v>
      </c>
      <c r="C88" s="247" t="n">
        <v>0</v>
      </c>
    </row>
    <row r="89" customFormat="false" ht="15" hidden="false" customHeight="false" outlineLevel="0" collapsed="false">
      <c r="A89" s="245" t="s">
        <v>244</v>
      </c>
      <c r="B89" s="202" t="s">
        <v>238</v>
      </c>
      <c r="C89" s="246" t="n">
        <v>2023</v>
      </c>
    </row>
    <row r="90" customFormat="false" ht="15" hidden="false" customHeight="false" outlineLevel="0" collapsed="false">
      <c r="A90" s="245"/>
      <c r="B90" s="202" t="s">
        <v>241</v>
      </c>
      <c r="C90" s="247" t="n">
        <v>0</v>
      </c>
    </row>
    <row r="91" customFormat="false" ht="15" hidden="false" customHeight="false" outlineLevel="0" collapsed="false">
      <c r="A91" s="245" t="s">
        <v>246</v>
      </c>
      <c r="B91" s="202" t="s">
        <v>238</v>
      </c>
      <c r="C91" s="246" t="n">
        <v>2023</v>
      </c>
      <c r="G91" s="138"/>
      <c r="I91" s="125"/>
      <c r="J91" s="125"/>
      <c r="K91" s="125"/>
      <c r="L91" s="125"/>
      <c r="M91" s="125"/>
      <c r="N91" s="125"/>
      <c r="O91" s="125"/>
      <c r="P91" s="125"/>
      <c r="Q91" s="125"/>
      <c r="R91" s="125"/>
      <c r="S91" s="125"/>
      <c r="T91" s="125"/>
    </row>
    <row r="92" customFormat="false" ht="15" hidden="false" customHeight="false" outlineLevel="0" collapsed="false">
      <c r="A92" s="245"/>
      <c r="B92" s="202" t="s">
        <v>241</v>
      </c>
      <c r="C92" s="247" t="n">
        <v>0</v>
      </c>
    </row>
    <row r="93" customFormat="false" ht="15" hidden="false" customHeight="false" outlineLevel="0" collapsed="false">
      <c r="A93" s="245" t="s">
        <v>211</v>
      </c>
      <c r="B93" s="202" t="s">
        <v>238</v>
      </c>
      <c r="C93" s="246" t="n">
        <v>2023</v>
      </c>
    </row>
    <row r="94" customFormat="false" ht="15" hidden="false" customHeight="false" outlineLevel="0" collapsed="false">
      <c r="A94" s="245"/>
      <c r="B94" s="202" t="s">
        <v>241</v>
      </c>
      <c r="C94" s="247" t="n">
        <v>0.97</v>
      </c>
    </row>
    <row r="95" customFormat="false" ht="15" hidden="false" customHeight="false" outlineLevel="0" collapsed="false">
      <c r="A95" s="245" t="s">
        <v>240</v>
      </c>
      <c r="B95" s="202" t="s">
        <v>238</v>
      </c>
      <c r="C95" s="246" t="n">
        <v>2023</v>
      </c>
    </row>
    <row r="96" customFormat="false" ht="15" hidden="false" customHeight="false" outlineLevel="0" collapsed="false">
      <c r="A96" s="245"/>
      <c r="B96" s="202" t="s">
        <v>241</v>
      </c>
      <c r="C96" s="247" t="n">
        <v>0.74</v>
      </c>
    </row>
    <row r="97" customFormat="false" ht="15" hidden="false" customHeight="false" outlineLevel="0" collapsed="false">
      <c r="A97" s="238" t="s">
        <v>245</v>
      </c>
      <c r="B97" s="202" t="s">
        <v>238</v>
      </c>
      <c r="C97" s="246" t="n">
        <v>2023</v>
      </c>
    </row>
    <row r="98" customFormat="false" ht="15" hidden="false" customHeight="false" outlineLevel="0" collapsed="false">
      <c r="A98" s="238"/>
      <c r="B98" s="205" t="s">
        <v>241</v>
      </c>
      <c r="C98" s="248" t="n">
        <v>0.87</v>
      </c>
    </row>
    <row r="99" customFormat="false" ht="15" hidden="false" customHeight="false" outlineLevel="0" collapsed="false">
      <c r="A99" s="139" t="s">
        <v>247</v>
      </c>
    </row>
    <row r="101" customFormat="false" ht="14.25" hidden="false" customHeight="true" outlineLevel="0" collapsed="false">
      <c r="A101" s="200" t="s">
        <v>248</v>
      </c>
      <c r="B101" s="200"/>
      <c r="C101" s="200"/>
    </row>
    <row r="102" customFormat="false" ht="15" hidden="false" customHeight="false" outlineLevel="0" collapsed="false">
      <c r="A102" s="211" t="s">
        <v>249</v>
      </c>
      <c r="B102" s="202" t="s">
        <v>28</v>
      </c>
      <c r="C102" s="246" t="n">
        <v>1</v>
      </c>
    </row>
    <row r="103" customFormat="false" ht="15" hidden="false" customHeight="false" outlineLevel="0" collapsed="false">
      <c r="A103" s="211" t="s">
        <v>256</v>
      </c>
      <c r="B103" s="202" t="s">
        <v>28</v>
      </c>
      <c r="C103" s="246" t="n">
        <v>1</v>
      </c>
    </row>
    <row r="104" customFormat="false" ht="15" hidden="false" customHeight="false" outlineLevel="0" collapsed="false">
      <c r="A104" s="211" t="s">
        <v>552</v>
      </c>
      <c r="B104" s="202" t="s">
        <v>36</v>
      </c>
      <c r="C104" s="246" t="n">
        <v>2020</v>
      </c>
    </row>
    <row r="105" customFormat="false" ht="15" hidden="false" customHeight="false" outlineLevel="0" collapsed="false">
      <c r="A105" s="211" t="s">
        <v>553</v>
      </c>
      <c r="B105" s="202" t="s">
        <v>36</v>
      </c>
      <c r="C105" s="246" t="n">
        <v>2025</v>
      </c>
    </row>
    <row r="106" customFormat="false" ht="15" hidden="false" customHeight="false" outlineLevel="0" collapsed="false">
      <c r="A106" s="211" t="s">
        <v>554</v>
      </c>
      <c r="B106" s="202" t="s">
        <v>36</v>
      </c>
      <c r="C106" s="246" t="n">
        <v>2035</v>
      </c>
    </row>
    <row r="107" customFormat="false" ht="15" hidden="false" customHeight="false" outlineLevel="0" collapsed="false">
      <c r="A107" s="211" t="s">
        <v>555</v>
      </c>
      <c r="B107" s="202" t="s">
        <v>36</v>
      </c>
      <c r="C107" s="246" t="n">
        <v>2050</v>
      </c>
    </row>
    <row r="108" customFormat="false" ht="15" hidden="false" customHeight="false" outlineLevel="0" collapsed="false">
      <c r="A108" s="211" t="s">
        <v>255</v>
      </c>
      <c r="B108" s="202" t="s">
        <v>28</v>
      </c>
      <c r="C108" s="246" t="n">
        <v>0</v>
      </c>
    </row>
    <row r="109" customFormat="false" ht="15" hidden="false" customHeight="false" outlineLevel="0" collapsed="false">
      <c r="A109" s="211" t="s">
        <v>261</v>
      </c>
      <c r="B109" s="202" t="s">
        <v>28</v>
      </c>
      <c r="C109" s="246" t="n">
        <v>0</v>
      </c>
    </row>
    <row r="110" customFormat="false" ht="15" hidden="false" customHeight="false" outlineLevel="0" collapsed="false">
      <c r="A110" s="211" t="s">
        <v>556</v>
      </c>
      <c r="B110" s="202"/>
      <c r="C110" s="204" t="n">
        <v>2050</v>
      </c>
    </row>
    <row r="111" customFormat="false" ht="15" hidden="false" customHeight="false" outlineLevel="0" collapsed="false">
      <c r="A111" s="216" t="s">
        <v>557</v>
      </c>
      <c r="B111" s="205" t="s">
        <v>28</v>
      </c>
      <c r="C111" s="244" t="n">
        <v>0.8</v>
      </c>
    </row>
    <row r="112" customFormat="false" ht="14.25" hidden="false" customHeight="true" outlineLevel="0" collapsed="false"/>
    <row r="113" customFormat="false" ht="14.25" hidden="false" customHeight="true" outlineLevel="0" collapsed="false">
      <c r="A113" s="200" t="s">
        <v>58</v>
      </c>
      <c r="B113" s="200"/>
      <c r="C113" s="200"/>
      <c r="D113" s="200"/>
      <c r="E113" s="200"/>
    </row>
    <row r="114" customFormat="false" ht="14.25" hidden="false" customHeight="true" outlineLevel="0" collapsed="false">
      <c r="A114" s="238" t="s">
        <v>59</v>
      </c>
      <c r="B114" s="250" t="n">
        <v>4</v>
      </c>
      <c r="C114" s="230" t="s">
        <v>60</v>
      </c>
      <c r="D114" s="202" t="s">
        <v>65</v>
      </c>
      <c r="E114" s="227" t="n">
        <v>-0.012</v>
      </c>
    </row>
    <row r="115" customFormat="false" ht="14.25" hidden="false" customHeight="true" outlineLevel="0" collapsed="false">
      <c r="A115" s="238"/>
      <c r="B115" s="250"/>
      <c r="C115" s="230" t="s">
        <v>62</v>
      </c>
      <c r="D115" s="202" t="s">
        <v>559</v>
      </c>
      <c r="E115" s="204" t="n">
        <v>2017</v>
      </c>
    </row>
    <row r="116" customFormat="false" ht="14.25" hidden="false" customHeight="true" outlineLevel="0" collapsed="false">
      <c r="A116" s="238"/>
      <c r="B116" s="250"/>
      <c r="C116" s="230" t="s">
        <v>63</v>
      </c>
      <c r="D116" s="252"/>
      <c r="E116" s="252"/>
      <c r="F116" s="253"/>
      <c r="G116" s="253"/>
      <c r="H116" s="253"/>
      <c r="I116" s="253"/>
      <c r="J116" s="253"/>
      <c r="K116" s="253"/>
      <c r="L116" s="254"/>
    </row>
    <row r="117" customFormat="false" ht="14.25" hidden="false" customHeight="true" outlineLevel="0" collapsed="false">
      <c r="A117" s="238"/>
      <c r="B117" s="250"/>
      <c r="C117" s="255" t="s">
        <v>64</v>
      </c>
      <c r="D117" s="252"/>
      <c r="E117" s="252"/>
    </row>
    <row r="118" customFormat="false" ht="14.25" hidden="false" customHeight="true" outlineLevel="0" collapsed="false"/>
    <row r="119" customFormat="false" ht="14.25" hidden="false" customHeight="true" outlineLevel="0" collapsed="false">
      <c r="D119" s="79"/>
      <c r="E119" s="79"/>
      <c r="F119" s="79"/>
      <c r="G119" s="79"/>
      <c r="H119" s="79"/>
      <c r="I119" s="79"/>
      <c r="J119" s="79"/>
    </row>
    <row r="120" customFormat="false" ht="24.45" hidden="false" customHeight="false" outlineLevel="0" collapsed="false">
      <c r="A120" s="199" t="s">
        <v>560</v>
      </c>
      <c r="D120" s="79"/>
      <c r="E120" s="79"/>
      <c r="F120" s="79"/>
      <c r="G120" s="79"/>
      <c r="H120" s="79"/>
      <c r="I120" s="79"/>
      <c r="J120" s="79"/>
    </row>
    <row r="121" customFormat="false" ht="17.35" hidden="false" customHeight="false" outlineLevel="0" collapsed="false">
      <c r="A121" s="200" t="s">
        <v>561</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56" t="s">
        <v>562</v>
      </c>
      <c r="B123" s="203" t="s">
        <v>711</v>
      </c>
      <c r="C123" s="202" t="s">
        <v>28</v>
      </c>
      <c r="D123" s="259" t="n">
        <v>0.519</v>
      </c>
      <c r="E123" s="259" t="n">
        <v>0.519</v>
      </c>
      <c r="F123" s="259" t="n">
        <v>0.47</v>
      </c>
      <c r="G123" s="259" t="n">
        <v>0.46</v>
      </c>
      <c r="H123" s="259" t="n">
        <v>0.448</v>
      </c>
      <c r="I123" s="259" t="n">
        <v>0.442</v>
      </c>
      <c r="J123" s="226" t="n">
        <v>0.438</v>
      </c>
    </row>
    <row r="124" customFormat="false" ht="15" hidden="false" customHeight="false" outlineLevel="0" collapsed="false">
      <c r="A124" s="256"/>
      <c r="B124" s="203" t="s">
        <v>565</v>
      </c>
      <c r="C124" s="202" t="s">
        <v>28</v>
      </c>
      <c r="D124" s="259" t="n">
        <v>0.127</v>
      </c>
      <c r="E124" s="259" t="n">
        <v>0.127</v>
      </c>
      <c r="F124" s="259" t="n">
        <v>0.14</v>
      </c>
      <c r="G124" s="259" t="n">
        <v>0.143</v>
      </c>
      <c r="H124" s="259" t="n">
        <v>0.146</v>
      </c>
      <c r="I124" s="259" t="n">
        <v>0.148</v>
      </c>
      <c r="J124" s="226" t="n">
        <v>0.149</v>
      </c>
    </row>
    <row r="125" customFormat="false" ht="15" hidden="false" customHeight="false" outlineLevel="0" collapsed="false">
      <c r="A125" s="256"/>
      <c r="B125" s="203" t="s">
        <v>566</v>
      </c>
      <c r="C125" s="202" t="s">
        <v>28</v>
      </c>
      <c r="D125" s="259" t="n">
        <v>0.353</v>
      </c>
      <c r="E125" s="259" t="n">
        <v>0.353</v>
      </c>
      <c r="F125" s="259" t="n">
        <v>0.389</v>
      </c>
      <c r="G125" s="259" t="n">
        <v>0.397</v>
      </c>
      <c r="H125" s="259" t="n">
        <v>0.405</v>
      </c>
      <c r="I125" s="259" t="n">
        <v>0.41</v>
      </c>
      <c r="J125" s="226" t="n">
        <v>0.413</v>
      </c>
    </row>
    <row r="126" customFormat="false" ht="15" hidden="false" customHeight="false" outlineLevel="0" collapsed="false">
      <c r="A126" s="256"/>
      <c r="B126" s="203" t="s">
        <v>567</v>
      </c>
      <c r="C126" s="202" t="s">
        <v>28</v>
      </c>
      <c r="D126" s="259" t="n">
        <v>0.001</v>
      </c>
      <c r="E126" s="259" t="n">
        <v>0.001</v>
      </c>
      <c r="F126" s="259" t="n">
        <v>0</v>
      </c>
      <c r="G126" s="259" t="n">
        <v>0</v>
      </c>
      <c r="H126" s="259" t="n">
        <v>0</v>
      </c>
      <c r="I126" s="259" t="n">
        <v>0</v>
      </c>
      <c r="J126" s="226" t="n">
        <v>0</v>
      </c>
    </row>
    <row r="127" customFormat="false" ht="15" hidden="false" customHeight="false" outlineLevel="0" collapsed="false">
      <c r="A127" s="256" t="s">
        <v>568</v>
      </c>
      <c r="B127" s="203" t="s">
        <v>711</v>
      </c>
      <c r="C127" s="202" t="s">
        <v>28</v>
      </c>
      <c r="D127" s="259" t="n">
        <v>0.0695224222489597</v>
      </c>
      <c r="E127" s="259" t="n">
        <v>0.0776054842098777</v>
      </c>
      <c r="F127" s="259" t="n">
        <v>0.0834558948003054</v>
      </c>
      <c r="G127" s="259" t="n">
        <v>0.0848876649449452</v>
      </c>
      <c r="H127" s="259" t="n">
        <v>0.0803425748167629</v>
      </c>
      <c r="I127" s="259" t="n">
        <v>0.0821848546344303</v>
      </c>
      <c r="J127" s="226" t="n">
        <v>0.0838272789251668</v>
      </c>
    </row>
    <row r="128" customFormat="false" ht="15" hidden="false" customHeight="false" outlineLevel="0" collapsed="false">
      <c r="A128" s="256"/>
      <c r="B128" s="203" t="s">
        <v>565</v>
      </c>
      <c r="C128" s="202" t="s">
        <v>28</v>
      </c>
      <c r="D128" s="259" t="n">
        <v>0.0610381387059979</v>
      </c>
      <c r="E128" s="259" t="n">
        <v>0.0874446772567883</v>
      </c>
      <c r="F128" s="259" t="n">
        <v>0.0980812466505779</v>
      </c>
      <c r="G128" s="259" t="n">
        <v>0.10483368587376</v>
      </c>
      <c r="H128" s="259" t="n">
        <v>0.109212944311259</v>
      </c>
      <c r="I128" s="259" t="n">
        <v>0.114053859948311</v>
      </c>
      <c r="J128" s="226" t="n">
        <v>0.116953141310834</v>
      </c>
    </row>
    <row r="129" customFormat="false" ht="15" hidden="false" customHeight="false" outlineLevel="0" collapsed="false">
      <c r="A129" s="256"/>
      <c r="B129" s="203" t="s">
        <v>566</v>
      </c>
      <c r="C129" s="202" t="s">
        <v>28</v>
      </c>
      <c r="D129" s="259" t="n">
        <v>0.00412340094994621</v>
      </c>
      <c r="E129" s="259" t="n">
        <v>0.00590924222200277</v>
      </c>
      <c r="F129" s="259" t="n">
        <v>0.00609562054761297</v>
      </c>
      <c r="G129" s="259" t="n">
        <v>0.00613564562653587</v>
      </c>
      <c r="H129" s="259" t="n">
        <v>0.00609436558402778</v>
      </c>
      <c r="I129" s="259" t="n">
        <v>0.00615105874311381</v>
      </c>
      <c r="J129" s="226" t="n">
        <v>0.00620815197227693</v>
      </c>
    </row>
    <row r="130" customFormat="false" ht="15" hidden="false" customHeight="false" outlineLevel="0" collapsed="false">
      <c r="A130" s="256"/>
      <c r="B130" s="203" t="s">
        <v>567</v>
      </c>
      <c r="C130" s="202" t="s">
        <v>28</v>
      </c>
      <c r="D130" s="259" t="n">
        <v>0.0541926284769035</v>
      </c>
      <c r="E130" s="259" t="n">
        <v>0.0937903450029295</v>
      </c>
      <c r="F130" s="259" t="n">
        <v>0.0943727484667924</v>
      </c>
      <c r="G130" s="259" t="n">
        <v>0.0953650120741535</v>
      </c>
      <c r="H130" s="259" t="n">
        <v>0.0988649918386627</v>
      </c>
      <c r="I130" s="259" t="n">
        <v>0.102728650052215</v>
      </c>
      <c r="J130" s="226" t="n">
        <v>0.110032407431025</v>
      </c>
    </row>
    <row r="131" customFormat="false" ht="15" hidden="false" customHeight="false" outlineLevel="0" collapsed="false">
      <c r="A131" s="256"/>
      <c r="B131" s="203" t="s">
        <v>712</v>
      </c>
      <c r="C131" s="202" t="s">
        <v>28</v>
      </c>
      <c r="D131" s="259" t="n">
        <v>0.811123409618191</v>
      </c>
      <c r="E131" s="259" t="n">
        <v>0.735250251308403</v>
      </c>
      <c r="F131" s="259" t="n">
        <v>0.717994489534711</v>
      </c>
      <c r="G131" s="259" t="n">
        <v>0.708777991480605</v>
      </c>
      <c r="H131" s="259" t="n">
        <v>0.705485123449288</v>
      </c>
      <c r="I131" s="259" t="n">
        <v>0.69488157662193</v>
      </c>
      <c r="J131" s="226" t="n">
        <v>0.682979020360699</v>
      </c>
    </row>
    <row r="132" customFormat="false" ht="15" hidden="false" customHeight="false" outlineLevel="0" collapsed="false">
      <c r="A132" s="208" t="s">
        <v>571</v>
      </c>
      <c r="B132" s="261"/>
      <c r="C132" s="202" t="s">
        <v>572</v>
      </c>
      <c r="D132" s="262" t="n">
        <f aca="false">SUM(D123:D126)</f>
        <v>1</v>
      </c>
      <c r="E132" s="262" t="n">
        <f aca="false">SUM(E123:E126)</f>
        <v>1</v>
      </c>
      <c r="F132" s="262" t="n">
        <f aca="false">SUM(F123:F126)</f>
        <v>0.999</v>
      </c>
      <c r="G132" s="262" t="n">
        <f aca="false">SUM(G123:G126)</f>
        <v>1</v>
      </c>
      <c r="H132" s="262" t="n">
        <f aca="false">SUM(H123:H126)</f>
        <v>0.999</v>
      </c>
      <c r="I132" s="262" t="n">
        <f aca="false">SUM(I123:I126)</f>
        <v>1</v>
      </c>
      <c r="J132" s="262" t="n">
        <f aca="false">SUM(J123:J126)</f>
        <v>1</v>
      </c>
    </row>
    <row r="133" customFormat="false" ht="15" hidden="false" customHeight="false" outlineLevel="0" collapsed="false">
      <c r="A133" s="263" t="s">
        <v>573</v>
      </c>
      <c r="B133" s="261"/>
      <c r="C133" s="205" t="s">
        <v>572</v>
      </c>
      <c r="D133" s="262" t="n">
        <f aca="false">SUM(D127:D131)</f>
        <v>0.999999999999998</v>
      </c>
      <c r="E133" s="262" t="n">
        <f aca="false">SUM(E127:E131)</f>
        <v>1</v>
      </c>
      <c r="F133" s="262" t="n">
        <f aca="false">SUM(F127:F131)</f>
        <v>1</v>
      </c>
      <c r="G133" s="262" t="n">
        <f aca="false">SUM(G127:G131)</f>
        <v>1</v>
      </c>
      <c r="H133" s="262" t="n">
        <f aca="false">SUM(H127:H131)</f>
        <v>1</v>
      </c>
      <c r="I133" s="262" t="n">
        <f aca="false">SUM(I127:I131)</f>
        <v>1</v>
      </c>
      <c r="J133" s="262" t="n">
        <f aca="false">SUM(J127:J131)</f>
        <v>1</v>
      </c>
    </row>
    <row r="135" customFormat="false" ht="17.35" hidden="false" customHeight="false" outlineLevel="0" collapsed="false">
      <c r="A135" s="200" t="s">
        <v>574</v>
      </c>
      <c r="B135" s="200"/>
      <c r="C135" s="200"/>
      <c r="D135" s="200"/>
      <c r="E135" s="200"/>
      <c r="F135" s="200"/>
      <c r="G135" s="200"/>
      <c r="H135" s="200"/>
    </row>
    <row r="136" customFormat="false" ht="15" hidden="false" customHeight="false" outlineLevel="0" collapsed="false">
      <c r="A136" s="208" t="s">
        <v>36</v>
      </c>
      <c r="B136" s="202" t="s">
        <v>36</v>
      </c>
      <c r="C136" s="203" t="n">
        <v>2025</v>
      </c>
      <c r="D136" s="203" t="n">
        <v>2030</v>
      </c>
      <c r="E136" s="203" t="n">
        <v>2035</v>
      </c>
      <c r="F136" s="203" t="n">
        <v>2040</v>
      </c>
      <c r="G136" s="203" t="n">
        <v>2045</v>
      </c>
      <c r="H136" s="204" t="n">
        <v>2050</v>
      </c>
    </row>
    <row r="137" customFormat="false" ht="15" hidden="false" customHeight="false" outlineLevel="0" collapsed="false">
      <c r="A137" s="264" t="s">
        <v>565</v>
      </c>
      <c r="B137" s="202" t="s">
        <v>575</v>
      </c>
      <c r="C137" s="226" t="n">
        <v>0.1459</v>
      </c>
      <c r="D137" s="226" t="n">
        <v>0.1167</v>
      </c>
      <c r="E137" s="226" t="n">
        <v>0.0875</v>
      </c>
      <c r="F137" s="226" t="n">
        <v>0.0584</v>
      </c>
      <c r="G137" s="226" t="n">
        <v>0.0292</v>
      </c>
      <c r="H137" s="226" t="n">
        <v>0</v>
      </c>
    </row>
    <row r="138" customFormat="false" ht="15" hidden="false" customHeight="false" outlineLevel="0" collapsed="false">
      <c r="A138" s="264"/>
      <c r="B138" s="202" t="s">
        <v>192</v>
      </c>
      <c r="C138" s="226" t="n">
        <v>0.05</v>
      </c>
      <c r="D138" s="226" t="n">
        <v>0.04</v>
      </c>
      <c r="E138" s="226" t="n">
        <v>0.03</v>
      </c>
      <c r="F138" s="226" t="n">
        <v>0.02</v>
      </c>
      <c r="G138" s="226" t="n">
        <v>0.01</v>
      </c>
      <c r="H138" s="226" t="n">
        <v>0</v>
      </c>
    </row>
    <row r="139" customFormat="false" ht="15" hidden="false" customHeight="false" outlineLevel="0" collapsed="false">
      <c r="A139" s="264"/>
      <c r="B139" s="202" t="s">
        <v>374</v>
      </c>
      <c r="C139" s="226" t="n">
        <v>0.8541</v>
      </c>
      <c r="D139" s="226" t="n">
        <v>0.8833</v>
      </c>
      <c r="E139" s="226" t="n">
        <v>0.9125</v>
      </c>
      <c r="F139" s="226" t="n">
        <v>0.9416</v>
      </c>
      <c r="G139" s="226" t="n">
        <v>0.9708</v>
      </c>
      <c r="H139" s="226" t="n">
        <v>1</v>
      </c>
    </row>
    <row r="140" customFormat="false" ht="15" hidden="false" customHeight="false" outlineLevel="0" collapsed="false">
      <c r="A140" s="264"/>
      <c r="B140" s="202" t="s">
        <v>576</v>
      </c>
      <c r="C140" s="226" t="n">
        <v>0</v>
      </c>
      <c r="D140" s="226" t="n">
        <v>0</v>
      </c>
      <c r="E140" s="226" t="n">
        <v>0</v>
      </c>
      <c r="F140" s="226" t="n">
        <v>0</v>
      </c>
      <c r="G140" s="226" t="n">
        <v>0</v>
      </c>
      <c r="H140" s="226" t="n">
        <v>0</v>
      </c>
    </row>
    <row r="141" customFormat="false" ht="15" hidden="false" customHeight="false" outlineLevel="0" collapsed="false">
      <c r="A141" s="256" t="s">
        <v>577</v>
      </c>
      <c r="B141" s="202" t="s">
        <v>575</v>
      </c>
      <c r="C141" s="259" t="n">
        <v>0.710215421760778</v>
      </c>
      <c r="D141" s="259" t="n">
        <v>0.60650331097056</v>
      </c>
      <c r="E141" s="259" t="n">
        <v>0.519297101522442</v>
      </c>
      <c r="F141" s="259" t="n">
        <v>0.432090892074324</v>
      </c>
      <c r="G141" s="259" t="n">
        <v>0.344884682626206</v>
      </c>
      <c r="H141" s="226" t="n">
        <v>0.272681803709289</v>
      </c>
    </row>
    <row r="142" customFormat="false" ht="15" hidden="false" customHeight="false" outlineLevel="0" collapsed="false">
      <c r="A142" s="256"/>
      <c r="B142" s="202" t="s">
        <v>192</v>
      </c>
      <c r="C142" s="259" t="n">
        <v>0.0504865457750533</v>
      </c>
      <c r="D142" s="259" t="n">
        <v>0.0725226414272688</v>
      </c>
      <c r="E142" s="259" t="n">
        <v>0.0966968552363585</v>
      </c>
      <c r="F142" s="259" t="n">
        <v>0.120871069045448</v>
      </c>
      <c r="G142" s="259" t="n">
        <v>0.145045282854538</v>
      </c>
      <c r="H142" s="226" t="n">
        <v>0.169219496663627</v>
      </c>
    </row>
    <row r="143" customFormat="false" ht="15" hidden="false" customHeight="false" outlineLevel="0" collapsed="false">
      <c r="A143" s="256"/>
      <c r="B143" s="202" t="s">
        <v>374</v>
      </c>
      <c r="C143" s="259" t="n">
        <v>0.187664065194228</v>
      </c>
      <c r="D143" s="259" t="n">
        <v>0.246803164324282</v>
      </c>
      <c r="E143" s="259" t="n">
        <v>0.285111532204015</v>
      </c>
      <c r="F143" s="259" t="n">
        <v>0.323419900083747</v>
      </c>
      <c r="G143" s="259" t="n">
        <v>0.361728267963479</v>
      </c>
      <c r="H143" s="226" t="n">
        <v>0.38503330531201</v>
      </c>
    </row>
    <row r="144" customFormat="false" ht="15" hidden="false" customHeight="false" outlineLevel="0" collapsed="false">
      <c r="A144" s="256"/>
      <c r="B144" s="202" t="s">
        <v>576</v>
      </c>
      <c r="C144" s="259" t="n">
        <v>0.0516339672699409</v>
      </c>
      <c r="D144" s="259" t="n">
        <v>0.0741708832778886</v>
      </c>
      <c r="E144" s="259" t="n">
        <v>0.0988945110371848</v>
      </c>
      <c r="F144" s="259" t="n">
        <v>0.123618138796481</v>
      </c>
      <c r="G144" s="259" t="n">
        <v>0.148341766555777</v>
      </c>
      <c r="H144" s="226" t="n">
        <v>0.173065394315073</v>
      </c>
    </row>
    <row r="145" customFormat="false" ht="15" hidden="false" customHeight="false" outlineLevel="0" collapsed="false">
      <c r="A145" s="256" t="s">
        <v>566</v>
      </c>
      <c r="B145" s="202" t="s">
        <v>575</v>
      </c>
      <c r="C145" s="259" t="n">
        <v>0.932773109243698</v>
      </c>
      <c r="D145" s="259" t="n">
        <v>0.899159663865546</v>
      </c>
      <c r="E145" s="259" t="n">
        <v>0.865546218487395</v>
      </c>
      <c r="F145" s="259" t="n">
        <v>0.831932773109244</v>
      </c>
      <c r="G145" s="259" t="n">
        <v>0.798319327731093</v>
      </c>
      <c r="H145" s="226" t="n">
        <v>0.764705882352941</v>
      </c>
    </row>
    <row r="146" customFormat="false" ht="15" hidden="false" customHeight="false" outlineLevel="0" collapsed="false">
      <c r="A146" s="256"/>
      <c r="B146" s="202" t="s">
        <v>192</v>
      </c>
      <c r="C146" s="259" t="n">
        <v>0.0672268907563025</v>
      </c>
      <c r="D146" s="259" t="n">
        <v>0.100840336134454</v>
      </c>
      <c r="E146" s="259" t="n">
        <v>0.134453781512605</v>
      </c>
      <c r="F146" s="259" t="n">
        <v>0.168067226890756</v>
      </c>
      <c r="G146" s="259" t="n">
        <v>0.201680672268908</v>
      </c>
      <c r="H146" s="226" t="n">
        <v>0.235294117647059</v>
      </c>
    </row>
    <row r="147" customFormat="false" ht="15" hidden="false" customHeight="false" outlineLevel="0" collapsed="false">
      <c r="A147" s="256"/>
      <c r="B147" s="202" t="s">
        <v>374</v>
      </c>
      <c r="C147" s="259" t="n">
        <v>0</v>
      </c>
      <c r="D147" s="259" t="n">
        <v>0</v>
      </c>
      <c r="E147" s="259" t="n">
        <v>0</v>
      </c>
      <c r="F147" s="259" t="n">
        <v>0</v>
      </c>
      <c r="G147" s="259" t="n">
        <v>0</v>
      </c>
      <c r="H147" s="226" t="n">
        <v>0</v>
      </c>
    </row>
    <row r="148" customFormat="false" ht="15" hidden="false" customHeight="false" outlineLevel="0" collapsed="false">
      <c r="A148" s="256"/>
      <c r="B148" s="202" t="s">
        <v>576</v>
      </c>
      <c r="C148" s="259" t="n">
        <v>0</v>
      </c>
      <c r="D148" s="259" t="n">
        <v>0</v>
      </c>
      <c r="E148" s="259" t="n">
        <v>0</v>
      </c>
      <c r="F148" s="259" t="n">
        <v>0</v>
      </c>
      <c r="G148" s="259" t="n">
        <v>0</v>
      </c>
      <c r="H148" s="226" t="n">
        <v>0</v>
      </c>
    </row>
    <row r="149" customFormat="false" ht="15" hidden="false" customHeight="false" outlineLevel="0" collapsed="false">
      <c r="A149" s="256" t="s">
        <v>567</v>
      </c>
      <c r="B149" s="202" t="s">
        <v>575</v>
      </c>
      <c r="C149" s="259" t="n">
        <v>1</v>
      </c>
      <c r="D149" s="259" t="n">
        <v>1</v>
      </c>
      <c r="E149" s="259" t="n">
        <v>1</v>
      </c>
      <c r="F149" s="259" t="n">
        <v>1</v>
      </c>
      <c r="G149" s="259" t="n">
        <v>1</v>
      </c>
      <c r="H149" s="259" t="n">
        <v>1</v>
      </c>
    </row>
    <row r="150" customFormat="false" ht="15" hidden="false" customHeight="false" outlineLevel="0" collapsed="false">
      <c r="A150" s="256"/>
      <c r="B150" s="202" t="s">
        <v>192</v>
      </c>
      <c r="C150" s="259" t="n">
        <v>0</v>
      </c>
      <c r="D150" s="259" t="n">
        <v>0</v>
      </c>
      <c r="E150" s="259" t="n">
        <v>0</v>
      </c>
      <c r="F150" s="259" t="n">
        <v>0</v>
      </c>
      <c r="G150" s="259" t="n">
        <v>0</v>
      </c>
      <c r="H150" s="226" t="n">
        <v>0</v>
      </c>
    </row>
    <row r="151" customFormat="false" ht="15" hidden="false" customHeight="false" outlineLevel="0" collapsed="false">
      <c r="A151" s="256"/>
      <c r="B151" s="202" t="s">
        <v>374</v>
      </c>
      <c r="C151" s="259" t="n">
        <v>0</v>
      </c>
      <c r="D151" s="259" t="n">
        <v>0</v>
      </c>
      <c r="E151" s="259" t="n">
        <v>0</v>
      </c>
      <c r="F151" s="259" t="n">
        <v>0</v>
      </c>
      <c r="G151" s="259" t="n">
        <v>0</v>
      </c>
      <c r="H151" s="226" t="n">
        <v>0</v>
      </c>
    </row>
    <row r="152" customFormat="false" ht="15" hidden="false" customHeight="false" outlineLevel="0" collapsed="false">
      <c r="A152" s="256"/>
      <c r="B152" s="202" t="s">
        <v>576</v>
      </c>
      <c r="C152" s="259" t="n">
        <v>0</v>
      </c>
      <c r="D152" s="259" t="n">
        <v>0</v>
      </c>
      <c r="E152" s="259" t="n">
        <v>0</v>
      </c>
      <c r="F152" s="259" t="n">
        <v>0</v>
      </c>
      <c r="G152" s="259" t="n">
        <v>0</v>
      </c>
      <c r="H152" s="226" t="n">
        <v>0</v>
      </c>
    </row>
    <row r="153" customFormat="false" ht="17.35" hidden="false" customHeight="false" outlineLevel="0" collapsed="false">
      <c r="A153" s="265" t="s">
        <v>578</v>
      </c>
      <c r="B153" s="265"/>
      <c r="C153" s="265"/>
      <c r="D153" s="265"/>
      <c r="E153" s="265"/>
      <c r="F153" s="265"/>
      <c r="G153" s="265"/>
      <c r="H153" s="265"/>
    </row>
    <row r="154" customFormat="false" ht="15" hidden="false" customHeight="false" outlineLevel="0" collapsed="false">
      <c r="A154" s="208" t="s">
        <v>36</v>
      </c>
      <c r="B154" s="202" t="s">
        <v>36</v>
      </c>
      <c r="C154" s="203" t="n">
        <v>2025</v>
      </c>
      <c r="D154" s="203" t="n">
        <v>2030</v>
      </c>
      <c r="E154" s="203" t="n">
        <v>2035</v>
      </c>
      <c r="F154" s="203" t="n">
        <v>2040</v>
      </c>
      <c r="G154" s="203" t="n">
        <v>2045</v>
      </c>
      <c r="H154" s="204" t="n">
        <v>2050</v>
      </c>
    </row>
    <row r="155" customFormat="false" ht="15" hidden="false" customHeight="false" outlineLevel="0" collapsed="false">
      <c r="A155" s="256" t="s">
        <v>565</v>
      </c>
      <c r="B155" s="202" t="s">
        <v>575</v>
      </c>
      <c r="C155" s="259" t="n">
        <v>0.11765198</v>
      </c>
      <c r="D155" s="259" t="n">
        <v>0.09412158</v>
      </c>
      <c r="E155" s="259" t="n">
        <v>0.07059119</v>
      </c>
      <c r="F155" s="259" t="n">
        <v>0.04706079</v>
      </c>
      <c r="G155" s="259" t="n">
        <v>0.02353039</v>
      </c>
      <c r="H155" s="259" t="n">
        <v>0</v>
      </c>
    </row>
    <row r="156" customFormat="false" ht="15" hidden="false" customHeight="false" outlineLevel="0" collapsed="false">
      <c r="A156" s="256"/>
      <c r="B156" s="202" t="s">
        <v>192</v>
      </c>
      <c r="C156" s="259" t="n">
        <v>0</v>
      </c>
      <c r="D156" s="259" t="n">
        <v>0</v>
      </c>
      <c r="E156" s="259" t="n">
        <v>0</v>
      </c>
      <c r="F156" s="259" t="n">
        <v>0</v>
      </c>
      <c r="G156" s="259" t="n">
        <v>0</v>
      </c>
      <c r="H156" s="259" t="n">
        <v>0</v>
      </c>
    </row>
    <row r="157" customFormat="false" ht="15" hidden="false" customHeight="false" outlineLevel="0" collapsed="false">
      <c r="A157" s="256"/>
      <c r="B157" s="202" t="s">
        <v>374</v>
      </c>
      <c r="C157" s="259" t="n">
        <v>0.88234802</v>
      </c>
      <c r="D157" s="259" t="n">
        <v>0.90587842</v>
      </c>
      <c r="E157" s="259" t="n">
        <v>0.92940881</v>
      </c>
      <c r="F157" s="259" t="n">
        <v>0.95293921</v>
      </c>
      <c r="G157" s="259" t="n">
        <v>0.97646961</v>
      </c>
      <c r="H157" s="259" t="n">
        <v>1</v>
      </c>
    </row>
    <row r="158" customFormat="false" ht="15" hidden="false" customHeight="false" outlineLevel="0" collapsed="false">
      <c r="A158" s="256"/>
      <c r="B158" s="202" t="s">
        <v>576</v>
      </c>
      <c r="C158" s="259" t="n">
        <v>0</v>
      </c>
      <c r="D158" s="259" t="n">
        <v>0</v>
      </c>
      <c r="E158" s="259" t="n">
        <v>0</v>
      </c>
      <c r="F158" s="259" t="n">
        <v>0</v>
      </c>
      <c r="G158" s="259" t="n">
        <v>0</v>
      </c>
      <c r="H158" s="259" t="n">
        <v>0</v>
      </c>
    </row>
    <row r="159" customFormat="false" ht="15" hidden="false" customHeight="false" outlineLevel="0" collapsed="false">
      <c r="A159" s="256" t="s">
        <v>577</v>
      </c>
      <c r="B159" s="202" t="s">
        <v>575</v>
      </c>
      <c r="C159" s="259" t="n">
        <v>0.690704484080468</v>
      </c>
      <c r="D159" s="259" t="n">
        <v>0.581219325384736</v>
      </c>
      <c r="E159" s="259" t="n">
        <v>0.47324615070277</v>
      </c>
      <c r="F159" s="259" t="n">
        <v>0.365272976020804</v>
      </c>
      <c r="G159" s="259" t="n">
        <v>0.257299801338838</v>
      </c>
      <c r="H159" s="226" t="n">
        <v>0.0473264628821185</v>
      </c>
    </row>
    <row r="160" customFormat="false" ht="15" hidden="false" customHeight="false" outlineLevel="0" collapsed="false">
      <c r="A160" s="256"/>
      <c r="B160" s="202" t="s">
        <v>192</v>
      </c>
      <c r="C160" s="259" t="n">
        <v>0.0639897564814042</v>
      </c>
      <c r="D160" s="259" t="n">
        <v>0.0782975707697648</v>
      </c>
      <c r="E160" s="259" t="n">
        <v>0.0938225342940677</v>
      </c>
      <c r="F160" s="259" t="n">
        <v>0.10934749781837</v>
      </c>
      <c r="G160" s="259" t="n">
        <v>0.124872461342673</v>
      </c>
      <c r="H160" s="226" t="n">
        <v>0.147110104070304</v>
      </c>
    </row>
    <row r="161" customFormat="false" ht="15" hidden="false" customHeight="false" outlineLevel="0" collapsed="false">
      <c r="A161" s="256"/>
      <c r="B161" s="202" t="s">
        <v>374</v>
      </c>
      <c r="C161" s="259" t="n">
        <v>0.238252494368915</v>
      </c>
      <c r="D161" s="259" t="n">
        <v>0.329808059781831</v>
      </c>
      <c r="E161" s="259" t="n">
        <v>0.418734491739984</v>
      </c>
      <c r="F161" s="259" t="n">
        <v>0.507660923698136</v>
      </c>
      <c r="G161" s="259" t="n">
        <v>0.596587355656288</v>
      </c>
      <c r="H161" s="226" t="n">
        <v>0.780910978650999</v>
      </c>
    </row>
    <row r="162" customFormat="false" ht="15" hidden="false" customHeight="false" outlineLevel="0" collapsed="false">
      <c r="A162" s="256"/>
      <c r="B162" s="202" t="s">
        <v>576</v>
      </c>
      <c r="C162" s="259" t="n">
        <v>0.00705326506921272</v>
      </c>
      <c r="D162" s="259" t="n">
        <v>0.0106750440636676</v>
      </c>
      <c r="E162" s="259" t="n">
        <v>0.0141968232631788</v>
      </c>
      <c r="F162" s="259" t="n">
        <v>0.01771860246269</v>
      </c>
      <c r="G162" s="259" t="n">
        <v>0.0212403816622012</v>
      </c>
      <c r="H162" s="226" t="n">
        <v>0.0246524543965785</v>
      </c>
    </row>
    <row r="163" customFormat="false" ht="15" hidden="false" customHeight="false" outlineLevel="0" collapsed="false">
      <c r="A163" s="256" t="s">
        <v>566</v>
      </c>
      <c r="B163" s="202" t="s">
        <v>575</v>
      </c>
      <c r="C163" s="259" t="n">
        <v>0.932773109243698</v>
      </c>
      <c r="D163" s="259" t="n">
        <v>0.899159663865546</v>
      </c>
      <c r="E163" s="259" t="n">
        <v>0.865546218487395</v>
      </c>
      <c r="F163" s="259" t="n">
        <v>0.831932773109244</v>
      </c>
      <c r="G163" s="259" t="n">
        <v>0.798319327731093</v>
      </c>
      <c r="H163" s="226" t="n">
        <v>0.764705882352941</v>
      </c>
    </row>
    <row r="164" customFormat="false" ht="15" hidden="false" customHeight="false" outlineLevel="0" collapsed="false">
      <c r="A164" s="256"/>
      <c r="B164" s="202" t="s">
        <v>192</v>
      </c>
      <c r="C164" s="259" t="n">
        <v>0.0672268907563025</v>
      </c>
      <c r="D164" s="259" t="n">
        <v>0.100840336134454</v>
      </c>
      <c r="E164" s="259" t="n">
        <v>0.134453781512605</v>
      </c>
      <c r="F164" s="259" t="n">
        <v>0.168067226890756</v>
      </c>
      <c r="G164" s="259" t="n">
        <v>0.201680672268908</v>
      </c>
      <c r="H164" s="226" t="n">
        <v>0.235294117647059</v>
      </c>
    </row>
    <row r="165" customFormat="false" ht="15" hidden="false" customHeight="false" outlineLevel="0" collapsed="false">
      <c r="A165" s="256"/>
      <c r="B165" s="202" t="s">
        <v>374</v>
      </c>
      <c r="C165" s="259" t="n">
        <v>0</v>
      </c>
      <c r="D165" s="259" t="n">
        <v>0</v>
      </c>
      <c r="E165" s="259" t="n">
        <v>0</v>
      </c>
      <c r="F165" s="259" t="n">
        <v>0</v>
      </c>
      <c r="G165" s="259" t="n">
        <v>0</v>
      </c>
      <c r="H165" s="226" t="n">
        <v>0</v>
      </c>
    </row>
    <row r="166" customFormat="false" ht="15" hidden="false" customHeight="false" outlineLevel="0" collapsed="false">
      <c r="A166" s="256"/>
      <c r="B166" s="202" t="s">
        <v>576</v>
      </c>
      <c r="C166" s="259" t="n">
        <v>0</v>
      </c>
      <c r="D166" s="259" t="n">
        <v>0</v>
      </c>
      <c r="E166" s="259" t="n">
        <v>0</v>
      </c>
      <c r="F166" s="259" t="n">
        <v>0</v>
      </c>
      <c r="G166" s="259" t="n">
        <v>0</v>
      </c>
      <c r="H166" s="226" t="n">
        <v>0</v>
      </c>
    </row>
    <row r="167" customFormat="false" ht="15" hidden="false" customHeight="false" outlineLevel="0" collapsed="false">
      <c r="A167" s="256" t="s">
        <v>567</v>
      </c>
      <c r="B167" s="202" t="s">
        <v>575</v>
      </c>
      <c r="C167" s="259" t="n">
        <v>0.994397759103642</v>
      </c>
      <c r="D167" s="259" t="n">
        <v>0.991596638655462</v>
      </c>
      <c r="E167" s="259" t="n">
        <v>0.988795518207283</v>
      </c>
      <c r="F167" s="259" t="n">
        <v>0.985994397759104</v>
      </c>
      <c r="G167" s="259" t="n">
        <v>0.983193277310924</v>
      </c>
      <c r="H167" s="226" t="n">
        <v>0.980392156862745</v>
      </c>
    </row>
    <row r="168" customFormat="false" ht="15" hidden="false" customHeight="false" outlineLevel="0" collapsed="false">
      <c r="A168" s="256"/>
      <c r="B168" s="202" t="s">
        <v>192</v>
      </c>
      <c r="C168" s="259" t="n">
        <v>0</v>
      </c>
      <c r="D168" s="259" t="n">
        <v>0</v>
      </c>
      <c r="E168" s="259" t="n">
        <v>0</v>
      </c>
      <c r="F168" s="259" t="n">
        <v>0</v>
      </c>
      <c r="G168" s="259" t="n">
        <v>0</v>
      </c>
      <c r="H168" s="226" t="n">
        <v>0</v>
      </c>
    </row>
    <row r="169" customFormat="false" ht="15" hidden="false" customHeight="false" outlineLevel="0" collapsed="false">
      <c r="A169" s="256"/>
      <c r="B169" s="202" t="s">
        <v>374</v>
      </c>
      <c r="C169" s="259" t="n">
        <v>0.00560224089635854</v>
      </c>
      <c r="D169" s="259" t="n">
        <v>0.00840336134453782</v>
      </c>
      <c r="E169" s="259" t="n">
        <v>0.0112044817927171</v>
      </c>
      <c r="F169" s="259" t="n">
        <v>0.0140056022408964</v>
      </c>
      <c r="G169" s="259" t="n">
        <v>0.0168067226890756</v>
      </c>
      <c r="H169" s="226" t="n">
        <v>0.0196078431372549</v>
      </c>
    </row>
    <row r="170" customFormat="false" ht="15" hidden="false" customHeight="false" outlineLevel="0" collapsed="false">
      <c r="A170" s="256"/>
      <c r="B170" s="202" t="s">
        <v>576</v>
      </c>
      <c r="C170" s="259" t="n">
        <v>0</v>
      </c>
      <c r="D170" s="259" t="n">
        <v>0</v>
      </c>
      <c r="E170" s="259" t="n">
        <v>0</v>
      </c>
      <c r="F170" s="259" t="n">
        <v>0</v>
      </c>
      <c r="G170" s="259" t="n">
        <v>0</v>
      </c>
      <c r="H170" s="226" t="n">
        <v>0</v>
      </c>
    </row>
    <row r="171" customFormat="false" ht="15" hidden="false" customHeight="false" outlineLevel="0" collapsed="false">
      <c r="A171" s="201" t="s">
        <v>580</v>
      </c>
      <c r="B171" s="202" t="s">
        <v>575</v>
      </c>
      <c r="C171" s="259" t="n">
        <v>0.696621510611267</v>
      </c>
      <c r="D171" s="259" t="n">
        <v>0.564597266908706</v>
      </c>
      <c r="E171" s="259" t="n">
        <v>0.4325196526178</v>
      </c>
      <c r="F171" s="259" t="n">
        <v>0.300442038326894</v>
      </c>
      <c r="G171" s="259" t="n">
        <v>0.168364424035988</v>
      </c>
      <c r="H171" s="226" t="n">
        <v>0.0362868097450825</v>
      </c>
    </row>
    <row r="172" customFormat="false" ht="15" hidden="false" customHeight="false" outlineLevel="0" collapsed="false">
      <c r="A172" s="201"/>
      <c r="B172" s="202" t="s">
        <v>192</v>
      </c>
      <c r="C172" s="259" t="n">
        <v>0.075022347727485</v>
      </c>
      <c r="D172" s="259" t="n">
        <v>0.0930658402211721</v>
      </c>
      <c r="E172" s="259" t="n">
        <v>0.111123391308862</v>
      </c>
      <c r="F172" s="259" t="n">
        <v>0.129180942396552</v>
      </c>
      <c r="G172" s="259" t="n">
        <v>0.147238493484242</v>
      </c>
      <c r="H172" s="226" t="n">
        <v>0.165296044571933</v>
      </c>
    </row>
    <row r="173" customFormat="false" ht="15" hidden="false" customHeight="false" outlineLevel="0" collapsed="false">
      <c r="A173" s="201"/>
      <c r="B173" s="202" t="s">
        <v>374</v>
      </c>
      <c r="C173" s="259" t="n">
        <v>0.222798930718471</v>
      </c>
      <c r="D173" s="259" t="n">
        <v>0.334002638521957</v>
      </c>
      <c r="E173" s="259" t="n">
        <v>0.445244616942451</v>
      </c>
      <c r="F173" s="259" t="n">
        <v>0.556486595362946</v>
      </c>
      <c r="G173" s="259" t="n">
        <v>0.66772857378344</v>
      </c>
      <c r="H173" s="226" t="n">
        <v>0.778970552203934</v>
      </c>
    </row>
    <row r="174" customFormat="false" ht="15" hidden="false" customHeight="false" outlineLevel="0" collapsed="false">
      <c r="A174" s="201"/>
      <c r="B174" s="205" t="s">
        <v>576</v>
      </c>
      <c r="C174" s="206" t="n">
        <v>0.00555721094277666</v>
      </c>
      <c r="D174" s="206" t="n">
        <v>0.00833425434816467</v>
      </c>
      <c r="E174" s="206" t="n">
        <v>0.0111123391308862</v>
      </c>
      <c r="F174" s="206" t="n">
        <v>0.0138904239136078</v>
      </c>
      <c r="G174" s="206" t="n">
        <v>0.0166685086963293</v>
      </c>
      <c r="H174" s="207" t="n">
        <v>0.0194465934790509</v>
      </c>
    </row>
    <row r="175" s="266" customFormat="true" ht="15" hidden="false" customHeight="false" outlineLevel="0" collapsed="false"/>
    <row r="176" s="266" customFormat="true" ht="15" hidden="false" customHeight="false" outlineLevel="0" collapsed="false"/>
    <row r="177" s="266" customFormat="true" ht="17.35" hidden="false" customHeight="false" outlineLevel="0" collapsed="false">
      <c r="A177" s="265" t="s">
        <v>581</v>
      </c>
      <c r="B177" s="265"/>
      <c r="C177" s="265"/>
      <c r="D177" s="265"/>
      <c r="E177" s="265"/>
      <c r="F177" s="265"/>
      <c r="G177" s="265"/>
      <c r="H177" s="265"/>
    </row>
    <row r="178" customFormat="false" ht="15" hidden="false" customHeight="false" outlineLevel="0" collapsed="false">
      <c r="A178" s="208" t="s">
        <v>36</v>
      </c>
      <c r="B178" s="202" t="s">
        <v>36</v>
      </c>
      <c r="C178" s="203" t="n">
        <v>2025</v>
      </c>
      <c r="D178" s="203" t="n">
        <v>2030</v>
      </c>
      <c r="E178" s="203" t="n">
        <v>2035</v>
      </c>
      <c r="F178" s="203" t="n">
        <v>2040</v>
      </c>
      <c r="G178" s="203" t="n">
        <v>2045</v>
      </c>
      <c r="H178" s="204" t="n">
        <v>2050</v>
      </c>
    </row>
    <row r="179" s="266" customFormat="true" ht="15" hidden="false" customHeight="false" outlineLevel="0" collapsed="false">
      <c r="A179" s="267" t="s">
        <v>582</v>
      </c>
      <c r="B179" s="202" t="s">
        <v>583</v>
      </c>
      <c r="C179" s="342" t="s">
        <v>713</v>
      </c>
      <c r="D179" s="342" t="s">
        <v>713</v>
      </c>
      <c r="E179" s="342" t="s">
        <v>713</v>
      </c>
      <c r="F179" s="342" t="s">
        <v>713</v>
      </c>
      <c r="G179" s="342" t="s">
        <v>713</v>
      </c>
      <c r="H179" s="342" t="s">
        <v>713</v>
      </c>
    </row>
    <row r="180" s="266" customFormat="true" ht="15" hidden="false" customHeight="false" outlineLevel="0" collapsed="false">
      <c r="A180" s="267"/>
      <c r="B180" s="202" t="s">
        <v>584</v>
      </c>
      <c r="C180" s="342" t="s">
        <v>714</v>
      </c>
      <c r="D180" s="342" t="s">
        <v>715</v>
      </c>
      <c r="E180" s="342" t="s">
        <v>716</v>
      </c>
      <c r="F180" s="342" t="s">
        <v>717</v>
      </c>
      <c r="G180" s="342" t="s">
        <v>718</v>
      </c>
      <c r="H180" s="343" t="s">
        <v>719</v>
      </c>
    </row>
    <row r="181" s="266" customFormat="true" ht="15" hidden="false" customHeight="false" outlineLevel="0" collapsed="false">
      <c r="A181" s="267"/>
      <c r="B181" s="202" t="s">
        <v>585</v>
      </c>
      <c r="C181" s="342" t="s">
        <v>720</v>
      </c>
      <c r="D181" s="342" t="s">
        <v>721</v>
      </c>
      <c r="E181" s="342" t="s">
        <v>713</v>
      </c>
      <c r="F181" s="342" t="s">
        <v>713</v>
      </c>
      <c r="G181" s="342" t="s">
        <v>713</v>
      </c>
      <c r="H181" s="342" t="s">
        <v>713</v>
      </c>
    </row>
    <row r="182" s="266" customFormat="true" ht="15" hidden="false" customHeight="false" outlineLevel="0" collapsed="false">
      <c r="A182" s="267"/>
      <c r="B182" s="202" t="s">
        <v>586</v>
      </c>
      <c r="C182" s="342" t="s">
        <v>722</v>
      </c>
      <c r="D182" s="342" t="s">
        <v>715</v>
      </c>
      <c r="E182" s="342" t="s">
        <v>715</v>
      </c>
      <c r="F182" s="342" t="s">
        <v>722</v>
      </c>
      <c r="G182" s="342" t="s">
        <v>723</v>
      </c>
      <c r="H182" s="342" t="s">
        <v>714</v>
      </c>
    </row>
    <row r="183" s="266" customFormat="true" ht="15" hidden="false" customHeight="false" outlineLevel="0" collapsed="false">
      <c r="A183" s="267"/>
      <c r="B183" s="202" t="s">
        <v>587</v>
      </c>
      <c r="C183" s="342" t="s">
        <v>724</v>
      </c>
      <c r="D183" s="342" t="s">
        <v>721</v>
      </c>
      <c r="E183" s="342" t="s">
        <v>721</v>
      </c>
      <c r="F183" s="342" t="s">
        <v>721</v>
      </c>
      <c r="G183" s="342" t="s">
        <v>721</v>
      </c>
      <c r="H183" s="342" t="s">
        <v>721</v>
      </c>
    </row>
    <row r="184" s="266" customFormat="true" ht="15" hidden="false" customHeight="false" outlineLevel="0" collapsed="false">
      <c r="A184" s="267" t="s">
        <v>579</v>
      </c>
      <c r="B184" s="202" t="s">
        <v>583</v>
      </c>
      <c r="C184" s="342" t="s">
        <v>713</v>
      </c>
      <c r="D184" s="342" t="s">
        <v>713</v>
      </c>
      <c r="E184" s="342" t="s">
        <v>713</v>
      </c>
      <c r="F184" s="342" t="s">
        <v>713</v>
      </c>
      <c r="G184" s="342" t="s">
        <v>713</v>
      </c>
      <c r="H184" s="342" t="s">
        <v>713</v>
      </c>
    </row>
    <row r="185" s="266" customFormat="true" ht="15" hidden="false" customHeight="false" outlineLevel="0" collapsed="false">
      <c r="A185" s="267"/>
      <c r="B185" s="202" t="s">
        <v>584</v>
      </c>
      <c r="C185" s="342" t="s">
        <v>725</v>
      </c>
      <c r="D185" s="342" t="s">
        <v>726</v>
      </c>
      <c r="E185" s="342" t="s">
        <v>727</v>
      </c>
      <c r="F185" s="342" t="s">
        <v>727</v>
      </c>
      <c r="G185" s="342" t="s">
        <v>727</v>
      </c>
      <c r="H185" s="342" t="s">
        <v>727</v>
      </c>
    </row>
    <row r="186" s="266" customFormat="true" ht="15" hidden="false" customHeight="false" outlineLevel="0" collapsed="false">
      <c r="A186" s="267"/>
      <c r="B186" s="202" t="s">
        <v>585</v>
      </c>
      <c r="C186" s="342" t="s">
        <v>721</v>
      </c>
      <c r="D186" s="342" t="s">
        <v>713</v>
      </c>
      <c r="E186" s="342" t="s">
        <v>713</v>
      </c>
      <c r="F186" s="342" t="s">
        <v>713</v>
      </c>
      <c r="G186" s="342" t="s">
        <v>713</v>
      </c>
      <c r="H186" s="342" t="s">
        <v>713</v>
      </c>
    </row>
    <row r="187" s="266" customFormat="true" ht="15" hidden="false" customHeight="false" outlineLevel="0" collapsed="false">
      <c r="A187" s="267"/>
      <c r="B187" s="202" t="s">
        <v>586</v>
      </c>
      <c r="C187" s="342" t="s">
        <v>728</v>
      </c>
      <c r="D187" s="342" t="s">
        <v>724</v>
      </c>
      <c r="E187" s="342" t="s">
        <v>721</v>
      </c>
      <c r="F187" s="342" t="s">
        <v>721</v>
      </c>
      <c r="G187" s="342" t="s">
        <v>721</v>
      </c>
      <c r="H187" s="342" t="s">
        <v>721</v>
      </c>
    </row>
    <row r="188" s="266" customFormat="true" ht="15" hidden="false" customHeight="false" outlineLevel="0" collapsed="false">
      <c r="A188" s="267"/>
      <c r="B188" s="202" t="s">
        <v>587</v>
      </c>
      <c r="C188" s="342" t="s">
        <v>713</v>
      </c>
      <c r="D188" s="342" t="s">
        <v>713</v>
      </c>
      <c r="E188" s="342" t="s">
        <v>713</v>
      </c>
      <c r="F188" s="342" t="s">
        <v>713</v>
      </c>
      <c r="G188" s="342" t="s">
        <v>713</v>
      </c>
      <c r="H188" s="342" t="s">
        <v>713</v>
      </c>
    </row>
    <row r="189" s="266" customFormat="true" ht="15" hidden="false" customHeight="false" outlineLevel="0" collapsed="false">
      <c r="A189" s="267" t="s">
        <v>729</v>
      </c>
      <c r="B189" s="202" t="s">
        <v>583</v>
      </c>
      <c r="C189" s="342" t="s">
        <v>713</v>
      </c>
      <c r="D189" s="342" t="s">
        <v>713</v>
      </c>
      <c r="E189" s="342" t="s">
        <v>713</v>
      </c>
      <c r="F189" s="342" t="s">
        <v>713</v>
      </c>
      <c r="G189" s="342" t="s">
        <v>713</v>
      </c>
      <c r="H189" s="342" t="s">
        <v>713</v>
      </c>
    </row>
    <row r="190" s="266" customFormat="true" ht="15" hidden="false" customHeight="false" outlineLevel="0" collapsed="false">
      <c r="A190" s="267"/>
      <c r="B190" s="202" t="s">
        <v>584</v>
      </c>
      <c r="C190" s="342" t="s">
        <v>730</v>
      </c>
      <c r="D190" s="342" t="s">
        <v>731</v>
      </c>
      <c r="E190" s="342" t="s">
        <v>714</v>
      </c>
      <c r="F190" s="342" t="s">
        <v>722</v>
      </c>
      <c r="G190" s="342" t="s">
        <v>722</v>
      </c>
      <c r="H190" s="342" t="s">
        <v>722</v>
      </c>
    </row>
    <row r="191" s="266" customFormat="true" ht="15" hidden="false" customHeight="false" outlineLevel="0" collapsed="false">
      <c r="A191" s="267"/>
      <c r="B191" s="202" t="s">
        <v>585</v>
      </c>
      <c r="C191" s="342" t="s">
        <v>724</v>
      </c>
      <c r="D191" s="342" t="s">
        <v>713</v>
      </c>
      <c r="E191" s="342" t="s">
        <v>713</v>
      </c>
      <c r="F191" s="342" t="s">
        <v>713</v>
      </c>
      <c r="G191" s="342" t="s">
        <v>713</v>
      </c>
      <c r="H191" s="342" t="s">
        <v>713</v>
      </c>
    </row>
    <row r="192" s="266" customFormat="true" ht="15" hidden="false" customHeight="false" outlineLevel="0" collapsed="false">
      <c r="A192" s="267"/>
      <c r="B192" s="202" t="s">
        <v>586</v>
      </c>
      <c r="C192" s="342" t="s">
        <v>725</v>
      </c>
      <c r="D192" s="342" t="s">
        <v>725</v>
      </c>
      <c r="E192" s="342" t="s">
        <v>732</v>
      </c>
      <c r="F192" s="342" t="s">
        <v>719</v>
      </c>
      <c r="G192" s="342" t="s">
        <v>719</v>
      </c>
      <c r="H192" s="342" t="s">
        <v>719</v>
      </c>
    </row>
    <row r="193" s="266" customFormat="true" ht="15" hidden="false" customHeight="false" outlineLevel="0" collapsed="false">
      <c r="A193" s="267"/>
      <c r="B193" s="202" t="s">
        <v>587</v>
      </c>
      <c r="C193" s="342" t="s">
        <v>713</v>
      </c>
      <c r="D193" s="342" t="s">
        <v>713</v>
      </c>
      <c r="E193" s="342" t="s">
        <v>713</v>
      </c>
      <c r="F193" s="342" t="s">
        <v>713</v>
      </c>
      <c r="G193" s="342" t="s">
        <v>713</v>
      </c>
      <c r="H193" s="342" t="s">
        <v>713</v>
      </c>
    </row>
    <row r="194" s="266" customFormat="true" ht="15" hidden="false" customHeight="false" outlineLevel="0" collapsed="false"/>
    <row r="195" s="266" customFormat="true" ht="15" hidden="false" customHeight="false" outlineLevel="0" collapsed="false"/>
    <row r="196" s="266" customFormat="true" ht="15" hidden="false" customHeight="false" outlineLevel="0" collapsed="false"/>
    <row r="197" s="266" customFormat="true" ht="15" hidden="false" customHeight="false" outlineLevel="0" collapsed="false"/>
    <row r="198" s="266" customFormat="true" ht="15" hidden="false" customHeight="false" outlineLevel="0" collapsed="false"/>
    <row r="199" s="266" customFormat="true" ht="15" hidden="false" customHeight="false" outlineLevel="0" collapsed="false"/>
    <row r="200" s="266" customFormat="true" ht="15" hidden="false" customHeight="false" outlineLevel="0" collapsed="false"/>
    <row r="201" s="266" customFormat="true" ht="15" hidden="false" customHeight="false" outlineLevel="0" collapsed="false"/>
    <row r="202" s="266" customFormat="true" ht="15" hidden="false" customHeight="false" outlineLevel="0" collapsed="false">
      <c r="D202" s="344"/>
    </row>
    <row r="203" s="266" customFormat="true" ht="15" hidden="false" customHeight="false" outlineLevel="0" collapsed="false"/>
    <row r="204" s="266" customFormat="true" ht="15" hidden="false" customHeight="false" outlineLevel="0" collapsed="false"/>
    <row r="205" s="266" customFormat="true" ht="15" hidden="false" customHeight="false" outlineLevel="0" collapsed="false"/>
    <row r="206" s="266" customFormat="true" ht="15" hidden="false" customHeight="false" outlineLevel="0" collapsed="false"/>
    <row r="207" s="266" customFormat="true" ht="15" hidden="false" customHeight="false" outlineLevel="0" collapsed="false"/>
    <row r="208" s="266" customFormat="true" ht="15" hidden="false" customHeight="false" outlineLevel="0" collapsed="false"/>
    <row r="209" s="266" customFormat="true" ht="15" hidden="false" customHeight="false" outlineLevel="0" collapsed="false"/>
    <row r="210" s="266" customFormat="true" ht="15" hidden="false" customHeight="false" outlineLevel="0" collapsed="false"/>
    <row r="211" s="266" customFormat="true" ht="15" hidden="false" customHeight="false" outlineLevel="0" collapsed="false"/>
    <row r="212" s="266" customFormat="true" ht="15" hidden="false" customHeight="false" outlineLevel="0" collapsed="false"/>
    <row r="213" s="266" customFormat="true" ht="15" hidden="false" customHeight="false" outlineLevel="0" collapsed="false"/>
    <row r="214" s="266" customFormat="true" ht="15" hidden="false" customHeight="false" outlineLevel="0" collapsed="false"/>
    <row r="215" s="266" customFormat="true" ht="15" hidden="false" customHeight="false" outlineLevel="0" collapsed="false"/>
    <row r="216" s="266" customFormat="true" ht="15" hidden="false" customHeight="false" outlineLevel="0" collapsed="false"/>
    <row r="217" s="266" customFormat="true" ht="15" hidden="false" customHeight="false" outlineLevel="0" collapsed="false"/>
    <row r="218" s="266" customFormat="true" ht="15" hidden="false" customHeight="false" outlineLevel="0" collapsed="false"/>
    <row r="219" s="266" customFormat="true" ht="15" hidden="false" customHeight="false" outlineLevel="0" collapsed="false"/>
    <row r="220" s="266" customFormat="true" ht="15" hidden="false" customHeight="false" outlineLevel="0" collapsed="false"/>
    <row r="221" s="266" customFormat="true" ht="15" hidden="false" customHeight="false" outlineLevel="0" collapsed="false"/>
    <row r="222" s="266" customFormat="true" ht="15" hidden="false" customHeight="false" outlineLevel="0" collapsed="false"/>
    <row r="223" s="266" customFormat="true" ht="15" hidden="false" customHeight="false" outlineLevel="0" collapsed="false"/>
    <row r="224" s="266" customFormat="true" ht="15" hidden="false" customHeight="false" outlineLevel="0" collapsed="false"/>
    <row r="225" s="266" customFormat="true" ht="15" hidden="false" customHeight="false" outlineLevel="0" collapsed="false"/>
    <row r="226" s="266" customFormat="true" ht="15" hidden="false" customHeight="false" outlineLevel="0" collapsed="false"/>
    <row r="227" s="266" customFormat="true" ht="15" hidden="false" customHeight="false" outlineLevel="0" collapsed="false"/>
    <row r="228" s="266" customFormat="true" ht="15" hidden="false" customHeight="false" outlineLevel="0" collapsed="false"/>
    <row r="229" s="266" customFormat="true" ht="15" hidden="false" customHeight="false" outlineLevel="0" collapsed="false"/>
    <row r="230" s="266" customFormat="true" ht="15" hidden="false" customHeight="false" outlineLevel="0" collapsed="false"/>
    <row r="231" s="266" customFormat="true" ht="15" hidden="false" customHeight="false" outlineLevel="0" collapsed="false"/>
    <row r="232" s="266" customFormat="true" ht="15" hidden="false" customHeight="false" outlineLevel="0" collapsed="false"/>
    <row r="233" s="266" customFormat="true" ht="15" hidden="false" customHeight="false" outlineLevel="0" collapsed="false"/>
    <row r="234" s="266" customFormat="true" ht="15" hidden="false" customHeight="false" outlineLevel="0" collapsed="false"/>
    <row r="235" s="266" customFormat="true" ht="15" hidden="false" customHeight="false" outlineLevel="0" collapsed="false"/>
    <row r="236" s="266" customFormat="true" ht="15" hidden="false" customHeight="false" outlineLevel="0" collapsed="false"/>
    <row r="237" s="266" customFormat="true" ht="15" hidden="false" customHeight="false" outlineLevel="0" collapsed="false"/>
    <row r="238" s="266" customFormat="true" ht="16.5" hidden="false" customHeight="true" outlineLevel="0" collapsed="false"/>
    <row r="239" customFormat="false" ht="15" hidden="false" customHeight="true" outlineLevel="0" collapsed="false"/>
    <row r="240" customFormat="false" ht="21.75" hidden="false" customHeight="true" outlineLevel="0" collapsed="false">
      <c r="A240" s="199" t="s">
        <v>590</v>
      </c>
    </row>
    <row r="241" customFormat="false" ht="17.35" hidden="false" customHeight="false" outlineLevel="0" collapsed="false">
      <c r="A241" s="200" t="s">
        <v>317</v>
      </c>
      <c r="B241" s="200"/>
      <c r="C241" s="200"/>
      <c r="D241" s="200"/>
      <c r="E241" s="200"/>
    </row>
    <row r="242" customFormat="false" ht="85.5" hidden="false" customHeight="true" outlineLevel="0" collapsed="false">
      <c r="A242" s="268" t="s">
        <v>318</v>
      </c>
      <c r="B242" s="268"/>
      <c r="C242" s="268"/>
      <c r="D242" s="268"/>
      <c r="E242" s="268"/>
    </row>
    <row r="243" s="78" customFormat="true" ht="15" hidden="false" customHeight="true" outlineLevel="0" collapsed="false">
      <c r="G243" s="78" t="s">
        <v>591</v>
      </c>
      <c r="H243" s="78" t="n">
        <v>2025</v>
      </c>
      <c r="I243" s="78" t="n">
        <v>2030</v>
      </c>
      <c r="J243" s="78" t="n">
        <v>2035</v>
      </c>
      <c r="K243" s="78" t="n">
        <v>2040</v>
      </c>
      <c r="L243" s="78" t="n">
        <v>2045</v>
      </c>
      <c r="M243" s="78" t="n">
        <v>2050</v>
      </c>
    </row>
    <row r="244" customFormat="false" ht="13.5" hidden="false" customHeight="true" outlineLevel="0" collapsed="false">
      <c r="A244" s="269" t="s">
        <v>319</v>
      </c>
      <c r="B244" s="270" t="s">
        <v>320</v>
      </c>
      <c r="C244" s="271" t="n">
        <v>3</v>
      </c>
      <c r="D244" s="78"/>
      <c r="F244" s="78"/>
      <c r="G244" s="78" t="s">
        <v>592</v>
      </c>
      <c r="H244" s="78" t="n">
        <v>0.11765198</v>
      </c>
      <c r="I244" s="78" t="n">
        <v>0.09412158</v>
      </c>
      <c r="J244" s="78" t="n">
        <v>0.07059119</v>
      </c>
      <c r="K244" s="149" t="n">
        <v>0.04706079</v>
      </c>
      <c r="L244" s="149" t="n">
        <v>0.02353039</v>
      </c>
      <c r="M244" s="78" t="n">
        <v>0</v>
      </c>
      <c r="N244" s="78"/>
    </row>
    <row r="245" customFormat="false" ht="15.75" hidden="false" customHeight="false" outlineLevel="0" collapsed="false">
      <c r="A245" s="269"/>
      <c r="B245" s="202" t="s">
        <v>321</v>
      </c>
      <c r="C245" s="271"/>
      <c r="D245" s="151"/>
      <c r="E245" s="151"/>
      <c r="F245" s="151"/>
      <c r="G245" s="151" t="s">
        <v>593</v>
      </c>
      <c r="H245" s="151" t="n">
        <v>0</v>
      </c>
      <c r="I245" s="151" t="n">
        <v>0</v>
      </c>
      <c r="J245" s="151" t="n">
        <v>0</v>
      </c>
      <c r="K245" s="151" t="n">
        <v>0</v>
      </c>
      <c r="L245" s="151" t="n">
        <v>0</v>
      </c>
      <c r="M245" s="151" t="n">
        <v>0</v>
      </c>
      <c r="N245" s="151"/>
    </row>
    <row r="246" customFormat="false" ht="28.5" hidden="false" customHeight="true" outlineLevel="0" collapsed="false">
      <c r="A246" s="269"/>
      <c r="B246" s="205" t="s">
        <v>322</v>
      </c>
      <c r="C246" s="271"/>
      <c r="D246" s="78"/>
      <c r="E246" s="78"/>
      <c r="F246" s="78"/>
      <c r="G246" s="78" t="s">
        <v>594</v>
      </c>
      <c r="H246" s="78" t="n">
        <v>0.88234802</v>
      </c>
      <c r="I246" s="78" t="n">
        <v>0.90587842</v>
      </c>
      <c r="J246" s="78" t="n">
        <v>0.92940881</v>
      </c>
      <c r="K246" s="78" t="n">
        <v>0.95293921</v>
      </c>
      <c r="L246" s="78" t="n">
        <v>0.97646961</v>
      </c>
      <c r="M246" s="78" t="n">
        <v>1</v>
      </c>
      <c r="N246" s="78"/>
    </row>
    <row r="247" customFormat="false" ht="15" hidden="false" customHeight="false" outlineLevel="0" collapsed="false">
      <c r="G247" s="1" t="s">
        <v>595</v>
      </c>
      <c r="H247" s="1" t="n">
        <v>0</v>
      </c>
      <c r="I247" s="1" t="n">
        <v>0</v>
      </c>
      <c r="J247" s="1" t="n">
        <v>0</v>
      </c>
      <c r="K247" s="1" t="n">
        <v>0</v>
      </c>
      <c r="L247" s="1" t="n">
        <v>0</v>
      </c>
      <c r="M247" s="1" t="n">
        <v>0</v>
      </c>
    </row>
    <row r="248" customFormat="false" ht="15.75" hidden="false" customHeight="true" outlineLevel="0" collapsed="false">
      <c r="A248" s="200" t="s">
        <v>323</v>
      </c>
      <c r="B248" s="200"/>
      <c r="C248" s="200"/>
    </row>
    <row r="249" customFormat="false" ht="15" hidden="false" customHeight="false" outlineLevel="0" collapsed="false">
      <c r="A249" s="208" t="s">
        <v>324</v>
      </c>
      <c r="B249" s="202" t="s">
        <v>28</v>
      </c>
      <c r="C249" s="204" t="n">
        <v>0.3</v>
      </c>
    </row>
    <row r="250" customFormat="false" ht="30.75" hidden="false" customHeight="false" outlineLevel="0" collapsed="false">
      <c r="A250" s="272" t="s">
        <v>326</v>
      </c>
      <c r="B250" s="205" t="s">
        <v>327</v>
      </c>
      <c r="C250" s="248" t="n">
        <v>0.031</v>
      </c>
    </row>
    <row r="251" customFormat="false" ht="15.75" hidden="false" customHeight="true" outlineLevel="0" collapsed="false">
      <c r="A251" s="239" t="s">
        <v>596</v>
      </c>
      <c r="B251" s="239"/>
      <c r="C251" s="273" t="s">
        <v>580</v>
      </c>
      <c r="D251" s="273" t="s">
        <v>597</v>
      </c>
      <c r="E251" s="273" t="s">
        <v>598</v>
      </c>
      <c r="F251" s="273" t="s">
        <v>599</v>
      </c>
      <c r="G251" s="273" t="s">
        <v>600</v>
      </c>
      <c r="H251" s="273" t="s">
        <v>601</v>
      </c>
      <c r="I251" s="273" t="s">
        <v>602</v>
      </c>
      <c r="J251" s="273" t="s">
        <v>603</v>
      </c>
      <c r="K251" s="273" t="s">
        <v>354</v>
      </c>
      <c r="L251" s="273" t="s">
        <v>369</v>
      </c>
      <c r="M251" s="273" t="s">
        <v>604</v>
      </c>
      <c r="N251" s="273" t="s">
        <v>605</v>
      </c>
      <c r="O251" s="273" t="s">
        <v>606</v>
      </c>
      <c r="P251" s="273" t="s">
        <v>607</v>
      </c>
      <c r="Q251" s="274" t="s">
        <v>608</v>
      </c>
      <c r="R251" s="274" t="s">
        <v>609</v>
      </c>
      <c r="S251" s="274" t="s">
        <v>610</v>
      </c>
      <c r="T251" s="274" t="s">
        <v>611</v>
      </c>
      <c r="U251" s="274" t="s">
        <v>612</v>
      </c>
      <c r="V251" s="274" t="s">
        <v>613</v>
      </c>
      <c r="W251" s="274" t="s">
        <v>614</v>
      </c>
      <c r="X251" s="274" t="s">
        <v>615</v>
      </c>
      <c r="Y251" s="274" t="s">
        <v>616</v>
      </c>
      <c r="Z251" s="274" t="s">
        <v>617</v>
      </c>
      <c r="AA251" s="274" t="s">
        <v>618</v>
      </c>
      <c r="AB251" s="274" t="s">
        <v>619</v>
      </c>
      <c r="AC251" s="274" t="s">
        <v>620</v>
      </c>
      <c r="AD251" s="274" t="s">
        <v>621</v>
      </c>
      <c r="AE251" s="1" t="s">
        <v>622</v>
      </c>
      <c r="AF251" s="1" t="s">
        <v>623</v>
      </c>
      <c r="AG251" s="1" t="s">
        <v>624</v>
      </c>
      <c r="AH251" s="1" t="s">
        <v>625</v>
      </c>
      <c r="AI251" s="1" t="s">
        <v>626</v>
      </c>
      <c r="AJ251" s="1" t="s">
        <v>627</v>
      </c>
      <c r="AK251" s="1" t="s">
        <v>628</v>
      </c>
      <c r="AL251" s="1" t="s">
        <v>629</v>
      </c>
      <c r="AM251" s="1" t="s">
        <v>630</v>
      </c>
      <c r="AN251" s="1" t="s">
        <v>631</v>
      </c>
      <c r="AO251" s="1" t="s">
        <v>632</v>
      </c>
      <c r="AP251" s="1" t="s">
        <v>633</v>
      </c>
      <c r="AQ251" s="1" t="s">
        <v>634</v>
      </c>
      <c r="AR251" s="1" t="s">
        <v>635</v>
      </c>
      <c r="AS251" s="1" t="s">
        <v>636</v>
      </c>
      <c r="AT251" s="1" t="s">
        <v>637</v>
      </c>
      <c r="AU251" s="1" t="s">
        <v>638</v>
      </c>
      <c r="AV251" s="1" t="s">
        <v>639</v>
      </c>
      <c r="AW251" s="1" t="s">
        <v>640</v>
      </c>
      <c r="AX251" s="1" t="s">
        <v>641</v>
      </c>
      <c r="AY251" s="1" t="s">
        <v>642</v>
      </c>
      <c r="AZ251" s="1" t="s">
        <v>643</v>
      </c>
    </row>
    <row r="252" customFormat="false" ht="15" hidden="false" customHeight="false" outlineLevel="0" collapsed="false">
      <c r="A252" s="275" t="s">
        <v>374</v>
      </c>
      <c r="B252" s="275"/>
      <c r="C252" s="276" t="n">
        <v>2030</v>
      </c>
      <c r="D252" s="276" t="n">
        <v>2030</v>
      </c>
      <c r="E252" s="276" t="n">
        <v>2030</v>
      </c>
      <c r="F252" s="276" t="n">
        <v>2030</v>
      </c>
      <c r="G252" s="276" t="n">
        <v>2030</v>
      </c>
      <c r="H252" s="276" t="n">
        <v>2030</v>
      </c>
      <c r="I252" s="276" t="n">
        <v>2030</v>
      </c>
      <c r="J252" s="276" t="n">
        <v>2030</v>
      </c>
      <c r="K252" s="276" t="n">
        <v>2030</v>
      </c>
      <c r="L252" s="276" t="n">
        <v>2030</v>
      </c>
      <c r="M252" s="276" t="n">
        <v>2030</v>
      </c>
      <c r="N252" s="276" t="n">
        <v>2030</v>
      </c>
      <c r="O252" s="276" t="n">
        <v>2030</v>
      </c>
      <c r="P252" s="276" t="n">
        <v>2030</v>
      </c>
      <c r="Q252" s="277" t="n">
        <v>2030</v>
      </c>
      <c r="R252" s="277" t="n">
        <v>2030</v>
      </c>
      <c r="S252" s="277" t="n">
        <v>2030</v>
      </c>
      <c r="T252" s="277" t="n">
        <v>2030</v>
      </c>
      <c r="U252" s="277" t="n">
        <v>2030</v>
      </c>
      <c r="V252" s="277" t="n">
        <v>2030</v>
      </c>
      <c r="W252" s="277" t="n">
        <v>2030</v>
      </c>
      <c r="X252" s="277" t="n">
        <v>2030</v>
      </c>
      <c r="Y252" s="277" t="n">
        <v>2030</v>
      </c>
      <c r="Z252" s="277" t="n">
        <v>2030</v>
      </c>
      <c r="AA252" s="277" t="n">
        <v>2030</v>
      </c>
      <c r="AB252" s="277" t="n">
        <v>2030</v>
      </c>
      <c r="AC252" s="277" t="n">
        <v>2030</v>
      </c>
      <c r="AD252" s="277" t="n">
        <v>2030</v>
      </c>
      <c r="AE252" s="277" t="n">
        <v>2030</v>
      </c>
      <c r="AF252" s="277" t="n">
        <v>2030</v>
      </c>
      <c r="AG252" s="277" t="n">
        <v>2030</v>
      </c>
      <c r="AH252" s="277" t="n">
        <v>2030</v>
      </c>
      <c r="AI252" s="277" t="n">
        <v>2030</v>
      </c>
      <c r="AJ252" s="277" t="n">
        <v>2030</v>
      </c>
      <c r="AK252" s="277" t="n">
        <v>2030</v>
      </c>
      <c r="AL252" s="277" t="n">
        <v>2030</v>
      </c>
      <c r="AM252" s="277" t="n">
        <v>2030</v>
      </c>
      <c r="AN252" s="277" t="n">
        <v>2030</v>
      </c>
      <c r="AO252" s="277" t="n">
        <v>2030</v>
      </c>
      <c r="AP252" s="277" t="n">
        <v>2030</v>
      </c>
      <c r="AQ252" s="277" t="n">
        <v>2030</v>
      </c>
      <c r="AR252" s="277" t="n">
        <v>2030</v>
      </c>
      <c r="AS252" s="277" t="n">
        <v>2030</v>
      </c>
      <c r="AT252" s="277" t="n">
        <v>2030</v>
      </c>
      <c r="AU252" s="277" t="n">
        <v>2030</v>
      </c>
      <c r="AV252" s="277" t="n">
        <v>2030</v>
      </c>
      <c r="AW252" s="277" t="n">
        <v>2030</v>
      </c>
      <c r="AX252" s="277" t="n">
        <v>2030</v>
      </c>
      <c r="AY252" s="277" t="n">
        <v>2030</v>
      </c>
      <c r="AZ252" s="277" t="n">
        <v>2030</v>
      </c>
    </row>
    <row r="253" customFormat="false" ht="15" hidden="false" customHeight="false" outlineLevel="0" collapsed="false">
      <c r="A253" s="275" t="s">
        <v>375</v>
      </c>
      <c r="B253" s="275"/>
      <c r="C253" s="276" t="n">
        <v>2030</v>
      </c>
      <c r="D253" s="276" t="n">
        <v>2030</v>
      </c>
      <c r="E253" s="276" t="n">
        <v>2030</v>
      </c>
      <c r="F253" s="276" t="n">
        <v>2030</v>
      </c>
      <c r="G253" s="276" t="n">
        <v>2030</v>
      </c>
      <c r="H253" s="276" t="n">
        <v>2030</v>
      </c>
      <c r="I253" s="276" t="n">
        <v>2030</v>
      </c>
      <c r="J253" s="276" t="n">
        <v>2030</v>
      </c>
      <c r="K253" s="276" t="n">
        <v>2030</v>
      </c>
      <c r="L253" s="276" t="n">
        <v>2030</v>
      </c>
      <c r="M253" s="276" t="n">
        <v>2030</v>
      </c>
      <c r="N253" s="276" t="n">
        <v>2030</v>
      </c>
      <c r="O253" s="276" t="n">
        <v>2030</v>
      </c>
      <c r="P253" s="276" t="n">
        <v>2030</v>
      </c>
      <c r="Q253" s="277" t="n">
        <v>2030</v>
      </c>
      <c r="R253" s="277" t="n">
        <v>2030</v>
      </c>
      <c r="S253" s="277" t="n">
        <v>2030</v>
      </c>
      <c r="T253" s="277" t="n">
        <v>2030</v>
      </c>
      <c r="U253" s="277" t="n">
        <v>2030</v>
      </c>
      <c r="V253" s="277" t="n">
        <v>2030</v>
      </c>
      <c r="W253" s="277" t="n">
        <v>2030</v>
      </c>
      <c r="X253" s="277" t="n">
        <v>2030</v>
      </c>
      <c r="Y253" s="277" t="n">
        <v>2030</v>
      </c>
      <c r="Z253" s="277" t="n">
        <v>2030</v>
      </c>
      <c r="AA253" s="277" t="n">
        <v>2030</v>
      </c>
      <c r="AB253" s="277" t="n">
        <v>2030</v>
      </c>
      <c r="AC253" s="277" t="n">
        <v>2030</v>
      </c>
      <c r="AD253" s="277" t="n">
        <v>2030</v>
      </c>
      <c r="AE253" s="277" t="n">
        <v>2030</v>
      </c>
      <c r="AF253" s="277" t="n">
        <v>2030</v>
      </c>
      <c r="AG253" s="277" t="n">
        <v>2030</v>
      </c>
      <c r="AH253" s="277" t="n">
        <v>2030</v>
      </c>
      <c r="AI253" s="277" t="n">
        <v>2030</v>
      </c>
      <c r="AJ253" s="277" t="n">
        <v>2030</v>
      </c>
      <c r="AK253" s="277" t="n">
        <v>2030</v>
      </c>
      <c r="AL253" s="277" t="n">
        <v>2030</v>
      </c>
      <c r="AM253" s="277" t="n">
        <v>2030</v>
      </c>
      <c r="AN253" s="277" t="n">
        <v>2030</v>
      </c>
      <c r="AO253" s="277" t="n">
        <v>2030</v>
      </c>
      <c r="AP253" s="277" t="n">
        <v>2030</v>
      </c>
      <c r="AQ253" s="277" t="n">
        <v>2030</v>
      </c>
      <c r="AR253" s="277" t="n">
        <v>2030</v>
      </c>
      <c r="AS253" s="277" t="n">
        <v>2030</v>
      </c>
      <c r="AT253" s="277" t="n">
        <v>2030</v>
      </c>
      <c r="AU253" s="277" t="n">
        <v>2030</v>
      </c>
      <c r="AV253" s="277" t="n">
        <v>2030</v>
      </c>
      <c r="AW253" s="277" t="n">
        <v>2030</v>
      </c>
      <c r="AX253" s="277" t="n">
        <v>2030</v>
      </c>
      <c r="AY253" s="277" t="n">
        <v>2030</v>
      </c>
      <c r="AZ253" s="277" t="n">
        <v>2030</v>
      </c>
    </row>
    <row r="254" customFormat="false" ht="15" hidden="false" customHeight="false" outlineLevel="0" collapsed="false">
      <c r="A254" s="275" t="s">
        <v>376</v>
      </c>
      <c r="B254" s="275"/>
      <c r="C254" s="276" t="n">
        <v>2030</v>
      </c>
      <c r="D254" s="276" t="n">
        <v>2030</v>
      </c>
      <c r="E254" s="276" t="n">
        <v>2030</v>
      </c>
      <c r="F254" s="276" t="n">
        <v>2030</v>
      </c>
      <c r="G254" s="276" t="n">
        <v>2030</v>
      </c>
      <c r="H254" s="276" t="n">
        <v>2030</v>
      </c>
      <c r="I254" s="276" t="n">
        <v>2030</v>
      </c>
      <c r="J254" s="276" t="n">
        <v>2030</v>
      </c>
      <c r="K254" s="276" t="n">
        <v>2030</v>
      </c>
      <c r="L254" s="276" t="n">
        <v>2030</v>
      </c>
      <c r="M254" s="276" t="n">
        <v>2030</v>
      </c>
      <c r="N254" s="276" t="n">
        <v>2030</v>
      </c>
      <c r="O254" s="276" t="n">
        <v>2030</v>
      </c>
      <c r="P254" s="276" t="n">
        <v>2030</v>
      </c>
      <c r="Q254" s="277" t="n">
        <v>2030</v>
      </c>
      <c r="R254" s="277" t="n">
        <v>2030</v>
      </c>
      <c r="S254" s="277" t="n">
        <v>2030</v>
      </c>
      <c r="T254" s="277" t="n">
        <v>2030</v>
      </c>
      <c r="U254" s="277" t="n">
        <v>2030</v>
      </c>
      <c r="V254" s="277" t="n">
        <v>2030</v>
      </c>
      <c r="W254" s="277" t="n">
        <v>2030</v>
      </c>
      <c r="X254" s="277" t="n">
        <v>2030</v>
      </c>
      <c r="Y254" s="277" t="n">
        <v>2030</v>
      </c>
      <c r="Z254" s="277" t="n">
        <v>2030</v>
      </c>
      <c r="AA254" s="277" t="n">
        <v>2030</v>
      </c>
      <c r="AB254" s="277" t="n">
        <v>2030</v>
      </c>
      <c r="AC254" s="277" t="n">
        <v>2030</v>
      </c>
      <c r="AD254" s="277" t="n">
        <v>2030</v>
      </c>
      <c r="AE254" s="277" t="n">
        <v>2030</v>
      </c>
      <c r="AF254" s="277" t="n">
        <v>2030</v>
      </c>
      <c r="AG254" s="277" t="n">
        <v>2030</v>
      </c>
      <c r="AH254" s="277" t="n">
        <v>2030</v>
      </c>
      <c r="AI254" s="277" t="n">
        <v>2030</v>
      </c>
      <c r="AJ254" s="277" t="n">
        <v>2030</v>
      </c>
      <c r="AK254" s="277" t="n">
        <v>2030</v>
      </c>
      <c r="AL254" s="277" t="n">
        <v>2030</v>
      </c>
      <c r="AM254" s="277" t="n">
        <v>2030</v>
      </c>
      <c r="AN254" s="277" t="n">
        <v>2030</v>
      </c>
      <c r="AO254" s="277" t="n">
        <v>2030</v>
      </c>
      <c r="AP254" s="277" t="n">
        <v>2030</v>
      </c>
      <c r="AQ254" s="277" t="n">
        <v>2030</v>
      </c>
      <c r="AR254" s="277" t="n">
        <v>2030</v>
      </c>
      <c r="AS254" s="277" t="n">
        <v>2030</v>
      </c>
      <c r="AT254" s="277" t="n">
        <v>2030</v>
      </c>
      <c r="AU254" s="277" t="n">
        <v>2030</v>
      </c>
      <c r="AV254" s="277" t="n">
        <v>2030</v>
      </c>
      <c r="AW254" s="277" t="n">
        <v>2030</v>
      </c>
      <c r="AX254" s="277" t="n">
        <v>2030</v>
      </c>
      <c r="AY254" s="277" t="n">
        <v>2030</v>
      </c>
      <c r="AZ254" s="277" t="n">
        <v>2030</v>
      </c>
    </row>
    <row r="255" customFormat="false" ht="15" hidden="false" customHeight="false" outlineLevel="0" collapsed="false">
      <c r="A255" s="275" t="s">
        <v>377</v>
      </c>
      <c r="B255" s="275"/>
      <c r="C255" s="276" t="n">
        <v>2030</v>
      </c>
      <c r="D255" s="276" t="n">
        <v>2030</v>
      </c>
      <c r="E255" s="276" t="n">
        <v>2030</v>
      </c>
      <c r="F255" s="276" t="n">
        <v>2030</v>
      </c>
      <c r="G255" s="276" t="n">
        <v>2030</v>
      </c>
      <c r="H255" s="276" t="n">
        <v>2030</v>
      </c>
      <c r="I255" s="276" t="n">
        <v>2030</v>
      </c>
      <c r="J255" s="276" t="n">
        <v>2030</v>
      </c>
      <c r="K255" s="276" t="n">
        <v>2030</v>
      </c>
      <c r="L255" s="276" t="n">
        <v>2030</v>
      </c>
      <c r="M255" s="276" t="n">
        <v>2030</v>
      </c>
      <c r="N255" s="276" t="n">
        <v>2030</v>
      </c>
      <c r="O255" s="276" t="n">
        <v>2030</v>
      </c>
      <c r="P255" s="276" t="n">
        <v>2030</v>
      </c>
      <c r="Q255" s="277" t="n">
        <v>2030</v>
      </c>
      <c r="R255" s="277" t="n">
        <v>2030</v>
      </c>
      <c r="S255" s="277" t="n">
        <v>2030</v>
      </c>
      <c r="T255" s="277" t="n">
        <v>2030</v>
      </c>
      <c r="U255" s="277" t="n">
        <v>2030</v>
      </c>
      <c r="V255" s="277" t="n">
        <v>2030</v>
      </c>
      <c r="W255" s="277" t="n">
        <v>2030</v>
      </c>
      <c r="X255" s="277" t="n">
        <v>2030</v>
      </c>
      <c r="Y255" s="277" t="n">
        <v>2030</v>
      </c>
      <c r="Z255" s="277" t="n">
        <v>2030</v>
      </c>
      <c r="AA255" s="277" t="n">
        <v>2030</v>
      </c>
      <c r="AB255" s="277" t="n">
        <v>2030</v>
      </c>
      <c r="AC255" s="277" t="n">
        <v>2030</v>
      </c>
      <c r="AD255" s="277" t="n">
        <v>2030</v>
      </c>
      <c r="AE255" s="277" t="n">
        <v>2030</v>
      </c>
      <c r="AF255" s="277" t="n">
        <v>2030</v>
      </c>
      <c r="AG255" s="277" t="n">
        <v>2030</v>
      </c>
      <c r="AH255" s="277" t="n">
        <v>2030</v>
      </c>
      <c r="AI255" s="277" t="n">
        <v>2030</v>
      </c>
      <c r="AJ255" s="277" t="n">
        <v>2030</v>
      </c>
      <c r="AK255" s="277" t="n">
        <v>2030</v>
      </c>
      <c r="AL255" s="277" t="n">
        <v>2030</v>
      </c>
      <c r="AM255" s="277" t="n">
        <v>2030</v>
      </c>
      <c r="AN255" s="277" t="n">
        <v>2030</v>
      </c>
      <c r="AO255" s="277" t="n">
        <v>2030</v>
      </c>
      <c r="AP255" s="277" t="n">
        <v>2030</v>
      </c>
      <c r="AQ255" s="277" t="n">
        <v>2030</v>
      </c>
      <c r="AR255" s="277" t="n">
        <v>2030</v>
      </c>
      <c r="AS255" s="277" t="n">
        <v>2030</v>
      </c>
      <c r="AT255" s="277" t="n">
        <v>2030</v>
      </c>
      <c r="AU255" s="277" t="n">
        <v>2030</v>
      </c>
      <c r="AV255" s="277" t="n">
        <v>2030</v>
      </c>
      <c r="AW255" s="277" t="n">
        <v>2030</v>
      </c>
      <c r="AX255" s="277" t="n">
        <v>2030</v>
      </c>
      <c r="AY255" s="277" t="n">
        <v>2030</v>
      </c>
      <c r="AZ255" s="277" t="n">
        <v>2030</v>
      </c>
    </row>
    <row r="256" customFormat="false" ht="15" hidden="false" customHeight="false" outlineLevel="0" collapsed="false">
      <c r="A256" s="275" t="s">
        <v>378</v>
      </c>
      <c r="B256" s="275"/>
      <c r="C256" s="276" t="n">
        <v>2030</v>
      </c>
      <c r="D256" s="276" t="n">
        <v>2030</v>
      </c>
      <c r="E256" s="276" t="n">
        <v>2030</v>
      </c>
      <c r="F256" s="276" t="n">
        <v>2030</v>
      </c>
      <c r="G256" s="276" t="n">
        <v>2030</v>
      </c>
      <c r="H256" s="276" t="n">
        <v>2030</v>
      </c>
      <c r="I256" s="276" t="n">
        <v>2030</v>
      </c>
      <c r="J256" s="276" t="n">
        <v>2030</v>
      </c>
      <c r="K256" s="276" t="n">
        <v>2030</v>
      </c>
      <c r="L256" s="276" t="n">
        <v>2030</v>
      </c>
      <c r="M256" s="276" t="n">
        <v>2030</v>
      </c>
      <c r="N256" s="276" t="n">
        <v>2030</v>
      </c>
      <c r="O256" s="276" t="n">
        <v>2030</v>
      </c>
      <c r="P256" s="276" t="n">
        <v>2030</v>
      </c>
      <c r="Q256" s="277" t="n">
        <v>2030</v>
      </c>
      <c r="R256" s="277" t="n">
        <v>2030</v>
      </c>
      <c r="S256" s="277" t="n">
        <v>2030</v>
      </c>
      <c r="T256" s="277" t="n">
        <v>2030</v>
      </c>
      <c r="U256" s="277" t="n">
        <v>2030</v>
      </c>
      <c r="V256" s="277" t="n">
        <v>2030</v>
      </c>
      <c r="W256" s="277" t="n">
        <v>2030</v>
      </c>
      <c r="X256" s="277" t="n">
        <v>2030</v>
      </c>
      <c r="Y256" s="277" t="n">
        <v>2030</v>
      </c>
      <c r="Z256" s="277" t="n">
        <v>2030</v>
      </c>
      <c r="AA256" s="277" t="n">
        <v>2030</v>
      </c>
      <c r="AB256" s="277" t="n">
        <v>2030</v>
      </c>
      <c r="AC256" s="277" t="n">
        <v>2030</v>
      </c>
      <c r="AD256" s="277" t="n">
        <v>2030</v>
      </c>
      <c r="AE256" s="277" t="n">
        <v>2030</v>
      </c>
      <c r="AF256" s="277" t="n">
        <v>2030</v>
      </c>
      <c r="AG256" s="277" t="n">
        <v>2030</v>
      </c>
      <c r="AH256" s="277" t="n">
        <v>2030</v>
      </c>
      <c r="AI256" s="277" t="n">
        <v>2030</v>
      </c>
      <c r="AJ256" s="277" t="n">
        <v>2030</v>
      </c>
      <c r="AK256" s="277" t="n">
        <v>2030</v>
      </c>
      <c r="AL256" s="277" t="n">
        <v>2030</v>
      </c>
      <c r="AM256" s="277" t="n">
        <v>2030</v>
      </c>
      <c r="AN256" s="277" t="n">
        <v>2030</v>
      </c>
      <c r="AO256" s="277" t="n">
        <v>2030</v>
      </c>
      <c r="AP256" s="277" t="n">
        <v>2030</v>
      </c>
      <c r="AQ256" s="277" t="n">
        <v>2030</v>
      </c>
      <c r="AR256" s="277" t="n">
        <v>2030</v>
      </c>
      <c r="AS256" s="277" t="n">
        <v>2030</v>
      </c>
      <c r="AT256" s="277" t="n">
        <v>2030</v>
      </c>
      <c r="AU256" s="277" t="n">
        <v>2030</v>
      </c>
      <c r="AV256" s="277" t="n">
        <v>2030</v>
      </c>
      <c r="AW256" s="277" t="n">
        <v>2030</v>
      </c>
      <c r="AX256" s="277" t="n">
        <v>2030</v>
      </c>
      <c r="AY256" s="277" t="n">
        <v>2030</v>
      </c>
      <c r="AZ256" s="277" t="n">
        <v>2030</v>
      </c>
    </row>
    <row r="257" customFormat="false" ht="15.75" hidden="false" customHeight="true" outlineLevel="0" collapsed="false">
      <c r="A257" s="200" t="s">
        <v>644</v>
      </c>
      <c r="B257" s="200"/>
      <c r="C257" s="200"/>
      <c r="D257" s="200"/>
      <c r="E257" s="200"/>
      <c r="F257" s="200"/>
      <c r="G257" s="200"/>
      <c r="H257" s="200"/>
      <c r="I257" s="200"/>
      <c r="J257" s="200"/>
      <c r="K257" s="200"/>
      <c r="L257" s="200"/>
      <c r="M257" s="200"/>
      <c r="N257" s="200"/>
      <c r="O257" s="200"/>
      <c r="P257" s="200"/>
      <c r="Q257" s="200"/>
    </row>
    <row r="258" customFormat="false" ht="15" hidden="false" customHeight="false" outlineLevel="0" collapsed="false">
      <c r="A258" s="275" t="s">
        <v>374</v>
      </c>
      <c r="B258" s="275"/>
      <c r="C258" s="276" t="n">
        <v>1</v>
      </c>
      <c r="D258" s="276" t="n">
        <v>1</v>
      </c>
      <c r="E258" s="276" t="n">
        <v>1</v>
      </c>
      <c r="F258" s="276" t="n">
        <v>1</v>
      </c>
      <c r="G258" s="276" t="n">
        <v>1</v>
      </c>
      <c r="H258" s="276" t="n">
        <v>1</v>
      </c>
      <c r="I258" s="276" t="n">
        <v>1</v>
      </c>
      <c r="J258" s="276" t="n">
        <v>1</v>
      </c>
      <c r="K258" s="276" t="n">
        <v>1</v>
      </c>
      <c r="L258" s="276" t="n">
        <v>1</v>
      </c>
      <c r="M258" s="276" t="n">
        <v>1</v>
      </c>
      <c r="N258" s="276" t="n">
        <v>1</v>
      </c>
      <c r="O258" s="276" t="n">
        <v>1</v>
      </c>
      <c r="P258" s="276" t="n">
        <v>1</v>
      </c>
      <c r="Q258" s="277" t="n">
        <v>1</v>
      </c>
      <c r="R258" s="277" t="n">
        <v>1</v>
      </c>
      <c r="S258" s="277" t="n">
        <v>1</v>
      </c>
      <c r="T258" s="277" t="n">
        <v>1</v>
      </c>
      <c r="U258" s="277" t="n">
        <v>1</v>
      </c>
      <c r="V258" s="277" t="n">
        <v>1</v>
      </c>
      <c r="W258" s="277" t="n">
        <v>1</v>
      </c>
      <c r="X258" s="277" t="n">
        <v>1</v>
      </c>
      <c r="Y258" s="277" t="n">
        <v>1</v>
      </c>
      <c r="Z258" s="277" t="n">
        <v>1</v>
      </c>
      <c r="AA258" s="277" t="n">
        <v>1</v>
      </c>
      <c r="AB258" s="277" t="n">
        <v>1</v>
      </c>
      <c r="AC258" s="277" t="n">
        <v>1</v>
      </c>
      <c r="AD258" s="277" t="n">
        <v>1</v>
      </c>
      <c r="AE258" s="277" t="n">
        <v>1</v>
      </c>
      <c r="AF258" s="277" t="n">
        <v>1</v>
      </c>
      <c r="AG258" s="277" t="n">
        <v>1</v>
      </c>
      <c r="AH258" s="277" t="n">
        <v>1</v>
      </c>
      <c r="AI258" s="277" t="n">
        <v>1</v>
      </c>
      <c r="AJ258" s="277" t="n">
        <v>1</v>
      </c>
      <c r="AK258" s="277" t="n">
        <v>1</v>
      </c>
      <c r="AL258" s="277" t="n">
        <v>1</v>
      </c>
      <c r="AM258" s="277" t="n">
        <v>1</v>
      </c>
      <c r="AN258" s="277" t="n">
        <v>1</v>
      </c>
      <c r="AO258" s="277" t="n">
        <v>1</v>
      </c>
      <c r="AP258" s="277" t="n">
        <v>1</v>
      </c>
      <c r="AQ258" s="277" t="n">
        <v>1</v>
      </c>
      <c r="AR258" s="277" t="n">
        <v>1</v>
      </c>
      <c r="AS258" s="277" t="n">
        <v>1</v>
      </c>
      <c r="AT258" s="277" t="n">
        <v>1</v>
      </c>
      <c r="AU258" s="277" t="n">
        <v>1</v>
      </c>
      <c r="AV258" s="277" t="n">
        <v>1</v>
      </c>
      <c r="AW258" s="277" t="n">
        <v>1</v>
      </c>
      <c r="AX258" s="277" t="n">
        <v>1</v>
      </c>
      <c r="AY258" s="277" t="n">
        <v>1</v>
      </c>
      <c r="AZ258" s="277" t="n">
        <v>1</v>
      </c>
    </row>
    <row r="259" customFormat="false" ht="15" hidden="false" customHeight="false" outlineLevel="0" collapsed="false">
      <c r="A259" s="275" t="s">
        <v>375</v>
      </c>
      <c r="B259" s="275"/>
      <c r="C259" s="276" t="n">
        <v>1</v>
      </c>
      <c r="D259" s="276" t="n">
        <v>1</v>
      </c>
      <c r="E259" s="276" t="n">
        <v>1</v>
      </c>
      <c r="F259" s="276" t="n">
        <v>1</v>
      </c>
      <c r="G259" s="276" t="n">
        <v>1</v>
      </c>
      <c r="H259" s="276" t="n">
        <v>1</v>
      </c>
      <c r="I259" s="276" t="n">
        <v>1</v>
      </c>
      <c r="J259" s="276" t="n">
        <v>1</v>
      </c>
      <c r="K259" s="276" t="n">
        <v>1</v>
      </c>
      <c r="L259" s="276" t="n">
        <v>1</v>
      </c>
      <c r="M259" s="276" t="n">
        <v>1</v>
      </c>
      <c r="N259" s="276" t="n">
        <v>1</v>
      </c>
      <c r="O259" s="276" t="n">
        <v>1</v>
      </c>
      <c r="P259" s="276" t="n">
        <v>1</v>
      </c>
      <c r="Q259" s="277" t="n">
        <v>1</v>
      </c>
      <c r="R259" s="277" t="n">
        <v>1</v>
      </c>
      <c r="S259" s="277" t="n">
        <v>1</v>
      </c>
      <c r="T259" s="277" t="n">
        <v>1</v>
      </c>
      <c r="U259" s="277" t="n">
        <v>1</v>
      </c>
      <c r="V259" s="277" t="n">
        <v>1</v>
      </c>
      <c r="W259" s="277" t="n">
        <v>1</v>
      </c>
      <c r="X259" s="277" t="n">
        <v>1</v>
      </c>
      <c r="Y259" s="277" t="n">
        <v>1</v>
      </c>
      <c r="Z259" s="277" t="n">
        <v>1</v>
      </c>
      <c r="AA259" s="277" t="n">
        <v>1</v>
      </c>
      <c r="AB259" s="277" t="n">
        <v>1</v>
      </c>
      <c r="AC259" s="277" t="n">
        <v>1</v>
      </c>
      <c r="AD259" s="277" t="n">
        <v>1</v>
      </c>
      <c r="AE259" s="277" t="n">
        <v>1</v>
      </c>
      <c r="AF259" s="277" t="n">
        <v>1</v>
      </c>
      <c r="AG259" s="277" t="n">
        <v>1</v>
      </c>
      <c r="AH259" s="277" t="n">
        <v>1</v>
      </c>
      <c r="AI259" s="277" t="n">
        <v>1</v>
      </c>
      <c r="AJ259" s="277" t="n">
        <v>1</v>
      </c>
      <c r="AK259" s="277" t="n">
        <v>1</v>
      </c>
      <c r="AL259" s="277" t="n">
        <v>1</v>
      </c>
      <c r="AM259" s="277" t="n">
        <v>1</v>
      </c>
      <c r="AN259" s="277" t="n">
        <v>1</v>
      </c>
      <c r="AO259" s="277" t="n">
        <v>1</v>
      </c>
      <c r="AP259" s="277" t="n">
        <v>1</v>
      </c>
      <c r="AQ259" s="277" t="n">
        <v>1</v>
      </c>
      <c r="AR259" s="277" t="n">
        <v>1</v>
      </c>
      <c r="AS259" s="277" t="n">
        <v>1</v>
      </c>
      <c r="AT259" s="277" t="n">
        <v>1</v>
      </c>
      <c r="AU259" s="277" t="n">
        <v>1</v>
      </c>
      <c r="AV259" s="277" t="n">
        <v>1</v>
      </c>
      <c r="AW259" s="277" t="n">
        <v>1</v>
      </c>
      <c r="AX259" s="277" t="n">
        <v>1</v>
      </c>
      <c r="AY259" s="277" t="n">
        <v>1</v>
      </c>
      <c r="AZ259" s="277" t="n">
        <v>1</v>
      </c>
    </row>
    <row r="260" customFormat="false" ht="15" hidden="false" customHeight="false" outlineLevel="0" collapsed="false">
      <c r="A260" s="275" t="s">
        <v>376</v>
      </c>
      <c r="B260" s="275"/>
      <c r="C260" s="276" t="n">
        <v>1</v>
      </c>
      <c r="D260" s="276" t="n">
        <v>1</v>
      </c>
      <c r="E260" s="276" t="n">
        <v>1</v>
      </c>
      <c r="F260" s="276" t="n">
        <v>1</v>
      </c>
      <c r="G260" s="276" t="n">
        <v>1</v>
      </c>
      <c r="H260" s="276" t="n">
        <v>1</v>
      </c>
      <c r="I260" s="276" t="n">
        <v>1</v>
      </c>
      <c r="J260" s="276" t="n">
        <v>1</v>
      </c>
      <c r="K260" s="276" t="n">
        <v>1</v>
      </c>
      <c r="L260" s="276" t="n">
        <v>1</v>
      </c>
      <c r="M260" s="276" t="n">
        <v>1</v>
      </c>
      <c r="N260" s="276" t="n">
        <v>1</v>
      </c>
      <c r="O260" s="276" t="n">
        <v>1</v>
      </c>
      <c r="P260" s="276" t="n">
        <v>1</v>
      </c>
      <c r="Q260" s="277" t="n">
        <v>1</v>
      </c>
      <c r="R260" s="277" t="n">
        <v>1</v>
      </c>
      <c r="S260" s="277" t="n">
        <v>1</v>
      </c>
      <c r="T260" s="277" t="n">
        <v>1</v>
      </c>
      <c r="U260" s="277" t="n">
        <v>1</v>
      </c>
      <c r="V260" s="277" t="n">
        <v>1</v>
      </c>
      <c r="W260" s="277" t="n">
        <v>1</v>
      </c>
      <c r="X260" s="277" t="n">
        <v>1</v>
      </c>
      <c r="Y260" s="277" t="n">
        <v>1</v>
      </c>
      <c r="Z260" s="277" t="n">
        <v>1</v>
      </c>
      <c r="AA260" s="277" t="n">
        <v>1</v>
      </c>
      <c r="AB260" s="277" t="n">
        <v>1</v>
      </c>
      <c r="AC260" s="277" t="n">
        <v>1</v>
      </c>
      <c r="AD260" s="277" t="n">
        <v>1</v>
      </c>
      <c r="AE260" s="277" t="n">
        <v>1</v>
      </c>
      <c r="AF260" s="277" t="n">
        <v>1</v>
      </c>
      <c r="AG260" s="277" t="n">
        <v>1</v>
      </c>
      <c r="AH260" s="277" t="n">
        <v>1</v>
      </c>
      <c r="AI260" s="277" t="n">
        <v>1</v>
      </c>
      <c r="AJ260" s="277" t="n">
        <v>1</v>
      </c>
      <c r="AK260" s="277" t="n">
        <v>1</v>
      </c>
      <c r="AL260" s="277" t="n">
        <v>1</v>
      </c>
      <c r="AM260" s="277" t="n">
        <v>1</v>
      </c>
      <c r="AN260" s="277" t="n">
        <v>1</v>
      </c>
      <c r="AO260" s="277" t="n">
        <v>1</v>
      </c>
      <c r="AP260" s="277" t="n">
        <v>1</v>
      </c>
      <c r="AQ260" s="277" t="n">
        <v>1</v>
      </c>
      <c r="AR260" s="277" t="n">
        <v>1</v>
      </c>
      <c r="AS260" s="277" t="n">
        <v>1</v>
      </c>
      <c r="AT260" s="277" t="n">
        <v>1</v>
      </c>
      <c r="AU260" s="277" t="n">
        <v>1</v>
      </c>
      <c r="AV260" s="277" t="n">
        <v>1</v>
      </c>
      <c r="AW260" s="277" t="n">
        <v>1</v>
      </c>
      <c r="AX260" s="277" t="n">
        <v>1</v>
      </c>
      <c r="AY260" s="277" t="n">
        <v>1</v>
      </c>
      <c r="AZ260" s="277" t="n">
        <v>1</v>
      </c>
    </row>
    <row r="261" customFormat="false" ht="15" hidden="false" customHeight="false" outlineLevel="0" collapsed="false">
      <c r="A261" s="275" t="s">
        <v>377</v>
      </c>
      <c r="B261" s="275"/>
      <c r="C261" s="276" t="n">
        <v>1</v>
      </c>
      <c r="D261" s="276" t="n">
        <v>1</v>
      </c>
      <c r="E261" s="276" t="n">
        <v>1</v>
      </c>
      <c r="F261" s="276" t="n">
        <v>1</v>
      </c>
      <c r="G261" s="276" t="n">
        <v>1</v>
      </c>
      <c r="H261" s="276" t="n">
        <v>1</v>
      </c>
      <c r="I261" s="276" t="n">
        <v>1</v>
      </c>
      <c r="J261" s="276" t="n">
        <v>1</v>
      </c>
      <c r="K261" s="276" t="n">
        <v>1</v>
      </c>
      <c r="L261" s="276" t="n">
        <v>1</v>
      </c>
      <c r="M261" s="276" t="n">
        <v>1</v>
      </c>
      <c r="N261" s="276" t="n">
        <v>1</v>
      </c>
      <c r="O261" s="276" t="n">
        <v>1</v>
      </c>
      <c r="P261" s="276" t="n">
        <v>1</v>
      </c>
      <c r="Q261" s="277" t="n">
        <v>1</v>
      </c>
      <c r="R261" s="277" t="n">
        <v>1</v>
      </c>
      <c r="S261" s="277" t="n">
        <v>1</v>
      </c>
      <c r="T261" s="277" t="n">
        <v>1</v>
      </c>
      <c r="U261" s="277" t="n">
        <v>1</v>
      </c>
      <c r="V261" s="277" t="n">
        <v>1</v>
      </c>
      <c r="W261" s="277" t="n">
        <v>1</v>
      </c>
      <c r="X261" s="277" t="n">
        <v>1</v>
      </c>
      <c r="Y261" s="277" t="n">
        <v>1</v>
      </c>
      <c r="Z261" s="277" t="n">
        <v>1</v>
      </c>
      <c r="AA261" s="277" t="n">
        <v>1</v>
      </c>
      <c r="AB261" s="277" t="n">
        <v>1</v>
      </c>
      <c r="AC261" s="277" t="n">
        <v>1</v>
      </c>
      <c r="AD261" s="277" t="n">
        <v>1</v>
      </c>
      <c r="AE261" s="277" t="n">
        <v>1</v>
      </c>
      <c r="AF261" s="277" t="n">
        <v>1</v>
      </c>
      <c r="AG261" s="277" t="n">
        <v>1</v>
      </c>
      <c r="AH261" s="277" t="n">
        <v>1</v>
      </c>
      <c r="AI261" s="277" t="n">
        <v>1</v>
      </c>
      <c r="AJ261" s="277" t="n">
        <v>1</v>
      </c>
      <c r="AK261" s="277" t="n">
        <v>1</v>
      </c>
      <c r="AL261" s="277" t="n">
        <v>1</v>
      </c>
      <c r="AM261" s="277" t="n">
        <v>1</v>
      </c>
      <c r="AN261" s="277" t="n">
        <v>1</v>
      </c>
      <c r="AO261" s="277" t="n">
        <v>1</v>
      </c>
      <c r="AP261" s="277" t="n">
        <v>1</v>
      </c>
      <c r="AQ261" s="277" t="n">
        <v>1</v>
      </c>
      <c r="AR261" s="277" t="n">
        <v>1</v>
      </c>
      <c r="AS261" s="277" t="n">
        <v>1</v>
      </c>
      <c r="AT261" s="277" t="n">
        <v>1</v>
      </c>
      <c r="AU261" s="277" t="n">
        <v>1</v>
      </c>
      <c r="AV261" s="277" t="n">
        <v>1</v>
      </c>
      <c r="AW261" s="277" t="n">
        <v>1</v>
      </c>
      <c r="AX261" s="277" t="n">
        <v>1</v>
      </c>
      <c r="AY261" s="277" t="n">
        <v>1</v>
      </c>
      <c r="AZ261" s="277" t="n">
        <v>1</v>
      </c>
    </row>
    <row r="262" customFormat="false" ht="15" hidden="false" customHeight="false" outlineLevel="0" collapsed="false">
      <c r="A262" s="275" t="s">
        <v>378</v>
      </c>
      <c r="B262" s="275"/>
      <c r="C262" s="276" t="n">
        <v>1</v>
      </c>
      <c r="D262" s="276" t="n">
        <v>1</v>
      </c>
      <c r="E262" s="276" t="n">
        <v>1</v>
      </c>
      <c r="F262" s="276" t="n">
        <v>1</v>
      </c>
      <c r="G262" s="276" t="n">
        <v>1</v>
      </c>
      <c r="H262" s="276" t="n">
        <v>1</v>
      </c>
      <c r="I262" s="276" t="n">
        <v>1</v>
      </c>
      <c r="J262" s="276" t="n">
        <v>1</v>
      </c>
      <c r="K262" s="276" t="n">
        <v>1</v>
      </c>
      <c r="L262" s="276" t="n">
        <v>1</v>
      </c>
      <c r="M262" s="276" t="n">
        <v>1</v>
      </c>
      <c r="N262" s="276" t="n">
        <v>1</v>
      </c>
      <c r="O262" s="276" t="n">
        <v>1</v>
      </c>
      <c r="P262" s="276" t="n">
        <v>1</v>
      </c>
      <c r="Q262" s="277" t="n">
        <v>1</v>
      </c>
      <c r="R262" s="277" t="n">
        <v>1</v>
      </c>
      <c r="S262" s="277" t="n">
        <v>1</v>
      </c>
      <c r="T262" s="277" t="n">
        <v>1</v>
      </c>
      <c r="U262" s="277" t="n">
        <v>1</v>
      </c>
      <c r="V262" s="277" t="n">
        <v>1</v>
      </c>
      <c r="W262" s="277" t="n">
        <v>1</v>
      </c>
      <c r="X262" s="277" t="n">
        <v>1</v>
      </c>
      <c r="Y262" s="277" t="n">
        <v>1</v>
      </c>
      <c r="Z262" s="277" t="n">
        <v>1</v>
      </c>
      <c r="AA262" s="277" t="n">
        <v>1</v>
      </c>
      <c r="AB262" s="277" t="n">
        <v>1</v>
      </c>
      <c r="AC262" s="277" t="n">
        <v>1</v>
      </c>
      <c r="AD262" s="277" t="n">
        <v>1</v>
      </c>
      <c r="AE262" s="277" t="n">
        <v>1</v>
      </c>
      <c r="AF262" s="277" t="n">
        <v>1</v>
      </c>
      <c r="AG262" s="277" t="n">
        <v>1</v>
      </c>
      <c r="AH262" s="277" t="n">
        <v>1</v>
      </c>
      <c r="AI262" s="277" t="n">
        <v>1</v>
      </c>
      <c r="AJ262" s="277" t="n">
        <v>1</v>
      </c>
      <c r="AK262" s="277" t="n">
        <v>1</v>
      </c>
      <c r="AL262" s="277" t="n">
        <v>1</v>
      </c>
      <c r="AM262" s="277" t="n">
        <v>1</v>
      </c>
      <c r="AN262" s="277" t="n">
        <v>1</v>
      </c>
      <c r="AO262" s="277" t="n">
        <v>1</v>
      </c>
      <c r="AP262" s="277" t="n">
        <v>1</v>
      </c>
      <c r="AQ262" s="277" t="n">
        <v>1</v>
      </c>
      <c r="AR262" s="277" t="n">
        <v>1</v>
      </c>
      <c r="AS262" s="277" t="n">
        <v>1</v>
      </c>
      <c r="AT262" s="277" t="n">
        <v>1</v>
      </c>
      <c r="AU262" s="277" t="n">
        <v>1</v>
      </c>
      <c r="AV262" s="277" t="n">
        <v>1</v>
      </c>
      <c r="AW262" s="277" t="n">
        <v>1</v>
      </c>
      <c r="AX262" s="277" t="n">
        <v>1</v>
      </c>
      <c r="AY262" s="277" t="n">
        <v>1</v>
      </c>
      <c r="AZ262" s="277" t="n">
        <v>1</v>
      </c>
    </row>
    <row r="263" customFormat="false" ht="15.75" hidden="false" customHeight="true" outlineLevel="0" collapsed="false">
      <c r="A263" s="200" t="s">
        <v>645</v>
      </c>
      <c r="B263" s="200"/>
      <c r="C263" s="200"/>
      <c r="D263" s="200"/>
      <c r="E263" s="200"/>
      <c r="F263" s="200"/>
      <c r="G263" s="200"/>
      <c r="H263" s="200"/>
      <c r="I263" s="200"/>
      <c r="J263" s="200"/>
      <c r="K263" s="200"/>
      <c r="L263" s="200"/>
      <c r="M263" s="200"/>
      <c r="N263" s="200"/>
      <c r="O263" s="200"/>
      <c r="P263" s="200"/>
      <c r="Q263" s="200"/>
    </row>
    <row r="264" customFormat="false" ht="15" hidden="false" customHeight="false" outlineLevel="0" collapsed="false">
      <c r="A264" s="275" t="s">
        <v>374</v>
      </c>
      <c r="B264" s="275"/>
      <c r="C264" s="276" t="n">
        <v>2040</v>
      </c>
      <c r="D264" s="276" t="n">
        <v>2040</v>
      </c>
      <c r="E264" s="276" t="n">
        <v>2040</v>
      </c>
      <c r="F264" s="276" t="n">
        <v>2040</v>
      </c>
      <c r="G264" s="276" t="n">
        <v>2040</v>
      </c>
      <c r="H264" s="276" t="n">
        <v>2040</v>
      </c>
      <c r="I264" s="276" t="n">
        <v>2040</v>
      </c>
      <c r="J264" s="276" t="n">
        <v>2040</v>
      </c>
      <c r="K264" s="276" t="n">
        <v>2040</v>
      </c>
      <c r="L264" s="276" t="n">
        <v>2040</v>
      </c>
      <c r="M264" s="276" t="n">
        <v>2040</v>
      </c>
      <c r="N264" s="276" t="n">
        <v>2040</v>
      </c>
      <c r="O264" s="276" t="n">
        <v>2040</v>
      </c>
      <c r="P264" s="276" t="n">
        <v>2040</v>
      </c>
      <c r="Q264" s="276" t="n">
        <v>2040</v>
      </c>
      <c r="R264" s="276" t="n">
        <v>2040</v>
      </c>
      <c r="S264" s="276" t="n">
        <v>2040</v>
      </c>
      <c r="T264" s="276" t="n">
        <v>2040</v>
      </c>
      <c r="U264" s="276" t="n">
        <v>2040</v>
      </c>
      <c r="V264" s="276" t="n">
        <v>2040</v>
      </c>
      <c r="W264" s="276" t="n">
        <v>2040</v>
      </c>
      <c r="X264" s="276" t="n">
        <v>2040</v>
      </c>
      <c r="Y264" s="276" t="n">
        <v>2040</v>
      </c>
      <c r="Z264" s="276" t="n">
        <v>2040</v>
      </c>
      <c r="AA264" s="276" t="n">
        <v>2040</v>
      </c>
      <c r="AB264" s="276" t="n">
        <v>2040</v>
      </c>
      <c r="AC264" s="276" t="n">
        <v>2040</v>
      </c>
      <c r="AD264" s="276" t="n">
        <v>2040</v>
      </c>
      <c r="AE264" s="276" t="n">
        <v>2040</v>
      </c>
      <c r="AF264" s="276" t="n">
        <v>2040</v>
      </c>
      <c r="AG264" s="276" t="n">
        <v>2040</v>
      </c>
      <c r="AH264" s="276" t="n">
        <v>2040</v>
      </c>
      <c r="AI264" s="276" t="n">
        <v>2040</v>
      </c>
      <c r="AJ264" s="276" t="n">
        <v>2040</v>
      </c>
      <c r="AK264" s="276" t="n">
        <v>2040</v>
      </c>
      <c r="AL264" s="276" t="n">
        <v>2040</v>
      </c>
      <c r="AM264" s="276" t="n">
        <v>2040</v>
      </c>
      <c r="AN264" s="276" t="n">
        <v>2040</v>
      </c>
      <c r="AO264" s="276" t="n">
        <v>2040</v>
      </c>
      <c r="AP264" s="276" t="n">
        <v>2040</v>
      </c>
      <c r="AQ264" s="276" t="n">
        <v>2040</v>
      </c>
      <c r="AR264" s="276" t="n">
        <v>2040</v>
      </c>
      <c r="AS264" s="276" t="n">
        <v>2040</v>
      </c>
      <c r="AT264" s="276" t="n">
        <v>2040</v>
      </c>
      <c r="AU264" s="276" t="n">
        <v>2040</v>
      </c>
      <c r="AV264" s="276" t="n">
        <v>2040</v>
      </c>
      <c r="AW264" s="276" t="n">
        <v>2040</v>
      </c>
      <c r="AX264" s="276" t="n">
        <v>2040</v>
      </c>
      <c r="AY264" s="276" t="n">
        <v>2040</v>
      </c>
      <c r="AZ264" s="276" t="n">
        <v>2040</v>
      </c>
    </row>
    <row r="265" customFormat="false" ht="15" hidden="false" customHeight="false" outlineLevel="0" collapsed="false">
      <c r="A265" s="275" t="s">
        <v>375</v>
      </c>
      <c r="B265" s="275"/>
      <c r="C265" s="276" t="n">
        <v>2040</v>
      </c>
      <c r="D265" s="276" t="n">
        <v>2040</v>
      </c>
      <c r="E265" s="276" t="n">
        <v>2040</v>
      </c>
      <c r="F265" s="276" t="n">
        <v>2040</v>
      </c>
      <c r="G265" s="276" t="n">
        <v>2040</v>
      </c>
      <c r="H265" s="276" t="n">
        <v>2040</v>
      </c>
      <c r="I265" s="276" t="n">
        <v>2040</v>
      </c>
      <c r="J265" s="276" t="n">
        <v>2040</v>
      </c>
      <c r="K265" s="276" t="n">
        <v>2040</v>
      </c>
      <c r="L265" s="276" t="n">
        <v>2040</v>
      </c>
      <c r="M265" s="276" t="n">
        <v>2040</v>
      </c>
      <c r="N265" s="276" t="n">
        <v>2040</v>
      </c>
      <c r="O265" s="276" t="n">
        <v>2040</v>
      </c>
      <c r="P265" s="276" t="n">
        <v>2040</v>
      </c>
      <c r="Q265" s="276" t="n">
        <v>2040</v>
      </c>
      <c r="R265" s="276" t="n">
        <v>2040</v>
      </c>
      <c r="S265" s="276" t="n">
        <v>2040</v>
      </c>
      <c r="T265" s="276" t="n">
        <v>2040</v>
      </c>
      <c r="U265" s="276" t="n">
        <v>2040</v>
      </c>
      <c r="V265" s="276" t="n">
        <v>2040</v>
      </c>
      <c r="W265" s="276" t="n">
        <v>2040</v>
      </c>
      <c r="X265" s="276" t="n">
        <v>2040</v>
      </c>
      <c r="Y265" s="276" t="n">
        <v>2040</v>
      </c>
      <c r="Z265" s="276" t="n">
        <v>2040</v>
      </c>
      <c r="AA265" s="276" t="n">
        <v>2040</v>
      </c>
      <c r="AB265" s="276" t="n">
        <v>2040</v>
      </c>
      <c r="AC265" s="276" t="n">
        <v>2040</v>
      </c>
      <c r="AD265" s="276" t="n">
        <v>2040</v>
      </c>
      <c r="AE265" s="276" t="n">
        <v>2040</v>
      </c>
      <c r="AF265" s="276" t="n">
        <v>2040</v>
      </c>
      <c r="AG265" s="276" t="n">
        <v>2040</v>
      </c>
      <c r="AH265" s="276" t="n">
        <v>2040</v>
      </c>
      <c r="AI265" s="276" t="n">
        <v>2040</v>
      </c>
      <c r="AJ265" s="276" t="n">
        <v>2040</v>
      </c>
      <c r="AK265" s="276" t="n">
        <v>2040</v>
      </c>
      <c r="AL265" s="276" t="n">
        <v>2040</v>
      </c>
      <c r="AM265" s="276" t="n">
        <v>2040</v>
      </c>
      <c r="AN265" s="276" t="n">
        <v>2040</v>
      </c>
      <c r="AO265" s="276" t="n">
        <v>2040</v>
      </c>
      <c r="AP265" s="276" t="n">
        <v>2040</v>
      </c>
      <c r="AQ265" s="276" t="n">
        <v>2040</v>
      </c>
      <c r="AR265" s="276" t="n">
        <v>2040</v>
      </c>
      <c r="AS265" s="276" t="n">
        <v>2040</v>
      </c>
      <c r="AT265" s="276" t="n">
        <v>2040</v>
      </c>
      <c r="AU265" s="276" t="n">
        <v>2040</v>
      </c>
      <c r="AV265" s="276" t="n">
        <v>2040</v>
      </c>
      <c r="AW265" s="276" t="n">
        <v>2040</v>
      </c>
      <c r="AX265" s="276" t="n">
        <v>2040</v>
      </c>
      <c r="AY265" s="276" t="n">
        <v>2040</v>
      </c>
      <c r="AZ265" s="276" t="n">
        <v>2040</v>
      </c>
    </row>
    <row r="266" customFormat="false" ht="15" hidden="false" customHeight="false" outlineLevel="0" collapsed="false">
      <c r="A266" s="275" t="s">
        <v>376</v>
      </c>
      <c r="B266" s="275"/>
      <c r="C266" s="276" t="n">
        <v>2040</v>
      </c>
      <c r="D266" s="276" t="n">
        <v>2040</v>
      </c>
      <c r="E266" s="276" t="n">
        <v>2040</v>
      </c>
      <c r="F266" s="276" t="n">
        <v>2040</v>
      </c>
      <c r="G266" s="276" t="n">
        <v>2040</v>
      </c>
      <c r="H266" s="276" t="n">
        <v>2040</v>
      </c>
      <c r="I266" s="276" t="n">
        <v>2040</v>
      </c>
      <c r="J266" s="276" t="n">
        <v>2040</v>
      </c>
      <c r="K266" s="276" t="n">
        <v>2040</v>
      </c>
      <c r="L266" s="276" t="n">
        <v>2040</v>
      </c>
      <c r="M266" s="276" t="n">
        <v>2040</v>
      </c>
      <c r="N266" s="276" t="n">
        <v>2040</v>
      </c>
      <c r="O266" s="276" t="n">
        <v>2040</v>
      </c>
      <c r="P266" s="276" t="n">
        <v>2040</v>
      </c>
      <c r="Q266" s="276" t="n">
        <v>2040</v>
      </c>
      <c r="R266" s="276" t="n">
        <v>2040</v>
      </c>
      <c r="S266" s="276" t="n">
        <v>2040</v>
      </c>
      <c r="T266" s="276" t="n">
        <v>2040</v>
      </c>
      <c r="U266" s="276" t="n">
        <v>2040</v>
      </c>
      <c r="V266" s="276" t="n">
        <v>2040</v>
      </c>
      <c r="W266" s="276" t="n">
        <v>2040</v>
      </c>
      <c r="X266" s="276" t="n">
        <v>2040</v>
      </c>
      <c r="Y266" s="276" t="n">
        <v>2040</v>
      </c>
      <c r="Z266" s="276" t="n">
        <v>2040</v>
      </c>
      <c r="AA266" s="276" t="n">
        <v>2040</v>
      </c>
      <c r="AB266" s="276" t="n">
        <v>2040</v>
      </c>
      <c r="AC266" s="276" t="n">
        <v>2040</v>
      </c>
      <c r="AD266" s="276" t="n">
        <v>2040</v>
      </c>
      <c r="AE266" s="276" t="n">
        <v>2040</v>
      </c>
      <c r="AF266" s="276" t="n">
        <v>2040</v>
      </c>
      <c r="AG266" s="276" t="n">
        <v>2040</v>
      </c>
      <c r="AH266" s="276" t="n">
        <v>2040</v>
      </c>
      <c r="AI266" s="276" t="n">
        <v>2040</v>
      </c>
      <c r="AJ266" s="276" t="n">
        <v>2040</v>
      </c>
      <c r="AK266" s="276" t="n">
        <v>2040</v>
      </c>
      <c r="AL266" s="276" t="n">
        <v>2040</v>
      </c>
      <c r="AM266" s="276" t="n">
        <v>2040</v>
      </c>
      <c r="AN266" s="276" t="n">
        <v>2040</v>
      </c>
      <c r="AO266" s="276" t="n">
        <v>2040</v>
      </c>
      <c r="AP266" s="276" t="n">
        <v>2040</v>
      </c>
      <c r="AQ266" s="276" t="n">
        <v>2040</v>
      </c>
      <c r="AR266" s="276" t="n">
        <v>2040</v>
      </c>
      <c r="AS266" s="276" t="n">
        <v>2040</v>
      </c>
      <c r="AT266" s="276" t="n">
        <v>2040</v>
      </c>
      <c r="AU266" s="276" t="n">
        <v>2040</v>
      </c>
      <c r="AV266" s="276" t="n">
        <v>2040</v>
      </c>
      <c r="AW266" s="276" t="n">
        <v>2040</v>
      </c>
      <c r="AX266" s="276" t="n">
        <v>2040</v>
      </c>
      <c r="AY266" s="276" t="n">
        <v>2040</v>
      </c>
      <c r="AZ266" s="276" t="n">
        <v>2040</v>
      </c>
    </row>
    <row r="267" customFormat="false" ht="15" hidden="false" customHeight="false" outlineLevel="0" collapsed="false">
      <c r="A267" s="275" t="s">
        <v>377</v>
      </c>
      <c r="B267" s="275"/>
      <c r="C267" s="276" t="n">
        <v>2040</v>
      </c>
      <c r="D267" s="276" t="n">
        <v>2040</v>
      </c>
      <c r="E267" s="276" t="n">
        <v>2040</v>
      </c>
      <c r="F267" s="276" t="n">
        <v>2040</v>
      </c>
      <c r="G267" s="276" t="n">
        <v>2040</v>
      </c>
      <c r="H267" s="276" t="n">
        <v>2040</v>
      </c>
      <c r="I267" s="276" t="n">
        <v>2040</v>
      </c>
      <c r="J267" s="276" t="n">
        <v>2040</v>
      </c>
      <c r="K267" s="276" t="n">
        <v>2040</v>
      </c>
      <c r="L267" s="276" t="n">
        <v>2040</v>
      </c>
      <c r="M267" s="276" t="n">
        <v>2040</v>
      </c>
      <c r="N267" s="276" t="n">
        <v>2040</v>
      </c>
      <c r="O267" s="276" t="n">
        <v>2040</v>
      </c>
      <c r="P267" s="276" t="n">
        <v>2040</v>
      </c>
      <c r="Q267" s="276" t="n">
        <v>2040</v>
      </c>
      <c r="R267" s="276" t="n">
        <v>2040</v>
      </c>
      <c r="S267" s="276" t="n">
        <v>2040</v>
      </c>
      <c r="T267" s="276" t="n">
        <v>2040</v>
      </c>
      <c r="U267" s="276" t="n">
        <v>2040</v>
      </c>
      <c r="V267" s="276" t="n">
        <v>2040</v>
      </c>
      <c r="W267" s="276" t="n">
        <v>2040</v>
      </c>
      <c r="X267" s="276" t="n">
        <v>2040</v>
      </c>
      <c r="Y267" s="276" t="n">
        <v>2040</v>
      </c>
      <c r="Z267" s="276" t="n">
        <v>2040</v>
      </c>
      <c r="AA267" s="276" t="n">
        <v>2040</v>
      </c>
      <c r="AB267" s="276" t="n">
        <v>2040</v>
      </c>
      <c r="AC267" s="276" t="n">
        <v>2040</v>
      </c>
      <c r="AD267" s="276" t="n">
        <v>2040</v>
      </c>
      <c r="AE267" s="276" t="n">
        <v>2040</v>
      </c>
      <c r="AF267" s="276" t="n">
        <v>2040</v>
      </c>
      <c r="AG267" s="276" t="n">
        <v>2040</v>
      </c>
      <c r="AH267" s="276" t="n">
        <v>2040</v>
      </c>
      <c r="AI267" s="276" t="n">
        <v>2040</v>
      </c>
      <c r="AJ267" s="276" t="n">
        <v>2040</v>
      </c>
      <c r="AK267" s="276" t="n">
        <v>2040</v>
      </c>
      <c r="AL267" s="276" t="n">
        <v>2040</v>
      </c>
      <c r="AM267" s="276" t="n">
        <v>2040</v>
      </c>
      <c r="AN267" s="276" t="n">
        <v>2040</v>
      </c>
      <c r="AO267" s="276" t="n">
        <v>2040</v>
      </c>
      <c r="AP267" s="276" t="n">
        <v>2040</v>
      </c>
      <c r="AQ267" s="276" t="n">
        <v>2040</v>
      </c>
      <c r="AR267" s="276" t="n">
        <v>2040</v>
      </c>
      <c r="AS267" s="276" t="n">
        <v>2040</v>
      </c>
      <c r="AT267" s="276" t="n">
        <v>2040</v>
      </c>
      <c r="AU267" s="276" t="n">
        <v>2040</v>
      </c>
      <c r="AV267" s="276" t="n">
        <v>2040</v>
      </c>
      <c r="AW267" s="276" t="n">
        <v>2040</v>
      </c>
      <c r="AX267" s="276" t="n">
        <v>2040</v>
      </c>
      <c r="AY267" s="276" t="n">
        <v>2040</v>
      </c>
      <c r="AZ267" s="276" t="n">
        <v>2040</v>
      </c>
    </row>
    <row r="268" customFormat="false" ht="15" hidden="false" customHeight="false" outlineLevel="0" collapsed="false">
      <c r="A268" s="275" t="s">
        <v>378</v>
      </c>
      <c r="B268" s="275"/>
      <c r="C268" s="276" t="n">
        <v>2040</v>
      </c>
      <c r="D268" s="276" t="n">
        <v>2040</v>
      </c>
      <c r="E268" s="276" t="n">
        <v>2040</v>
      </c>
      <c r="F268" s="276" t="n">
        <v>2040</v>
      </c>
      <c r="G268" s="276" t="n">
        <v>2040</v>
      </c>
      <c r="H268" s="276" t="n">
        <v>2040</v>
      </c>
      <c r="I268" s="276" t="n">
        <v>2040</v>
      </c>
      <c r="J268" s="276" t="n">
        <v>2040</v>
      </c>
      <c r="K268" s="276" t="n">
        <v>2040</v>
      </c>
      <c r="L268" s="276" t="n">
        <v>2040</v>
      </c>
      <c r="M268" s="276" t="n">
        <v>2040</v>
      </c>
      <c r="N268" s="276" t="n">
        <v>2040</v>
      </c>
      <c r="O268" s="276" t="n">
        <v>2040</v>
      </c>
      <c r="P268" s="276" t="n">
        <v>2040</v>
      </c>
      <c r="Q268" s="276" t="n">
        <v>2040</v>
      </c>
      <c r="R268" s="276" t="n">
        <v>2040</v>
      </c>
      <c r="S268" s="276" t="n">
        <v>2040</v>
      </c>
      <c r="T268" s="276" t="n">
        <v>2040</v>
      </c>
      <c r="U268" s="276" t="n">
        <v>2040</v>
      </c>
      <c r="V268" s="276" t="n">
        <v>2040</v>
      </c>
      <c r="W268" s="276" t="n">
        <v>2040</v>
      </c>
      <c r="X268" s="276" t="n">
        <v>2040</v>
      </c>
      <c r="Y268" s="276" t="n">
        <v>2040</v>
      </c>
      <c r="Z268" s="276" t="n">
        <v>2040</v>
      </c>
      <c r="AA268" s="276" t="n">
        <v>2040</v>
      </c>
      <c r="AB268" s="276" t="n">
        <v>2040</v>
      </c>
      <c r="AC268" s="276" t="n">
        <v>2040</v>
      </c>
      <c r="AD268" s="276" t="n">
        <v>2040</v>
      </c>
      <c r="AE268" s="276" t="n">
        <v>2040</v>
      </c>
      <c r="AF268" s="276" t="n">
        <v>2040</v>
      </c>
      <c r="AG268" s="276" t="n">
        <v>2040</v>
      </c>
      <c r="AH268" s="276" t="n">
        <v>2040</v>
      </c>
      <c r="AI268" s="276" t="n">
        <v>2040</v>
      </c>
      <c r="AJ268" s="276" t="n">
        <v>2040</v>
      </c>
      <c r="AK268" s="276" t="n">
        <v>2040</v>
      </c>
      <c r="AL268" s="276" t="n">
        <v>2040</v>
      </c>
      <c r="AM268" s="276" t="n">
        <v>2040</v>
      </c>
      <c r="AN268" s="276" t="n">
        <v>2040</v>
      </c>
      <c r="AO268" s="276" t="n">
        <v>2040</v>
      </c>
      <c r="AP268" s="276" t="n">
        <v>2040</v>
      </c>
      <c r="AQ268" s="276" t="n">
        <v>2040</v>
      </c>
      <c r="AR268" s="276" t="n">
        <v>2040</v>
      </c>
      <c r="AS268" s="276" t="n">
        <v>2040</v>
      </c>
      <c r="AT268" s="276" t="n">
        <v>2040</v>
      </c>
      <c r="AU268" s="276" t="n">
        <v>2040</v>
      </c>
      <c r="AV268" s="276" t="n">
        <v>2040</v>
      </c>
      <c r="AW268" s="276" t="n">
        <v>2040</v>
      </c>
      <c r="AX268" s="276" t="n">
        <v>2040</v>
      </c>
      <c r="AY268" s="276" t="n">
        <v>2040</v>
      </c>
      <c r="AZ268" s="276" t="n">
        <v>2040</v>
      </c>
    </row>
    <row r="269" customFormat="false" ht="15.75" hidden="false" customHeight="true" outlineLevel="0" collapsed="false">
      <c r="A269" s="200" t="s">
        <v>646</v>
      </c>
      <c r="B269" s="200"/>
      <c r="C269" s="200"/>
      <c r="D269" s="200"/>
      <c r="E269" s="200"/>
      <c r="F269" s="200"/>
      <c r="G269" s="200"/>
      <c r="H269" s="200"/>
      <c r="I269" s="200"/>
      <c r="J269" s="200"/>
      <c r="K269" s="200"/>
      <c r="L269" s="200"/>
      <c r="M269" s="200"/>
      <c r="N269" s="200"/>
      <c r="O269" s="200"/>
      <c r="P269" s="200"/>
      <c r="Q269" s="200"/>
    </row>
    <row r="270" customFormat="false" ht="15" hidden="false" customHeight="false" outlineLevel="0" collapsed="false">
      <c r="A270" s="275" t="s">
        <v>374</v>
      </c>
      <c r="B270" s="275"/>
      <c r="C270" s="276" t="n">
        <v>1</v>
      </c>
      <c r="D270" s="276" t="n">
        <v>1</v>
      </c>
      <c r="E270" s="276" t="n">
        <v>1</v>
      </c>
      <c r="F270" s="276" t="n">
        <v>1</v>
      </c>
      <c r="G270" s="276" t="n">
        <v>1</v>
      </c>
      <c r="H270" s="276" t="n">
        <v>1</v>
      </c>
      <c r="I270" s="276" t="n">
        <v>1</v>
      </c>
      <c r="J270" s="276" t="n">
        <v>1</v>
      </c>
      <c r="K270" s="276" t="n">
        <v>1</v>
      </c>
      <c r="L270" s="276" t="n">
        <v>1</v>
      </c>
      <c r="M270" s="276" t="n">
        <v>1</v>
      </c>
      <c r="N270" s="276" t="n">
        <v>1</v>
      </c>
      <c r="O270" s="276" t="n">
        <v>1</v>
      </c>
      <c r="P270" s="276" t="n">
        <v>1</v>
      </c>
      <c r="Q270" s="277" t="n">
        <v>1</v>
      </c>
      <c r="R270" s="277" t="n">
        <v>1</v>
      </c>
      <c r="S270" s="277" t="n">
        <v>1</v>
      </c>
      <c r="T270" s="277" t="n">
        <v>1</v>
      </c>
      <c r="U270" s="277" t="n">
        <v>1</v>
      </c>
      <c r="V270" s="277" t="n">
        <v>1</v>
      </c>
      <c r="W270" s="277" t="n">
        <v>1</v>
      </c>
      <c r="X270" s="277" t="n">
        <v>1</v>
      </c>
      <c r="Y270" s="277" t="n">
        <v>1</v>
      </c>
      <c r="Z270" s="277" t="n">
        <v>1</v>
      </c>
      <c r="AA270" s="277" t="n">
        <v>1</v>
      </c>
      <c r="AB270" s="277" t="n">
        <v>1</v>
      </c>
      <c r="AC270" s="277" t="n">
        <v>1</v>
      </c>
      <c r="AD270" s="277" t="n">
        <v>1</v>
      </c>
      <c r="AE270" s="277" t="n">
        <v>1</v>
      </c>
      <c r="AF270" s="277" t="n">
        <v>1</v>
      </c>
      <c r="AG270" s="277" t="n">
        <v>1</v>
      </c>
      <c r="AH270" s="277" t="n">
        <v>1</v>
      </c>
      <c r="AI270" s="277" t="n">
        <v>1</v>
      </c>
      <c r="AJ270" s="277" t="n">
        <v>1</v>
      </c>
      <c r="AK270" s="277" t="n">
        <v>1</v>
      </c>
      <c r="AL270" s="277" t="n">
        <v>1</v>
      </c>
      <c r="AM270" s="277" t="n">
        <v>1</v>
      </c>
      <c r="AN270" s="277" t="n">
        <v>1</v>
      </c>
      <c r="AO270" s="277" t="n">
        <v>1</v>
      </c>
      <c r="AP270" s="277" t="n">
        <v>1</v>
      </c>
      <c r="AQ270" s="277" t="n">
        <v>1</v>
      </c>
      <c r="AR270" s="277" t="n">
        <v>1</v>
      </c>
      <c r="AS270" s="277" t="n">
        <v>1</v>
      </c>
      <c r="AT270" s="277" t="n">
        <v>1</v>
      </c>
      <c r="AU270" s="277" t="n">
        <v>1</v>
      </c>
      <c r="AV270" s="277" t="n">
        <v>1</v>
      </c>
      <c r="AW270" s="277" t="n">
        <v>1</v>
      </c>
      <c r="AX270" s="277" t="n">
        <v>1</v>
      </c>
      <c r="AY270" s="277" t="n">
        <v>1</v>
      </c>
      <c r="AZ270" s="277" t="n">
        <v>1</v>
      </c>
    </row>
    <row r="271" customFormat="false" ht="15" hidden="false" customHeight="false" outlineLevel="0" collapsed="false">
      <c r="A271" s="275" t="s">
        <v>375</v>
      </c>
      <c r="B271" s="275"/>
      <c r="C271" s="276" t="n">
        <v>1</v>
      </c>
      <c r="D271" s="276" t="n">
        <v>1</v>
      </c>
      <c r="E271" s="276" t="n">
        <v>1</v>
      </c>
      <c r="F271" s="276" t="n">
        <v>1</v>
      </c>
      <c r="G271" s="276" t="n">
        <v>1</v>
      </c>
      <c r="H271" s="276" t="n">
        <v>1</v>
      </c>
      <c r="I271" s="276" t="n">
        <v>1</v>
      </c>
      <c r="J271" s="276" t="n">
        <v>1</v>
      </c>
      <c r="K271" s="276" t="n">
        <v>1</v>
      </c>
      <c r="L271" s="276" t="n">
        <v>1</v>
      </c>
      <c r="M271" s="276" t="n">
        <v>1</v>
      </c>
      <c r="N271" s="276" t="n">
        <v>1</v>
      </c>
      <c r="O271" s="276" t="n">
        <v>1</v>
      </c>
      <c r="P271" s="276" t="n">
        <v>1</v>
      </c>
      <c r="Q271" s="277" t="n">
        <v>1</v>
      </c>
      <c r="R271" s="277" t="n">
        <v>1</v>
      </c>
      <c r="S271" s="277" t="n">
        <v>1</v>
      </c>
      <c r="T271" s="277" t="n">
        <v>1</v>
      </c>
      <c r="U271" s="277" t="n">
        <v>1</v>
      </c>
      <c r="V271" s="277" t="n">
        <v>1</v>
      </c>
      <c r="W271" s="277" t="n">
        <v>1</v>
      </c>
      <c r="X271" s="277" t="n">
        <v>1</v>
      </c>
      <c r="Y271" s="277" t="n">
        <v>1</v>
      </c>
      <c r="Z271" s="277" t="n">
        <v>1</v>
      </c>
      <c r="AA271" s="277" t="n">
        <v>1</v>
      </c>
      <c r="AB271" s="277" t="n">
        <v>1</v>
      </c>
      <c r="AC271" s="277" t="n">
        <v>1</v>
      </c>
      <c r="AD271" s="277" t="n">
        <v>1</v>
      </c>
      <c r="AE271" s="277" t="n">
        <v>1</v>
      </c>
      <c r="AF271" s="277" t="n">
        <v>1</v>
      </c>
      <c r="AG271" s="277" t="n">
        <v>1</v>
      </c>
      <c r="AH271" s="277" t="n">
        <v>1</v>
      </c>
      <c r="AI271" s="277" t="n">
        <v>1</v>
      </c>
      <c r="AJ271" s="277" t="n">
        <v>1</v>
      </c>
      <c r="AK271" s="277" t="n">
        <v>1</v>
      </c>
      <c r="AL271" s="277" t="n">
        <v>1</v>
      </c>
      <c r="AM271" s="277" t="n">
        <v>1</v>
      </c>
      <c r="AN271" s="277" t="n">
        <v>1</v>
      </c>
      <c r="AO271" s="277" t="n">
        <v>1</v>
      </c>
      <c r="AP271" s="277" t="n">
        <v>1</v>
      </c>
      <c r="AQ271" s="277" t="n">
        <v>1</v>
      </c>
      <c r="AR271" s="277" t="n">
        <v>1</v>
      </c>
      <c r="AS271" s="277" t="n">
        <v>1</v>
      </c>
      <c r="AT271" s="277" t="n">
        <v>1</v>
      </c>
      <c r="AU271" s="277" t="n">
        <v>1</v>
      </c>
      <c r="AV271" s="277" t="n">
        <v>1</v>
      </c>
      <c r="AW271" s="277" t="n">
        <v>1</v>
      </c>
      <c r="AX271" s="277" t="n">
        <v>1</v>
      </c>
      <c r="AY271" s="277" t="n">
        <v>1</v>
      </c>
      <c r="AZ271" s="277" t="n">
        <v>1</v>
      </c>
    </row>
    <row r="272" customFormat="false" ht="15" hidden="false" customHeight="false" outlineLevel="0" collapsed="false">
      <c r="A272" s="275" t="s">
        <v>376</v>
      </c>
      <c r="B272" s="275"/>
      <c r="C272" s="276" t="n">
        <v>1</v>
      </c>
      <c r="D272" s="276" t="n">
        <v>1</v>
      </c>
      <c r="E272" s="276" t="n">
        <v>1</v>
      </c>
      <c r="F272" s="276" t="n">
        <v>1</v>
      </c>
      <c r="G272" s="276" t="n">
        <v>1</v>
      </c>
      <c r="H272" s="276" t="n">
        <v>1</v>
      </c>
      <c r="I272" s="276" t="n">
        <v>1</v>
      </c>
      <c r="J272" s="276" t="n">
        <v>1</v>
      </c>
      <c r="K272" s="276" t="n">
        <v>1</v>
      </c>
      <c r="L272" s="276" t="n">
        <v>1</v>
      </c>
      <c r="M272" s="276" t="n">
        <v>1</v>
      </c>
      <c r="N272" s="276" t="n">
        <v>1</v>
      </c>
      <c r="O272" s="276" t="n">
        <v>1</v>
      </c>
      <c r="P272" s="276" t="n">
        <v>1</v>
      </c>
      <c r="Q272" s="277" t="n">
        <v>1</v>
      </c>
      <c r="R272" s="277" t="n">
        <v>1</v>
      </c>
      <c r="S272" s="277" t="n">
        <v>1</v>
      </c>
      <c r="T272" s="277" t="n">
        <v>1</v>
      </c>
      <c r="U272" s="277" t="n">
        <v>1</v>
      </c>
      <c r="V272" s="277" t="n">
        <v>1</v>
      </c>
      <c r="W272" s="277" t="n">
        <v>1</v>
      </c>
      <c r="X272" s="277" t="n">
        <v>1</v>
      </c>
      <c r="Y272" s="277" t="n">
        <v>1</v>
      </c>
      <c r="Z272" s="277" t="n">
        <v>1</v>
      </c>
      <c r="AA272" s="277" t="n">
        <v>1</v>
      </c>
      <c r="AB272" s="277" t="n">
        <v>1</v>
      </c>
      <c r="AC272" s="277" t="n">
        <v>1</v>
      </c>
      <c r="AD272" s="277" t="n">
        <v>1</v>
      </c>
      <c r="AE272" s="277" t="n">
        <v>1</v>
      </c>
      <c r="AF272" s="277" t="n">
        <v>1</v>
      </c>
      <c r="AG272" s="277" t="n">
        <v>1</v>
      </c>
      <c r="AH272" s="277" t="n">
        <v>1</v>
      </c>
      <c r="AI272" s="277" t="n">
        <v>1</v>
      </c>
      <c r="AJ272" s="277" t="n">
        <v>1</v>
      </c>
      <c r="AK272" s="277" t="n">
        <v>1</v>
      </c>
      <c r="AL272" s="277" t="n">
        <v>1</v>
      </c>
      <c r="AM272" s="277" t="n">
        <v>1</v>
      </c>
      <c r="AN272" s="277" t="n">
        <v>1</v>
      </c>
      <c r="AO272" s="277" t="n">
        <v>1</v>
      </c>
      <c r="AP272" s="277" t="n">
        <v>1</v>
      </c>
      <c r="AQ272" s="277" t="n">
        <v>1</v>
      </c>
      <c r="AR272" s="277" t="n">
        <v>1</v>
      </c>
      <c r="AS272" s="277" t="n">
        <v>1</v>
      </c>
      <c r="AT272" s="277" t="n">
        <v>1</v>
      </c>
      <c r="AU272" s="277" t="n">
        <v>1</v>
      </c>
      <c r="AV272" s="277" t="n">
        <v>1</v>
      </c>
      <c r="AW272" s="277" t="n">
        <v>1</v>
      </c>
      <c r="AX272" s="277" t="n">
        <v>1</v>
      </c>
      <c r="AY272" s="277" t="n">
        <v>1</v>
      </c>
      <c r="AZ272" s="277" t="n">
        <v>1</v>
      </c>
    </row>
    <row r="273" customFormat="false" ht="15" hidden="false" customHeight="false" outlineLevel="0" collapsed="false">
      <c r="A273" s="275" t="s">
        <v>377</v>
      </c>
      <c r="B273" s="275"/>
      <c r="C273" s="276" t="n">
        <v>1</v>
      </c>
      <c r="D273" s="276" t="n">
        <v>1</v>
      </c>
      <c r="E273" s="276" t="n">
        <v>1</v>
      </c>
      <c r="F273" s="276" t="n">
        <v>1</v>
      </c>
      <c r="G273" s="276" t="n">
        <v>1</v>
      </c>
      <c r="H273" s="276" t="n">
        <v>1</v>
      </c>
      <c r="I273" s="276" t="n">
        <v>1</v>
      </c>
      <c r="J273" s="276" t="n">
        <v>1</v>
      </c>
      <c r="K273" s="276" t="n">
        <v>1</v>
      </c>
      <c r="L273" s="276" t="n">
        <v>1</v>
      </c>
      <c r="M273" s="276" t="n">
        <v>1</v>
      </c>
      <c r="N273" s="276" t="n">
        <v>1</v>
      </c>
      <c r="O273" s="276" t="n">
        <v>1</v>
      </c>
      <c r="P273" s="276" t="n">
        <v>1</v>
      </c>
      <c r="Q273" s="277" t="n">
        <v>1</v>
      </c>
      <c r="R273" s="277" t="n">
        <v>1</v>
      </c>
      <c r="S273" s="277" t="n">
        <v>1</v>
      </c>
      <c r="T273" s="277" t="n">
        <v>1</v>
      </c>
      <c r="U273" s="277" t="n">
        <v>1</v>
      </c>
      <c r="V273" s="277" t="n">
        <v>1</v>
      </c>
      <c r="W273" s="277" t="n">
        <v>1</v>
      </c>
      <c r="X273" s="277" t="n">
        <v>1</v>
      </c>
      <c r="Y273" s="277" t="n">
        <v>1</v>
      </c>
      <c r="Z273" s="277" t="n">
        <v>1</v>
      </c>
      <c r="AA273" s="277" t="n">
        <v>1</v>
      </c>
      <c r="AB273" s="277" t="n">
        <v>1</v>
      </c>
      <c r="AC273" s="277" t="n">
        <v>1</v>
      </c>
      <c r="AD273" s="277" t="n">
        <v>1</v>
      </c>
      <c r="AE273" s="277" t="n">
        <v>1</v>
      </c>
      <c r="AF273" s="277" t="n">
        <v>1</v>
      </c>
      <c r="AG273" s="277" t="n">
        <v>1</v>
      </c>
      <c r="AH273" s="277" t="n">
        <v>1</v>
      </c>
      <c r="AI273" s="277" t="n">
        <v>1</v>
      </c>
      <c r="AJ273" s="277" t="n">
        <v>1</v>
      </c>
      <c r="AK273" s="277" t="n">
        <v>1</v>
      </c>
      <c r="AL273" s="277" t="n">
        <v>1</v>
      </c>
      <c r="AM273" s="277" t="n">
        <v>1</v>
      </c>
      <c r="AN273" s="277" t="n">
        <v>1</v>
      </c>
      <c r="AO273" s="277" t="n">
        <v>1</v>
      </c>
      <c r="AP273" s="277" t="n">
        <v>1</v>
      </c>
      <c r="AQ273" s="277" t="n">
        <v>1</v>
      </c>
      <c r="AR273" s="277" t="n">
        <v>1</v>
      </c>
      <c r="AS273" s="277" t="n">
        <v>1</v>
      </c>
      <c r="AT273" s="277" t="n">
        <v>1</v>
      </c>
      <c r="AU273" s="277" t="n">
        <v>1</v>
      </c>
      <c r="AV273" s="277" t="n">
        <v>1</v>
      </c>
      <c r="AW273" s="277" t="n">
        <v>1</v>
      </c>
      <c r="AX273" s="277" t="n">
        <v>1</v>
      </c>
      <c r="AY273" s="277" t="n">
        <v>1</v>
      </c>
      <c r="AZ273" s="277" t="n">
        <v>1</v>
      </c>
    </row>
    <row r="274" customFormat="false" ht="15" hidden="false" customHeight="false" outlineLevel="0" collapsed="false">
      <c r="A274" s="275" t="s">
        <v>378</v>
      </c>
      <c r="B274" s="275"/>
      <c r="C274" s="276" t="n">
        <v>1</v>
      </c>
      <c r="D274" s="276" t="n">
        <v>1</v>
      </c>
      <c r="E274" s="276" t="n">
        <v>1</v>
      </c>
      <c r="F274" s="276" t="n">
        <v>1</v>
      </c>
      <c r="G274" s="276" t="n">
        <v>1</v>
      </c>
      <c r="H274" s="276" t="n">
        <v>1</v>
      </c>
      <c r="I274" s="276" t="n">
        <v>1</v>
      </c>
      <c r="J274" s="276" t="n">
        <v>1</v>
      </c>
      <c r="K274" s="276" t="n">
        <v>1</v>
      </c>
      <c r="L274" s="276" t="n">
        <v>1</v>
      </c>
      <c r="M274" s="276" t="n">
        <v>1</v>
      </c>
      <c r="N274" s="276" t="n">
        <v>1</v>
      </c>
      <c r="O274" s="276" t="n">
        <v>1</v>
      </c>
      <c r="P274" s="276" t="n">
        <v>1</v>
      </c>
      <c r="Q274" s="277" t="n">
        <v>1</v>
      </c>
      <c r="R274" s="277" t="n">
        <v>1</v>
      </c>
      <c r="S274" s="277" t="n">
        <v>1</v>
      </c>
      <c r="T274" s="277" t="n">
        <v>1</v>
      </c>
      <c r="U274" s="277" t="n">
        <v>1</v>
      </c>
      <c r="V274" s="277" t="n">
        <v>1</v>
      </c>
      <c r="W274" s="277" t="n">
        <v>1</v>
      </c>
      <c r="X274" s="277" t="n">
        <v>1</v>
      </c>
      <c r="Y274" s="277" t="n">
        <v>1</v>
      </c>
      <c r="Z274" s="277" t="n">
        <v>1</v>
      </c>
      <c r="AA274" s="277" t="n">
        <v>1</v>
      </c>
      <c r="AB274" s="277" t="n">
        <v>1</v>
      </c>
      <c r="AC274" s="277" t="n">
        <v>1</v>
      </c>
      <c r="AD274" s="277" t="n">
        <v>1</v>
      </c>
      <c r="AE274" s="277" t="n">
        <v>1</v>
      </c>
      <c r="AF274" s="277" t="n">
        <v>1</v>
      </c>
      <c r="AG274" s="277" t="n">
        <v>1</v>
      </c>
      <c r="AH274" s="277" t="n">
        <v>1</v>
      </c>
      <c r="AI274" s="277" t="n">
        <v>1</v>
      </c>
      <c r="AJ274" s="277" t="n">
        <v>1</v>
      </c>
      <c r="AK274" s="277" t="n">
        <v>1</v>
      </c>
      <c r="AL274" s="277" t="n">
        <v>1</v>
      </c>
      <c r="AM274" s="277" t="n">
        <v>1</v>
      </c>
      <c r="AN274" s="277" t="n">
        <v>1</v>
      </c>
      <c r="AO274" s="277" t="n">
        <v>1</v>
      </c>
      <c r="AP274" s="277" t="n">
        <v>1</v>
      </c>
      <c r="AQ274" s="277" t="n">
        <v>1</v>
      </c>
      <c r="AR274" s="277" t="n">
        <v>1</v>
      </c>
      <c r="AS274" s="277" t="n">
        <v>1</v>
      </c>
      <c r="AT274" s="277" t="n">
        <v>1</v>
      </c>
      <c r="AU274" s="277" t="n">
        <v>1</v>
      </c>
      <c r="AV274" s="277" t="n">
        <v>1</v>
      </c>
      <c r="AW274" s="277" t="n">
        <v>1</v>
      </c>
      <c r="AX274" s="277" t="n">
        <v>1</v>
      </c>
      <c r="AY274" s="277" t="n">
        <v>1</v>
      </c>
      <c r="AZ274" s="277" t="n">
        <v>1</v>
      </c>
    </row>
    <row r="275" customFormat="false" ht="15.75" hidden="false" customHeight="true" outlineLevel="0" collapsed="false">
      <c r="A275" s="200" t="s">
        <v>647</v>
      </c>
      <c r="B275" s="200"/>
      <c r="C275" s="200"/>
      <c r="D275" s="200"/>
      <c r="E275" s="200"/>
      <c r="F275" s="200"/>
      <c r="G275" s="200"/>
      <c r="H275" s="200"/>
      <c r="I275" s="200"/>
      <c r="J275" s="200"/>
      <c r="K275" s="200"/>
      <c r="L275" s="200"/>
      <c r="M275" s="200"/>
      <c r="N275" s="200"/>
      <c r="O275" s="200"/>
      <c r="P275" s="200"/>
      <c r="Q275" s="200"/>
    </row>
    <row r="276" customFormat="false" ht="15" hidden="false" customHeight="false" outlineLevel="0" collapsed="false">
      <c r="A276" s="275" t="s">
        <v>374</v>
      </c>
      <c r="B276" s="275"/>
      <c r="C276" s="276" t="n">
        <v>2050</v>
      </c>
      <c r="D276" s="276" t="n">
        <v>2050</v>
      </c>
      <c r="E276" s="276" t="n">
        <v>2050</v>
      </c>
      <c r="F276" s="276" t="n">
        <v>2050</v>
      </c>
      <c r="G276" s="276" t="n">
        <v>2050</v>
      </c>
      <c r="H276" s="276" t="n">
        <v>2050</v>
      </c>
      <c r="I276" s="276" t="n">
        <v>2050</v>
      </c>
      <c r="J276" s="276" t="n">
        <v>2050</v>
      </c>
      <c r="K276" s="276" t="n">
        <v>2050</v>
      </c>
      <c r="L276" s="276" t="n">
        <v>2050</v>
      </c>
      <c r="M276" s="276" t="n">
        <v>2050</v>
      </c>
      <c r="N276" s="276" t="n">
        <v>2050</v>
      </c>
      <c r="O276" s="276" t="n">
        <v>2050</v>
      </c>
      <c r="P276" s="276" t="n">
        <v>2050</v>
      </c>
      <c r="Q276" s="277" t="n">
        <v>2050</v>
      </c>
      <c r="R276" s="277" t="n">
        <v>2050</v>
      </c>
      <c r="S276" s="277" t="n">
        <v>2050</v>
      </c>
      <c r="T276" s="277" t="n">
        <v>2050</v>
      </c>
      <c r="U276" s="277" t="n">
        <v>2050</v>
      </c>
      <c r="V276" s="277" t="n">
        <v>2050</v>
      </c>
      <c r="W276" s="277" t="n">
        <v>2050</v>
      </c>
      <c r="X276" s="277" t="n">
        <v>2050</v>
      </c>
      <c r="Y276" s="277" t="n">
        <v>2050</v>
      </c>
      <c r="Z276" s="277" t="n">
        <v>2050</v>
      </c>
      <c r="AA276" s="277" t="n">
        <v>2050</v>
      </c>
      <c r="AB276" s="277" t="n">
        <v>2050</v>
      </c>
      <c r="AC276" s="277" t="n">
        <v>2050</v>
      </c>
      <c r="AD276" s="277" t="n">
        <v>2050</v>
      </c>
      <c r="AE276" s="277" t="n">
        <v>2050</v>
      </c>
      <c r="AF276" s="277" t="n">
        <v>2050</v>
      </c>
      <c r="AG276" s="277" t="n">
        <v>2050</v>
      </c>
      <c r="AH276" s="277" t="n">
        <v>2050</v>
      </c>
      <c r="AI276" s="277" t="n">
        <v>2050</v>
      </c>
      <c r="AJ276" s="277" t="n">
        <v>2050</v>
      </c>
      <c r="AK276" s="277" t="n">
        <v>2050</v>
      </c>
      <c r="AL276" s="277" t="n">
        <v>2050</v>
      </c>
      <c r="AM276" s="277" t="n">
        <v>2050</v>
      </c>
      <c r="AN276" s="277" t="n">
        <v>2050</v>
      </c>
      <c r="AO276" s="277" t="n">
        <v>2050</v>
      </c>
      <c r="AP276" s="277" t="n">
        <v>2050</v>
      </c>
      <c r="AQ276" s="277" t="n">
        <v>2050</v>
      </c>
      <c r="AR276" s="277" t="n">
        <v>2050</v>
      </c>
      <c r="AS276" s="277" t="n">
        <v>2050</v>
      </c>
      <c r="AT276" s="277" t="n">
        <v>2050</v>
      </c>
      <c r="AU276" s="277" t="n">
        <v>2050</v>
      </c>
      <c r="AV276" s="277" t="n">
        <v>2050</v>
      </c>
      <c r="AW276" s="277" t="n">
        <v>2050</v>
      </c>
      <c r="AX276" s="277" t="n">
        <v>2050</v>
      </c>
      <c r="AY276" s="277" t="n">
        <v>2050</v>
      </c>
      <c r="AZ276" s="277" t="n">
        <v>2050</v>
      </c>
    </row>
    <row r="277" customFormat="false" ht="15" hidden="false" customHeight="false" outlineLevel="0" collapsed="false">
      <c r="A277" s="275" t="s">
        <v>375</v>
      </c>
      <c r="B277" s="275"/>
      <c r="C277" s="276" t="n">
        <v>2050</v>
      </c>
      <c r="D277" s="276" t="n">
        <v>2050</v>
      </c>
      <c r="E277" s="276" t="n">
        <v>2050</v>
      </c>
      <c r="F277" s="276" t="n">
        <v>2050</v>
      </c>
      <c r="G277" s="276" t="n">
        <v>2050</v>
      </c>
      <c r="H277" s="276" t="n">
        <v>2050</v>
      </c>
      <c r="I277" s="276" t="n">
        <v>2050</v>
      </c>
      <c r="J277" s="276" t="n">
        <v>2050</v>
      </c>
      <c r="K277" s="276" t="n">
        <v>2050</v>
      </c>
      <c r="L277" s="276" t="n">
        <v>2050</v>
      </c>
      <c r="M277" s="276" t="n">
        <v>2050</v>
      </c>
      <c r="N277" s="276" t="n">
        <v>2050</v>
      </c>
      <c r="O277" s="276" t="n">
        <v>2050</v>
      </c>
      <c r="P277" s="276" t="n">
        <v>2050</v>
      </c>
      <c r="Q277" s="277" t="n">
        <v>2050</v>
      </c>
      <c r="R277" s="277" t="n">
        <v>2050</v>
      </c>
      <c r="S277" s="277" t="n">
        <v>2050</v>
      </c>
      <c r="T277" s="277" t="n">
        <v>2050</v>
      </c>
      <c r="U277" s="277" t="n">
        <v>2050</v>
      </c>
      <c r="V277" s="277" t="n">
        <v>2050</v>
      </c>
      <c r="W277" s="277" t="n">
        <v>2050</v>
      </c>
      <c r="X277" s="277" t="n">
        <v>2050</v>
      </c>
      <c r="Y277" s="277" t="n">
        <v>2050</v>
      </c>
      <c r="Z277" s="277" t="n">
        <v>2050</v>
      </c>
      <c r="AA277" s="277" t="n">
        <v>2050</v>
      </c>
      <c r="AB277" s="277" t="n">
        <v>2050</v>
      </c>
      <c r="AC277" s="277" t="n">
        <v>2050</v>
      </c>
      <c r="AD277" s="277" t="n">
        <v>2050</v>
      </c>
      <c r="AE277" s="277" t="n">
        <v>2050</v>
      </c>
      <c r="AF277" s="277" t="n">
        <v>2050</v>
      </c>
      <c r="AG277" s="277" t="n">
        <v>2050</v>
      </c>
      <c r="AH277" s="277" t="n">
        <v>2050</v>
      </c>
      <c r="AI277" s="277" t="n">
        <v>2050</v>
      </c>
      <c r="AJ277" s="277" t="n">
        <v>2050</v>
      </c>
      <c r="AK277" s="277" t="n">
        <v>2050</v>
      </c>
      <c r="AL277" s="277" t="n">
        <v>2050</v>
      </c>
      <c r="AM277" s="277" t="n">
        <v>2050</v>
      </c>
      <c r="AN277" s="277" t="n">
        <v>2050</v>
      </c>
      <c r="AO277" s="277" t="n">
        <v>2050</v>
      </c>
      <c r="AP277" s="277" t="n">
        <v>2050</v>
      </c>
      <c r="AQ277" s="277" t="n">
        <v>2050</v>
      </c>
      <c r="AR277" s="277" t="n">
        <v>2050</v>
      </c>
      <c r="AS277" s="277" t="n">
        <v>2050</v>
      </c>
      <c r="AT277" s="277" t="n">
        <v>2050</v>
      </c>
      <c r="AU277" s="277" t="n">
        <v>2050</v>
      </c>
      <c r="AV277" s="277" t="n">
        <v>2050</v>
      </c>
      <c r="AW277" s="277" t="n">
        <v>2050</v>
      </c>
      <c r="AX277" s="277" t="n">
        <v>2050</v>
      </c>
      <c r="AY277" s="277" t="n">
        <v>2050</v>
      </c>
      <c r="AZ277" s="277" t="n">
        <v>2050</v>
      </c>
    </row>
    <row r="278" customFormat="false" ht="15" hidden="false" customHeight="false" outlineLevel="0" collapsed="false">
      <c r="A278" s="275" t="s">
        <v>376</v>
      </c>
      <c r="B278" s="275"/>
      <c r="C278" s="276" t="n">
        <v>2050</v>
      </c>
      <c r="D278" s="276" t="n">
        <v>2050</v>
      </c>
      <c r="E278" s="276" t="n">
        <v>2050</v>
      </c>
      <c r="F278" s="276" t="n">
        <v>2050</v>
      </c>
      <c r="G278" s="276" t="n">
        <v>2050</v>
      </c>
      <c r="H278" s="276" t="n">
        <v>2050</v>
      </c>
      <c r="I278" s="276" t="n">
        <v>2050</v>
      </c>
      <c r="J278" s="276" t="n">
        <v>2050</v>
      </c>
      <c r="K278" s="276" t="n">
        <v>2050</v>
      </c>
      <c r="L278" s="276" t="n">
        <v>2050</v>
      </c>
      <c r="M278" s="276" t="n">
        <v>2050</v>
      </c>
      <c r="N278" s="276" t="n">
        <v>2050</v>
      </c>
      <c r="O278" s="276" t="n">
        <v>2050</v>
      </c>
      <c r="P278" s="276" t="n">
        <v>2050</v>
      </c>
      <c r="Q278" s="277" t="n">
        <v>2050</v>
      </c>
      <c r="R278" s="277" t="n">
        <v>2050</v>
      </c>
      <c r="S278" s="277" t="n">
        <v>2050</v>
      </c>
      <c r="T278" s="277" t="n">
        <v>2050</v>
      </c>
      <c r="U278" s="277" t="n">
        <v>2050</v>
      </c>
      <c r="V278" s="277" t="n">
        <v>2050</v>
      </c>
      <c r="W278" s="277" t="n">
        <v>2050</v>
      </c>
      <c r="X278" s="277" t="n">
        <v>2050</v>
      </c>
      <c r="Y278" s="277" t="n">
        <v>2050</v>
      </c>
      <c r="Z278" s="277" t="n">
        <v>2050</v>
      </c>
      <c r="AA278" s="277" t="n">
        <v>2050</v>
      </c>
      <c r="AB278" s="277" t="n">
        <v>2050</v>
      </c>
      <c r="AC278" s="277" t="n">
        <v>2050</v>
      </c>
      <c r="AD278" s="277" t="n">
        <v>2050</v>
      </c>
      <c r="AE278" s="277" t="n">
        <v>2050</v>
      </c>
      <c r="AF278" s="277" t="n">
        <v>2050</v>
      </c>
      <c r="AG278" s="277" t="n">
        <v>2050</v>
      </c>
      <c r="AH278" s="277" t="n">
        <v>2050</v>
      </c>
      <c r="AI278" s="277" t="n">
        <v>2050</v>
      </c>
      <c r="AJ278" s="277" t="n">
        <v>2050</v>
      </c>
      <c r="AK278" s="277" t="n">
        <v>2050</v>
      </c>
      <c r="AL278" s="277" t="n">
        <v>2050</v>
      </c>
      <c r="AM278" s="277" t="n">
        <v>2050</v>
      </c>
      <c r="AN278" s="277" t="n">
        <v>2050</v>
      </c>
      <c r="AO278" s="277" t="n">
        <v>2050</v>
      </c>
      <c r="AP278" s="277" t="n">
        <v>2050</v>
      </c>
      <c r="AQ278" s="277" t="n">
        <v>2050</v>
      </c>
      <c r="AR278" s="277" t="n">
        <v>2050</v>
      </c>
      <c r="AS278" s="277" t="n">
        <v>2050</v>
      </c>
      <c r="AT278" s="277" t="n">
        <v>2050</v>
      </c>
      <c r="AU278" s="277" t="n">
        <v>2050</v>
      </c>
      <c r="AV278" s="277" t="n">
        <v>2050</v>
      </c>
      <c r="AW278" s="277" t="n">
        <v>2050</v>
      </c>
      <c r="AX278" s="277" t="n">
        <v>2050</v>
      </c>
      <c r="AY278" s="277" t="n">
        <v>2050</v>
      </c>
      <c r="AZ278" s="277" t="n">
        <v>2050</v>
      </c>
    </row>
    <row r="279" customFormat="false" ht="15" hidden="false" customHeight="false" outlineLevel="0" collapsed="false">
      <c r="A279" s="275" t="s">
        <v>377</v>
      </c>
      <c r="B279" s="275"/>
      <c r="C279" s="276" t="n">
        <v>2050</v>
      </c>
      <c r="D279" s="276" t="n">
        <v>2050</v>
      </c>
      <c r="E279" s="276" t="n">
        <v>2050</v>
      </c>
      <c r="F279" s="276" t="n">
        <v>2050</v>
      </c>
      <c r="G279" s="276" t="n">
        <v>2050</v>
      </c>
      <c r="H279" s="276" t="n">
        <v>2050</v>
      </c>
      <c r="I279" s="276" t="n">
        <v>2050</v>
      </c>
      <c r="J279" s="276" t="n">
        <v>2050</v>
      </c>
      <c r="K279" s="276" t="n">
        <v>2050</v>
      </c>
      <c r="L279" s="276" t="n">
        <v>2050</v>
      </c>
      <c r="M279" s="276" t="n">
        <v>2050</v>
      </c>
      <c r="N279" s="276" t="n">
        <v>2050</v>
      </c>
      <c r="O279" s="276" t="n">
        <v>2050</v>
      </c>
      <c r="P279" s="276" t="n">
        <v>2050</v>
      </c>
      <c r="Q279" s="277" t="n">
        <v>2050</v>
      </c>
      <c r="R279" s="277" t="n">
        <v>2050</v>
      </c>
      <c r="S279" s="277" t="n">
        <v>2050</v>
      </c>
      <c r="T279" s="277" t="n">
        <v>2050</v>
      </c>
      <c r="U279" s="277" t="n">
        <v>2050</v>
      </c>
      <c r="V279" s="277" t="n">
        <v>2050</v>
      </c>
      <c r="W279" s="277" t="n">
        <v>2050</v>
      </c>
      <c r="X279" s="277" t="n">
        <v>2050</v>
      </c>
      <c r="Y279" s="277" t="n">
        <v>2050</v>
      </c>
      <c r="Z279" s="277" t="n">
        <v>2050</v>
      </c>
      <c r="AA279" s="277" t="n">
        <v>2050</v>
      </c>
      <c r="AB279" s="277" t="n">
        <v>2050</v>
      </c>
      <c r="AC279" s="277" t="n">
        <v>2050</v>
      </c>
      <c r="AD279" s="277" t="n">
        <v>2050</v>
      </c>
      <c r="AE279" s="277" t="n">
        <v>2050</v>
      </c>
      <c r="AF279" s="277" t="n">
        <v>2050</v>
      </c>
      <c r="AG279" s="277" t="n">
        <v>2050</v>
      </c>
      <c r="AH279" s="277" t="n">
        <v>2050</v>
      </c>
      <c r="AI279" s="277" t="n">
        <v>2050</v>
      </c>
      <c r="AJ279" s="277" t="n">
        <v>2050</v>
      </c>
      <c r="AK279" s="277" t="n">
        <v>2050</v>
      </c>
      <c r="AL279" s="277" t="n">
        <v>2050</v>
      </c>
      <c r="AM279" s="277" t="n">
        <v>2050</v>
      </c>
      <c r="AN279" s="277" t="n">
        <v>2050</v>
      </c>
      <c r="AO279" s="277" t="n">
        <v>2050</v>
      </c>
      <c r="AP279" s="277" t="n">
        <v>2050</v>
      </c>
      <c r="AQ279" s="277" t="n">
        <v>2050</v>
      </c>
      <c r="AR279" s="277" t="n">
        <v>2050</v>
      </c>
      <c r="AS279" s="277" t="n">
        <v>2050</v>
      </c>
      <c r="AT279" s="277" t="n">
        <v>2050</v>
      </c>
      <c r="AU279" s="277" t="n">
        <v>2050</v>
      </c>
      <c r="AV279" s="277" t="n">
        <v>2050</v>
      </c>
      <c r="AW279" s="277" t="n">
        <v>2050</v>
      </c>
      <c r="AX279" s="277" t="n">
        <v>2050</v>
      </c>
      <c r="AY279" s="277" t="n">
        <v>2050</v>
      </c>
      <c r="AZ279" s="277" t="n">
        <v>2050</v>
      </c>
    </row>
    <row r="280" customFormat="false" ht="15" hidden="false" customHeight="false" outlineLevel="0" collapsed="false">
      <c r="A280" s="275" t="s">
        <v>378</v>
      </c>
      <c r="B280" s="275"/>
      <c r="C280" s="278" t="n">
        <v>2050</v>
      </c>
      <c r="D280" s="278" t="n">
        <v>2050</v>
      </c>
      <c r="E280" s="278" t="n">
        <v>2050</v>
      </c>
      <c r="F280" s="278" t="n">
        <v>2050</v>
      </c>
      <c r="G280" s="278" t="n">
        <v>2050</v>
      </c>
      <c r="H280" s="278" t="n">
        <v>2050</v>
      </c>
      <c r="I280" s="278" t="n">
        <v>2050</v>
      </c>
      <c r="J280" s="278" t="n">
        <v>2050</v>
      </c>
      <c r="K280" s="278" t="n">
        <v>2050</v>
      </c>
      <c r="L280" s="278" t="n">
        <v>2050</v>
      </c>
      <c r="M280" s="278" t="n">
        <v>2050</v>
      </c>
      <c r="N280" s="278" t="n">
        <v>2050</v>
      </c>
      <c r="O280" s="278" t="n">
        <v>2050</v>
      </c>
      <c r="P280" s="278" t="n">
        <v>2050</v>
      </c>
      <c r="Q280" s="279" t="n">
        <v>2050</v>
      </c>
      <c r="R280" s="279" t="n">
        <v>2050</v>
      </c>
      <c r="S280" s="279" t="n">
        <v>2050</v>
      </c>
      <c r="T280" s="279" t="n">
        <v>2050</v>
      </c>
      <c r="U280" s="279" t="n">
        <v>2050</v>
      </c>
      <c r="V280" s="279" t="n">
        <v>2050</v>
      </c>
      <c r="W280" s="279" t="n">
        <v>2050</v>
      </c>
      <c r="X280" s="279" t="n">
        <v>2050</v>
      </c>
      <c r="Y280" s="279" t="n">
        <v>2050</v>
      </c>
      <c r="Z280" s="279" t="n">
        <v>2050</v>
      </c>
      <c r="AA280" s="279" t="n">
        <v>2050</v>
      </c>
      <c r="AB280" s="279" t="n">
        <v>2050</v>
      </c>
      <c r="AC280" s="279" t="n">
        <v>2050</v>
      </c>
      <c r="AD280" s="279" t="n">
        <v>2050</v>
      </c>
      <c r="AE280" s="279" t="n">
        <v>2050</v>
      </c>
      <c r="AF280" s="279" t="n">
        <v>2050</v>
      </c>
      <c r="AG280" s="279" t="n">
        <v>2050</v>
      </c>
      <c r="AH280" s="279" t="n">
        <v>2050</v>
      </c>
      <c r="AI280" s="279" t="n">
        <v>2050</v>
      </c>
      <c r="AJ280" s="279" t="n">
        <v>2050</v>
      </c>
      <c r="AK280" s="279" t="n">
        <v>2050</v>
      </c>
      <c r="AL280" s="279" t="n">
        <v>2050</v>
      </c>
      <c r="AM280" s="279" t="n">
        <v>2050</v>
      </c>
      <c r="AN280" s="279" t="n">
        <v>2050</v>
      </c>
      <c r="AO280" s="279" t="n">
        <v>2050</v>
      </c>
      <c r="AP280" s="279" t="n">
        <v>2050</v>
      </c>
      <c r="AQ280" s="279" t="n">
        <v>2050</v>
      </c>
      <c r="AR280" s="279" t="n">
        <v>2050</v>
      </c>
      <c r="AS280" s="279" t="n">
        <v>2050</v>
      </c>
      <c r="AT280" s="279" t="n">
        <v>2050</v>
      </c>
      <c r="AU280" s="279" t="n">
        <v>2050</v>
      </c>
      <c r="AV280" s="279" t="n">
        <v>2050</v>
      </c>
      <c r="AW280" s="279" t="n">
        <v>2050</v>
      </c>
      <c r="AX280" s="279" t="n">
        <v>2050</v>
      </c>
      <c r="AY280" s="279" t="n">
        <v>2050</v>
      </c>
      <c r="AZ280" s="279" t="n">
        <v>2050</v>
      </c>
    </row>
    <row r="282" customFormat="false" ht="23.25" hidden="false" customHeight="true" outlineLevel="0" collapsed="false">
      <c r="A282" s="200" t="s">
        <v>386</v>
      </c>
      <c r="B282" s="200"/>
      <c r="C282" s="200"/>
    </row>
    <row r="283" customFormat="false" ht="15.75" hidden="false" customHeight="true" outlineLevel="0" collapsed="false">
      <c r="A283" s="245" t="s">
        <v>387</v>
      </c>
      <c r="B283" s="280" t="s">
        <v>388</v>
      </c>
      <c r="C283" s="281" t="n">
        <v>1</v>
      </c>
    </row>
    <row r="284" customFormat="false" ht="14.25" hidden="false" customHeight="true" outlineLevel="0" collapsed="false">
      <c r="A284" s="245"/>
      <c r="B284" s="280" t="s">
        <v>389</v>
      </c>
      <c r="C284" s="281"/>
    </row>
    <row r="285" customFormat="false" ht="15" hidden="false" customHeight="false" outlineLevel="0" collapsed="false">
      <c r="A285" s="208" t="s">
        <v>648</v>
      </c>
      <c r="B285" s="280" t="s">
        <v>36</v>
      </c>
      <c r="C285" s="204" t="n">
        <v>2020</v>
      </c>
    </row>
    <row r="286" customFormat="false" ht="15" hidden="false" customHeight="false" outlineLevel="0" collapsed="false">
      <c r="A286" s="282" t="s">
        <v>390</v>
      </c>
      <c r="B286" s="283" t="s">
        <v>36</v>
      </c>
      <c r="C286" s="284" t="n">
        <v>2050</v>
      </c>
    </row>
    <row r="287" customFormat="false" ht="14.25" hidden="false" customHeight="true" outlineLevel="0" collapsed="false">
      <c r="A287" s="200" t="s">
        <v>394</v>
      </c>
      <c r="B287" s="200"/>
      <c r="C287" s="200"/>
      <c r="D287" s="200"/>
      <c r="E287" s="200"/>
      <c r="F287" s="200"/>
      <c r="G287" s="200"/>
      <c r="H287" s="200"/>
      <c r="I287" s="200"/>
      <c r="J287" s="200"/>
      <c r="K287" s="200"/>
      <c r="L287" s="200"/>
      <c r="M287" s="200"/>
      <c r="N287" s="200"/>
      <c r="O287" s="200"/>
      <c r="P287" s="200"/>
      <c r="Q287" s="200"/>
    </row>
    <row r="288" customFormat="false" ht="15" hidden="false" customHeight="false" outlineLevel="0" collapsed="false">
      <c r="A288" s="285" t="s">
        <v>649</v>
      </c>
      <c r="B288" s="285"/>
      <c r="C288" s="273" t="s">
        <v>580</v>
      </c>
      <c r="D288" s="273" t="s">
        <v>597</v>
      </c>
      <c r="E288" s="273" t="s">
        <v>598</v>
      </c>
      <c r="F288" s="273" t="s">
        <v>599</v>
      </c>
      <c r="G288" s="273" t="s">
        <v>600</v>
      </c>
      <c r="H288" s="273" t="s">
        <v>601</v>
      </c>
      <c r="I288" s="273" t="s">
        <v>602</v>
      </c>
      <c r="J288" s="273" t="s">
        <v>603</v>
      </c>
      <c r="K288" s="273" t="s">
        <v>354</v>
      </c>
      <c r="L288" s="273" t="s">
        <v>369</v>
      </c>
      <c r="M288" s="273" t="s">
        <v>604</v>
      </c>
      <c r="N288" s="273" t="s">
        <v>605</v>
      </c>
      <c r="O288" s="273" t="s">
        <v>606</v>
      </c>
      <c r="P288" s="273" t="s">
        <v>607</v>
      </c>
      <c r="Q288" s="274" t="s">
        <v>608</v>
      </c>
      <c r="R288" s="274" t="s">
        <v>609</v>
      </c>
      <c r="S288" s="274" t="s">
        <v>610</v>
      </c>
      <c r="T288" s="274" t="s">
        <v>611</v>
      </c>
      <c r="U288" s="274" t="s">
        <v>612</v>
      </c>
      <c r="V288" s="274" t="s">
        <v>613</v>
      </c>
      <c r="W288" s="274" t="s">
        <v>614</v>
      </c>
      <c r="X288" s="274" t="s">
        <v>615</v>
      </c>
      <c r="Y288" s="274" t="s">
        <v>616</v>
      </c>
      <c r="Z288" s="274" t="s">
        <v>617</v>
      </c>
      <c r="AA288" s="274" t="s">
        <v>618</v>
      </c>
      <c r="AB288" s="274" t="s">
        <v>619</v>
      </c>
      <c r="AC288" s="274" t="s">
        <v>620</v>
      </c>
      <c r="AD288" s="274" t="s">
        <v>621</v>
      </c>
      <c r="AE288" s="1" t="s">
        <v>622</v>
      </c>
      <c r="AF288" s="1" t="s">
        <v>623</v>
      </c>
      <c r="AG288" s="1" t="s">
        <v>624</v>
      </c>
      <c r="AH288" s="1" t="s">
        <v>625</v>
      </c>
      <c r="AI288" s="1" t="s">
        <v>626</v>
      </c>
      <c r="AJ288" s="1" t="s">
        <v>627</v>
      </c>
      <c r="AK288" s="1" t="s">
        <v>628</v>
      </c>
      <c r="AL288" s="1" t="s">
        <v>629</v>
      </c>
      <c r="AM288" s="1" t="s">
        <v>630</v>
      </c>
      <c r="AN288" s="1" t="s">
        <v>631</v>
      </c>
      <c r="AO288" s="1" t="s">
        <v>632</v>
      </c>
      <c r="AP288" s="1" t="s">
        <v>633</v>
      </c>
      <c r="AQ288" s="1" t="s">
        <v>634</v>
      </c>
      <c r="AR288" s="1" t="s">
        <v>635</v>
      </c>
      <c r="AS288" s="1" t="s">
        <v>636</v>
      </c>
      <c r="AT288" s="1" t="s">
        <v>637</v>
      </c>
      <c r="AU288" s="1" t="s">
        <v>638</v>
      </c>
      <c r="AV288" s="1" t="s">
        <v>639</v>
      </c>
      <c r="AW288" s="1" t="s">
        <v>640</v>
      </c>
      <c r="AX288" s="1" t="s">
        <v>641</v>
      </c>
      <c r="AY288" s="1" t="s">
        <v>642</v>
      </c>
      <c r="AZ288" s="1" t="s">
        <v>643</v>
      </c>
    </row>
    <row r="289" customFormat="false" ht="16.4" hidden="false" customHeight="false" outlineLevel="0" collapsed="false">
      <c r="A289" s="286" t="s">
        <v>374</v>
      </c>
      <c r="B289" s="286"/>
      <c r="C289" s="287" t="n">
        <v>6.63886470341898E-007</v>
      </c>
      <c r="D289" s="287" t="n">
        <v>3.94150567716759E-007</v>
      </c>
      <c r="E289" s="287" t="n">
        <v>2.60568742418199E-007</v>
      </c>
      <c r="F289" s="287" t="n">
        <v>6.18039564557812E-007</v>
      </c>
      <c r="G289" s="287" t="n">
        <v>9.7945182522388E-012</v>
      </c>
      <c r="H289" s="287" t="n">
        <v>7.30787418870611E-007</v>
      </c>
      <c r="I289" s="287" t="n">
        <v>3.79996708414692E-007</v>
      </c>
      <c r="J289" s="287" t="n">
        <v>5.57245049378412E-008</v>
      </c>
      <c r="K289" s="287" t="n">
        <v>3.61288267486793E-008</v>
      </c>
      <c r="L289" s="287" t="n">
        <v>2.5952047310106E-007</v>
      </c>
      <c r="M289" s="287" t="n">
        <v>8.27091816090622E-007</v>
      </c>
      <c r="N289" s="287" t="n">
        <v>5.65420601412154E-007</v>
      </c>
      <c r="O289" s="287" t="n">
        <v>7.21581299965534E-008</v>
      </c>
      <c r="P289" s="287" t="n">
        <v>1.15467604006966E-007</v>
      </c>
      <c r="Q289" s="287" t="n">
        <v>5.86077156941521E-007</v>
      </c>
      <c r="R289" s="287" t="n">
        <v>1.79320763389123E-008</v>
      </c>
      <c r="S289" s="287" t="n">
        <v>6.43633772333513E-008</v>
      </c>
      <c r="T289" s="287" t="n">
        <v>2.23024552956448E-007</v>
      </c>
      <c r="U289" s="287" t="n">
        <v>6.40515485778184E-008</v>
      </c>
      <c r="V289" s="287" t="n">
        <v>1.99496814280996E-007</v>
      </c>
      <c r="W289" s="287" t="n">
        <v>2.16510736064606E-007</v>
      </c>
      <c r="X289" s="287" t="n">
        <v>2.30452333108599E-009</v>
      </c>
      <c r="Y289" s="287" t="n">
        <v>1.70445443975063E-007</v>
      </c>
      <c r="Z289" s="287" t="n">
        <v>2.14575741626411E-007</v>
      </c>
      <c r="AA289" s="287" t="n">
        <v>1.05813934184632E-007</v>
      </c>
      <c r="AB289" s="287" t="n">
        <v>1.43702630489252E-007</v>
      </c>
      <c r="AC289" s="287" t="n">
        <v>7.13526139338255E-007</v>
      </c>
      <c r="AD289" s="287" t="n">
        <v>5.78349221314126E-008</v>
      </c>
      <c r="AE289" s="287" t="n">
        <v>4.55283697897388E-007</v>
      </c>
      <c r="AF289" s="287" t="n">
        <v>1.4631072238219E-012</v>
      </c>
      <c r="AG289" s="287" t="n">
        <v>8.90634162582962E-007</v>
      </c>
      <c r="AH289" s="287" t="n">
        <v>9.95236494024349E-008</v>
      </c>
      <c r="AI289" s="287" t="n">
        <v>4.39854052739937E-007</v>
      </c>
      <c r="AJ289" s="287" t="n">
        <v>1.54705102206599E-006</v>
      </c>
      <c r="AK289" s="287" t="n">
        <v>1.67290094289979E-007</v>
      </c>
      <c r="AL289" s="287" t="n">
        <v>4.80047702366887E-008</v>
      </c>
      <c r="AM289" s="287" t="n">
        <v>2.43605175777352E-007</v>
      </c>
      <c r="AN289" s="287" t="n">
        <v>2.14930417487574E-007</v>
      </c>
      <c r="AO289" s="287" t="n">
        <v>5.2163583308111E-007</v>
      </c>
      <c r="AP289" s="287" t="n">
        <v>4.57953895527142E-008</v>
      </c>
      <c r="AQ289" s="287" t="n">
        <v>2.21076614024649E-007</v>
      </c>
      <c r="AR289" s="287" t="n">
        <v>7.17335252429736E-007</v>
      </c>
      <c r="AS289" s="287" t="n">
        <v>2.29855691026717E-007</v>
      </c>
      <c r="AT289" s="287" t="n">
        <v>3.59353945637237E-007</v>
      </c>
      <c r="AU289" s="287" t="n">
        <v>5.55277486818566E-008</v>
      </c>
      <c r="AV289" s="287" t="n">
        <v>2.76146559048761E-007</v>
      </c>
      <c r="AW289" s="287" t="n">
        <v>1.2478451666421E-007</v>
      </c>
      <c r="AX289" s="287" t="n">
        <v>7.90194845804216E-007</v>
      </c>
      <c r="AY289" s="287" t="n">
        <v>1.76720754271825E-007</v>
      </c>
      <c r="AZ289" s="287" t="n">
        <v>2.83769321539764E-007</v>
      </c>
    </row>
    <row r="290" customFormat="false" ht="16.4" hidden="false" customHeight="false" outlineLevel="0" collapsed="false">
      <c r="A290" s="286" t="s">
        <v>375</v>
      </c>
      <c r="B290" s="286"/>
      <c r="C290" s="287" t="n">
        <v>2.96516881270739E-007</v>
      </c>
      <c r="D290" s="287" t="n">
        <v>8.10772503054704E-008</v>
      </c>
      <c r="E290" s="287" t="n">
        <v>7.89829863900569E-008</v>
      </c>
      <c r="F290" s="287" t="n">
        <v>6.20388803050883E-008</v>
      </c>
      <c r="G290" s="287" t="n">
        <v>0</v>
      </c>
      <c r="H290" s="287" t="n">
        <v>4.7908817149566E-007</v>
      </c>
      <c r="I290" s="287" t="n">
        <v>3.57502383554569E-007</v>
      </c>
      <c r="J290" s="287" t="n">
        <v>1.06554192034763E-008</v>
      </c>
      <c r="K290" s="287" t="n">
        <v>7.99584554772683E-010</v>
      </c>
      <c r="L290" s="287" t="n">
        <v>8.52185138273226E-008</v>
      </c>
      <c r="M290" s="287" t="n">
        <v>2.14852762100774E-007</v>
      </c>
      <c r="N290" s="287" t="n">
        <v>1.10895766402122E-007</v>
      </c>
      <c r="O290" s="287" t="n">
        <v>1.39506978647443E-008</v>
      </c>
      <c r="P290" s="287" t="n">
        <v>1.51103032914926E-010</v>
      </c>
      <c r="Q290" s="287" t="n">
        <v>1.10118569158592E-007</v>
      </c>
      <c r="R290" s="287" t="n">
        <v>1.80174543212224E-008</v>
      </c>
      <c r="S290" s="287" t="n">
        <v>2.71629176508381E-008</v>
      </c>
      <c r="T290" s="287" t="n">
        <v>3.77721969217409E-008</v>
      </c>
      <c r="U290" s="287" t="n">
        <v>1.76200452781978E-008</v>
      </c>
      <c r="V290" s="287" t="n">
        <v>2.19715555458601E-011</v>
      </c>
      <c r="W290" s="287" t="n">
        <v>1.58704076568663E-008</v>
      </c>
      <c r="X290" s="287" t="n">
        <v>3.74917296314513E-011</v>
      </c>
      <c r="Y290" s="287" t="n">
        <v>1.34122216941754E-008</v>
      </c>
      <c r="Z290" s="287" t="n">
        <v>4.03874291054144E-008</v>
      </c>
      <c r="AA290" s="287" t="n">
        <v>8.53530814195144E-009</v>
      </c>
      <c r="AB290" s="287" t="n">
        <v>2.66228149798063E-008</v>
      </c>
      <c r="AC290" s="287" t="n">
        <v>4.70114190176689E-008</v>
      </c>
      <c r="AD290" s="287" t="n">
        <v>7.65154022401153E-009</v>
      </c>
      <c r="AE290" s="287" t="n">
        <v>1.32331150029219E-007</v>
      </c>
      <c r="AF290" s="287" t="n">
        <v>6.39098839548138E-013</v>
      </c>
      <c r="AG290" s="287" t="n">
        <v>5.12692740849996E-008</v>
      </c>
      <c r="AH290" s="287" t="n">
        <v>1.54183260641453E-008</v>
      </c>
      <c r="AI290" s="287" t="n">
        <v>5.08338935291531E-008</v>
      </c>
      <c r="AJ290" s="287" t="n">
        <v>4.53503147387902E-007</v>
      </c>
      <c r="AK290" s="287" t="n">
        <v>2.39586561887609E-008</v>
      </c>
      <c r="AL290" s="287" t="n">
        <v>3.50964702072094E-010</v>
      </c>
      <c r="AM290" s="287" t="n">
        <v>5.11551738455244E-008</v>
      </c>
      <c r="AN290" s="287" t="n">
        <v>5.09548143847647E-008</v>
      </c>
      <c r="AO290" s="287" t="n">
        <v>6.64316566547081E-008</v>
      </c>
      <c r="AP290" s="287" t="n">
        <v>1.18680324465321E-008</v>
      </c>
      <c r="AQ290" s="287" t="n">
        <v>2.72388475655604E-008</v>
      </c>
      <c r="AR290" s="287" t="n">
        <v>1.19222167639975E-007</v>
      </c>
      <c r="AS290" s="287" t="n">
        <v>4.49207481195052E-008</v>
      </c>
      <c r="AT290" s="287" t="n">
        <v>5.30722949091413E-008</v>
      </c>
      <c r="AU290" s="287" t="n">
        <v>9.59470293662527E-009</v>
      </c>
      <c r="AV290" s="287" t="n">
        <v>3.42310884882536E-008</v>
      </c>
      <c r="AW290" s="287" t="n">
        <v>2.95967932048111E-008</v>
      </c>
      <c r="AX290" s="287" t="n">
        <v>2.02052307354887E-007</v>
      </c>
      <c r="AY290" s="287" t="n">
        <v>3.54878329047639E-008</v>
      </c>
      <c r="AZ290" s="287" t="n">
        <v>9.76491392770843E-008</v>
      </c>
    </row>
    <row r="291" customFormat="false" ht="16.4" hidden="false" customHeight="false" outlineLevel="0" collapsed="false">
      <c r="A291" s="286" t="s">
        <v>376</v>
      </c>
      <c r="B291" s="286"/>
      <c r="C291" s="287" t="n">
        <v>1.03985060477212E-007</v>
      </c>
      <c r="D291" s="287" t="n">
        <v>1.05816095143156E-008</v>
      </c>
      <c r="E291" s="287" t="n">
        <v>8.62963840675025E-009</v>
      </c>
      <c r="F291" s="287" t="n">
        <v>6.39515827658307E-007</v>
      </c>
      <c r="G291" s="287" t="n">
        <v>2.59538869563096E-006</v>
      </c>
      <c r="H291" s="287" t="n">
        <v>1.45063395572007E-007</v>
      </c>
      <c r="I291" s="287" t="n">
        <v>7.71028297251538E-007</v>
      </c>
      <c r="J291" s="287" t="n">
        <v>4.84240843028939E-009</v>
      </c>
      <c r="K291" s="287" t="n">
        <v>3.11908643205391E-008</v>
      </c>
      <c r="L291" s="287" t="n">
        <v>7.14265826479656E-009</v>
      </c>
      <c r="M291" s="287" t="n">
        <v>3.56275094935266E-009</v>
      </c>
      <c r="N291" s="287" t="n">
        <v>5.24606565118125E-008</v>
      </c>
      <c r="O291" s="287" t="n">
        <v>4.64960103230333E-009</v>
      </c>
      <c r="P291" s="287" t="n">
        <v>6.18316953439596E-007</v>
      </c>
      <c r="Q291" s="287" t="n">
        <v>2.62773167010878E-008</v>
      </c>
      <c r="R291" s="287" t="n">
        <v>9.57826879928728E-008</v>
      </c>
      <c r="S291" s="287" t="n">
        <v>2.65813949416685E-009</v>
      </c>
      <c r="T291" s="287" t="n">
        <v>6.98132192781577E-009</v>
      </c>
      <c r="U291" s="287" t="n">
        <v>7.59936250316163E-009</v>
      </c>
      <c r="V291" s="287" t="n">
        <v>0</v>
      </c>
      <c r="W291" s="287" t="n">
        <v>7.51070502157832E-009</v>
      </c>
      <c r="X291" s="287" t="n">
        <v>0</v>
      </c>
      <c r="Y291" s="287" t="n">
        <v>4.05931896677906E-009</v>
      </c>
      <c r="Z291" s="287" t="n">
        <v>0</v>
      </c>
      <c r="AA291" s="287" t="n">
        <v>0</v>
      </c>
      <c r="AB291" s="287" t="n">
        <v>0</v>
      </c>
      <c r="AC291" s="287" t="n">
        <v>0</v>
      </c>
      <c r="AD291" s="287" t="n">
        <v>0</v>
      </c>
      <c r="AE291" s="287" t="n">
        <v>0</v>
      </c>
      <c r="AF291" s="287" t="n">
        <v>1.86869684099419E-006</v>
      </c>
      <c r="AG291" s="287" t="n">
        <v>1.61004890655885E-008</v>
      </c>
      <c r="AH291" s="287" t="n">
        <v>1.02044014948275E-008</v>
      </c>
      <c r="AI291" s="287" t="n">
        <v>2.24791935659965E-008</v>
      </c>
      <c r="AJ291" s="287" t="n">
        <v>2.75313261448201E-008</v>
      </c>
      <c r="AK291" s="287" t="n">
        <v>7.35478089435239E-009</v>
      </c>
      <c r="AL291" s="287" t="n">
        <v>3.13860550502194E-009</v>
      </c>
      <c r="AM291" s="287" t="n">
        <v>1.42818807900209E-008</v>
      </c>
      <c r="AN291" s="287" t="n">
        <v>4.29677219161295E-009</v>
      </c>
      <c r="AO291" s="287" t="n">
        <v>9.58563143408979E-009</v>
      </c>
      <c r="AP291" s="287" t="n">
        <v>1.62907973119895E-008</v>
      </c>
      <c r="AQ291" s="287" t="n">
        <v>1.12366081406735E-008</v>
      </c>
      <c r="AR291" s="287" t="n">
        <v>3.0619441960548E-008</v>
      </c>
      <c r="AS291" s="287" t="n">
        <v>2.18427314304282E-008</v>
      </c>
      <c r="AT291" s="287" t="n">
        <v>2.11221032080138E-008</v>
      </c>
      <c r="AU291" s="287" t="n">
        <v>6.35867131517186E-009</v>
      </c>
      <c r="AV291" s="287" t="n">
        <v>7.51800346755243E-009</v>
      </c>
      <c r="AW291" s="287" t="n">
        <v>8.26424165067171E-009</v>
      </c>
      <c r="AX291" s="287" t="n">
        <v>1.32083817894127E-008</v>
      </c>
      <c r="AY291" s="287" t="n">
        <v>1.98862491171199E-008</v>
      </c>
      <c r="AZ291" s="287" t="n">
        <v>8.93467073806494E-009</v>
      </c>
    </row>
    <row r="292" customFormat="false" ht="16.4" hidden="false" customHeight="false" outlineLevel="0" collapsed="false">
      <c r="A292" s="286" t="s">
        <v>377</v>
      </c>
      <c r="B292" s="286"/>
      <c r="C292" s="287" t="n">
        <v>2.37805242084638E-007</v>
      </c>
      <c r="D292" s="287" t="n">
        <v>2.41590751071734E-008</v>
      </c>
      <c r="E292" s="287" t="n">
        <v>1.64535942486436E-007</v>
      </c>
      <c r="F292" s="287" t="n">
        <v>1.6366374270558E-007</v>
      </c>
      <c r="G292" s="287" t="n">
        <v>1.23252359463612E-013</v>
      </c>
      <c r="H292" s="287" t="n">
        <v>2.12205292907869E-007</v>
      </c>
      <c r="I292" s="287" t="n">
        <v>3.0042902981562E-007</v>
      </c>
      <c r="J292" s="287" t="n">
        <v>2.06433622855199E-009</v>
      </c>
      <c r="K292" s="287" t="n">
        <v>8.02757779372753E-009</v>
      </c>
      <c r="L292" s="287" t="n">
        <v>5.1665115339739E-008</v>
      </c>
      <c r="M292" s="287" t="n">
        <v>3.09001090236525E-008</v>
      </c>
      <c r="N292" s="287" t="n">
        <v>1.52742359319682E-007</v>
      </c>
      <c r="O292" s="287" t="n">
        <v>9.39539928774511E-009</v>
      </c>
      <c r="P292" s="287" t="n">
        <v>1.73427341625118E-010</v>
      </c>
      <c r="Q292" s="287" t="n">
        <v>2.03760195363012E-007</v>
      </c>
      <c r="R292" s="287" t="n">
        <v>4.45075967337456E-009</v>
      </c>
      <c r="S292" s="287" t="n">
        <v>1.44876128952679E-008</v>
      </c>
      <c r="T292" s="287" t="n">
        <v>3.62943782334155E-008</v>
      </c>
      <c r="U292" s="287" t="n">
        <v>1.83385587676844E-008</v>
      </c>
      <c r="V292" s="287" t="n">
        <v>0</v>
      </c>
      <c r="W292" s="287" t="n">
        <v>4.24162858292576E-008</v>
      </c>
      <c r="X292" s="287" t="n">
        <v>0</v>
      </c>
      <c r="Y292" s="287" t="n">
        <v>2.81370479987201E-008</v>
      </c>
      <c r="Z292" s="287" t="n">
        <v>0</v>
      </c>
      <c r="AA292" s="287" t="n">
        <v>0</v>
      </c>
      <c r="AB292" s="287" t="n">
        <v>0</v>
      </c>
      <c r="AC292" s="287" t="n">
        <v>0</v>
      </c>
      <c r="AD292" s="287" t="n">
        <v>0</v>
      </c>
      <c r="AE292" s="287" t="n">
        <v>0</v>
      </c>
      <c r="AF292" s="287" t="n">
        <v>4.998673491132E-011</v>
      </c>
      <c r="AG292" s="287" t="n">
        <v>2.53513941095283E-007</v>
      </c>
      <c r="AH292" s="287" t="n">
        <v>7.55867901348769E-009</v>
      </c>
      <c r="AI292" s="287" t="n">
        <v>2.78354650919815E-008</v>
      </c>
      <c r="AJ292" s="287" t="n">
        <v>2.67083013381304E-007</v>
      </c>
      <c r="AK292" s="287" t="n">
        <v>4.15935189990369E-009</v>
      </c>
      <c r="AL292" s="287" t="n">
        <v>7.72133429019673E-007</v>
      </c>
      <c r="AM292" s="287" t="n">
        <v>1.58984479678419E-007</v>
      </c>
      <c r="AN292" s="287" t="n">
        <v>3.0208541449537E-009</v>
      </c>
      <c r="AO292" s="287" t="n">
        <v>7.62737548565083E-009</v>
      </c>
      <c r="AP292" s="287" t="n">
        <v>5.46632593848939E-009</v>
      </c>
      <c r="AQ292" s="287" t="n">
        <v>2.79167899693875E-008</v>
      </c>
      <c r="AR292" s="287" t="n">
        <v>2.83142259225388E-008</v>
      </c>
      <c r="AS292" s="287" t="n">
        <v>1.40315060224337E-008</v>
      </c>
      <c r="AT292" s="287" t="n">
        <v>4.08162195231356E-008</v>
      </c>
      <c r="AU292" s="287" t="n">
        <v>2.9850469705488E-008</v>
      </c>
      <c r="AV292" s="287" t="n">
        <v>8.10993964528122E-008</v>
      </c>
      <c r="AW292" s="287" t="n">
        <v>5.37079390876278E-009</v>
      </c>
      <c r="AX292" s="287" t="n">
        <v>9.51620164224819E-009</v>
      </c>
      <c r="AY292" s="287" t="n">
        <v>1.75384761655157E-008</v>
      </c>
      <c r="AZ292" s="287" t="n">
        <v>1.50128470573686E-008</v>
      </c>
    </row>
    <row r="293" customFormat="false" ht="16.4" hidden="false" customHeight="false" outlineLevel="0" collapsed="false">
      <c r="A293" s="288" t="s">
        <v>378</v>
      </c>
      <c r="B293" s="288"/>
      <c r="C293" s="287" t="n">
        <v>3.55254103935776E-007</v>
      </c>
      <c r="D293" s="287" t="n">
        <v>2.293184615359E-008</v>
      </c>
      <c r="E293" s="287" t="n">
        <v>6.11663711445528E-009</v>
      </c>
      <c r="F293" s="287" t="n">
        <v>1.72830341553575E-007</v>
      </c>
      <c r="G293" s="287" t="n">
        <v>4.23282798205905E-013</v>
      </c>
      <c r="H293" s="287" t="n">
        <v>1.02715463588318E-007</v>
      </c>
      <c r="I293" s="287" t="n">
        <v>2.54317389315155E-008</v>
      </c>
      <c r="J293" s="287" t="n">
        <v>1.44538316904563E-009</v>
      </c>
      <c r="K293" s="287" t="n">
        <v>8.27837885813566E-010</v>
      </c>
      <c r="L293" s="287" t="n">
        <v>7.32648755899637E-009</v>
      </c>
      <c r="M293" s="287" t="n">
        <v>1.32935668929863E-009</v>
      </c>
      <c r="N293" s="287" t="n">
        <v>6.48770648693752E-008</v>
      </c>
      <c r="O293" s="287" t="n">
        <v>2.19454217543183E-009</v>
      </c>
      <c r="P293" s="287" t="n">
        <v>1.59725642227265E-010</v>
      </c>
      <c r="Q293" s="287" t="n">
        <v>7.79524843134575E-008</v>
      </c>
      <c r="R293" s="287" t="n">
        <v>1.33218730349096E-007</v>
      </c>
      <c r="S293" s="287" t="n">
        <v>1.05842679959771E-008</v>
      </c>
      <c r="T293" s="287" t="n">
        <v>6.79219205852576E-009</v>
      </c>
      <c r="U293" s="287" t="n">
        <v>3.66888073402148E-009</v>
      </c>
      <c r="V293" s="287" t="n">
        <v>0</v>
      </c>
      <c r="W293" s="287" t="n">
        <v>4.06295820779553E-009</v>
      </c>
      <c r="X293" s="287" t="n">
        <v>0</v>
      </c>
      <c r="Y293" s="287" t="n">
        <v>1.74158675806592E-009</v>
      </c>
      <c r="Z293" s="287" t="n">
        <v>0</v>
      </c>
      <c r="AA293" s="287" t="n">
        <v>0</v>
      </c>
      <c r="AB293" s="287" t="n">
        <v>0</v>
      </c>
      <c r="AC293" s="287" t="n">
        <v>0</v>
      </c>
      <c r="AD293" s="287" t="n">
        <v>0</v>
      </c>
      <c r="AE293" s="287" t="n">
        <v>0</v>
      </c>
      <c r="AF293" s="287" t="n">
        <v>1.45230268881311E-013</v>
      </c>
      <c r="AG293" s="287" t="n">
        <v>1.7072629561898E-007</v>
      </c>
      <c r="AH293" s="287" t="n">
        <v>1.29452428734285E-008</v>
      </c>
      <c r="AI293" s="287" t="n">
        <v>1.52206927646019E-008</v>
      </c>
      <c r="AJ293" s="287" t="n">
        <v>1.74492038373036E-006</v>
      </c>
      <c r="AK293" s="287" t="n">
        <v>1.26760646242401E-009</v>
      </c>
      <c r="AL293" s="287" t="n">
        <v>3.50321801908544E-008</v>
      </c>
      <c r="AM293" s="287" t="n">
        <v>1.09165823370552E-008</v>
      </c>
      <c r="AN293" s="287" t="n">
        <v>7.03100193637215E-009</v>
      </c>
      <c r="AO293" s="287" t="n">
        <v>1.22885410104119E-008</v>
      </c>
      <c r="AP293" s="287" t="n">
        <v>2.93787471176384E-009</v>
      </c>
      <c r="AQ293" s="287" t="n">
        <v>1.3604627215381E-008</v>
      </c>
      <c r="AR293" s="287" t="n">
        <v>8.4049425998585E-009</v>
      </c>
      <c r="AS293" s="287" t="n">
        <v>7.25992206017063E-009</v>
      </c>
      <c r="AT293" s="287" t="n">
        <v>3.53340067381558E-008</v>
      </c>
      <c r="AU293" s="287" t="n">
        <v>3.52975990925663E-009</v>
      </c>
      <c r="AV293" s="287" t="n">
        <v>6.55218761879912E-009</v>
      </c>
      <c r="AW293" s="287" t="n">
        <v>3.41862512974805E-009</v>
      </c>
      <c r="AX293" s="287" t="n">
        <v>1.66424261223756E-008</v>
      </c>
      <c r="AY293" s="287" t="n">
        <v>9.60120680639634E-009</v>
      </c>
      <c r="AZ293" s="287" t="n">
        <v>4.02920443706696E-007</v>
      </c>
    </row>
    <row r="294" customFormat="false" ht="17.35" hidden="false" customHeight="false" outlineLevel="0" collapsed="false">
      <c r="A294" s="200" t="s">
        <v>397</v>
      </c>
      <c r="B294" s="200"/>
      <c r="C294" s="200"/>
    </row>
    <row r="295" customFormat="false" ht="31.3" hidden="false" customHeight="false" outlineLevel="0" collapsed="false">
      <c r="A295" s="289" t="s">
        <v>398</v>
      </c>
      <c r="B295" s="280" t="s">
        <v>36</v>
      </c>
      <c r="C295" s="204" t="n">
        <v>2020</v>
      </c>
    </row>
    <row r="296" customFormat="false" ht="31.3" hidden="false" customHeight="false" outlineLevel="0" collapsed="false">
      <c r="A296" s="272" t="s">
        <v>399</v>
      </c>
      <c r="B296" s="290" t="s">
        <v>327</v>
      </c>
      <c r="C296" s="244" t="n">
        <v>-0.3</v>
      </c>
    </row>
    <row r="298" customFormat="false" ht="14.25" hidden="false" customHeight="true" outlineLevel="0" collapsed="false">
      <c r="A298" s="200" t="s">
        <v>400</v>
      </c>
      <c r="B298" s="200"/>
      <c r="C298" s="200"/>
    </row>
    <row r="299" customFormat="false" ht="28.5" hidden="false" customHeight="true" outlineLevel="0" collapsed="false">
      <c r="A299" s="291" t="s">
        <v>401</v>
      </c>
      <c r="B299" s="280" t="s">
        <v>28</v>
      </c>
      <c r="C299" s="281" t="n">
        <v>1</v>
      </c>
    </row>
    <row r="300" customFormat="false" ht="14.25" hidden="false" customHeight="true" outlineLevel="0" collapsed="false">
      <c r="A300" s="292" t="s">
        <v>403</v>
      </c>
      <c r="B300" s="280" t="s">
        <v>404</v>
      </c>
      <c r="C300" s="293" t="n">
        <v>1</v>
      </c>
    </row>
    <row r="301" customFormat="false" ht="15" hidden="false" customHeight="false" outlineLevel="0" collapsed="false">
      <c r="A301" s="292"/>
      <c r="B301" s="280" t="s">
        <v>408</v>
      </c>
      <c r="C301" s="293"/>
    </row>
    <row r="302" customFormat="false" ht="15" hidden="false" customHeight="false" outlineLevel="0" collapsed="false">
      <c r="A302" s="292"/>
      <c r="B302" s="280" t="s">
        <v>409</v>
      </c>
      <c r="C302" s="293"/>
    </row>
    <row r="303" customFormat="false" ht="16.4" hidden="false" customHeight="false" outlineLevel="0" collapsed="false">
      <c r="A303" s="291" t="s">
        <v>650</v>
      </c>
      <c r="B303" s="280" t="s">
        <v>651</v>
      </c>
      <c r="C303" s="204" t="n">
        <v>0.1</v>
      </c>
    </row>
    <row r="304" customFormat="false" ht="15" hidden="false" customHeight="true" outlineLevel="0" collapsed="false">
      <c r="A304" s="292" t="s">
        <v>406</v>
      </c>
      <c r="B304" s="280" t="s">
        <v>404</v>
      </c>
      <c r="C304" s="293" t="n">
        <v>1</v>
      </c>
    </row>
    <row r="305" customFormat="false" ht="15" hidden="false" customHeight="false" outlineLevel="0" collapsed="false">
      <c r="A305" s="292"/>
      <c r="B305" s="280" t="s">
        <v>408</v>
      </c>
      <c r="C305" s="293"/>
    </row>
    <row r="306" customFormat="false" ht="15" hidden="false" customHeight="false" outlineLevel="0" collapsed="false">
      <c r="A306" s="292"/>
      <c r="B306" s="280" t="s">
        <v>409</v>
      </c>
      <c r="C306" s="293"/>
    </row>
    <row r="307" customFormat="false" ht="15.75" hidden="false" customHeight="false" outlineLevel="0" collapsed="false">
      <c r="A307" s="294" t="s">
        <v>413</v>
      </c>
      <c r="B307" s="290" t="s">
        <v>651</v>
      </c>
      <c r="C307" s="244" t="n">
        <v>0.1</v>
      </c>
    </row>
    <row r="310" customFormat="false" ht="24.45" hidden="false" customHeight="false" outlineLevel="0" collapsed="false">
      <c r="A310" s="199" t="s">
        <v>652</v>
      </c>
    </row>
    <row r="311" customFormat="false" ht="15.75" hidden="false" customHeight="true" outlineLevel="0" collapsed="false">
      <c r="A311" s="200" t="s">
        <v>429</v>
      </c>
      <c r="B311" s="200"/>
      <c r="C311" s="200"/>
      <c r="D311" s="200"/>
    </row>
    <row r="312" customFormat="false" ht="15.75" hidden="false" customHeight="true" outlineLevel="0" collapsed="false">
      <c r="A312" s="295" t="s">
        <v>430</v>
      </c>
      <c r="B312" s="295"/>
      <c r="C312" s="295"/>
      <c r="D312" s="295"/>
    </row>
    <row r="313" customFormat="false" ht="15" hidden="false" customHeight="true" outlineLevel="0" collapsed="false">
      <c r="A313" s="291" t="s">
        <v>431</v>
      </c>
      <c r="B313" s="291"/>
      <c r="C313" s="291"/>
      <c r="D313" s="296" t="n">
        <v>2</v>
      </c>
    </row>
    <row r="314" customFormat="false" ht="15.75" hidden="false" customHeight="false" outlineLevel="0" collapsed="false">
      <c r="A314" s="297" t="s">
        <v>432</v>
      </c>
      <c r="B314" s="298"/>
      <c r="C314" s="298"/>
      <c r="D314" s="299"/>
    </row>
    <row r="315" customFormat="false" ht="15" hidden="false" customHeight="false" outlineLevel="0" collapsed="false">
      <c r="A315" s="300" t="s">
        <v>433</v>
      </c>
      <c r="B315" s="301" t="n">
        <v>2050</v>
      </c>
      <c r="C315" s="302"/>
      <c r="D315" s="302"/>
      <c r="E315" s="302"/>
    </row>
    <row r="316" customFormat="false" ht="16.4" hidden="false" customHeight="false" outlineLevel="0" collapsed="false">
      <c r="A316" s="303" t="s">
        <v>435</v>
      </c>
      <c r="B316" s="304" t="n">
        <v>2020</v>
      </c>
      <c r="C316" s="203"/>
      <c r="D316" s="305" t="s">
        <v>437</v>
      </c>
      <c r="E316" s="306" t="s">
        <v>438</v>
      </c>
    </row>
    <row r="317" customFormat="false" ht="13.5" hidden="false" customHeight="true" outlineLevel="0" collapsed="false">
      <c r="A317" s="307" t="s">
        <v>439</v>
      </c>
      <c r="B317" s="308" t="s">
        <v>440</v>
      </c>
      <c r="C317" s="280" t="s">
        <v>653</v>
      </c>
      <c r="D317" s="259" t="n">
        <v>0.201666666666667</v>
      </c>
      <c r="E317" s="226" t="n">
        <v>0.605</v>
      </c>
    </row>
    <row r="318" customFormat="false" ht="15" hidden="false" customHeight="false" outlineLevel="0" collapsed="false">
      <c r="A318" s="307"/>
      <c r="B318" s="308" t="s">
        <v>443</v>
      </c>
      <c r="C318" s="280" t="s">
        <v>653</v>
      </c>
      <c r="D318" s="259" t="n">
        <v>0.05</v>
      </c>
      <c r="E318" s="226" t="n">
        <v>0.15</v>
      </c>
    </row>
    <row r="319" customFormat="false" ht="15" hidden="false" customHeight="false" outlineLevel="0" collapsed="false">
      <c r="A319" s="307"/>
      <c r="B319" s="308" t="s">
        <v>444</v>
      </c>
      <c r="C319" s="280" t="s">
        <v>653</v>
      </c>
      <c r="D319" s="259" t="n">
        <v>0.196666666666667</v>
      </c>
      <c r="E319" s="226" t="n">
        <v>0.59</v>
      </c>
    </row>
    <row r="320" customFormat="false" ht="15" hidden="false" customHeight="false" outlineLevel="0" collapsed="false">
      <c r="A320" s="307"/>
      <c r="B320" s="308" t="s">
        <v>445</v>
      </c>
      <c r="C320" s="280" t="s">
        <v>653</v>
      </c>
      <c r="D320" s="259" t="n">
        <v>0.163333333333333</v>
      </c>
      <c r="E320" s="226" t="n">
        <v>0.49</v>
      </c>
    </row>
    <row r="321" customFormat="false" ht="15" hidden="false" customHeight="false" outlineLevel="0" collapsed="false">
      <c r="A321" s="307"/>
      <c r="B321" s="308" t="s">
        <v>446</v>
      </c>
      <c r="C321" s="280" t="s">
        <v>653</v>
      </c>
      <c r="D321" s="259" t="n">
        <v>0.00166666666666667</v>
      </c>
      <c r="E321" s="226" t="n">
        <v>0.005</v>
      </c>
    </row>
    <row r="322" customFormat="false" ht="15" hidden="false" customHeight="false" outlineLevel="0" collapsed="false">
      <c r="A322" s="307"/>
      <c r="B322" s="308" t="s">
        <v>447</v>
      </c>
      <c r="C322" s="280" t="s">
        <v>653</v>
      </c>
      <c r="D322" s="259" t="n">
        <v>0.0633333333333333</v>
      </c>
      <c r="E322" s="226" t="n">
        <v>0.19</v>
      </c>
    </row>
    <row r="323" customFormat="false" ht="15" hidden="false" customHeight="false" outlineLevel="0" collapsed="false">
      <c r="A323" s="307"/>
      <c r="B323" s="308" t="s">
        <v>448</v>
      </c>
      <c r="C323" s="280" t="s">
        <v>653</v>
      </c>
      <c r="D323" s="259" t="n">
        <v>0.253333333333333</v>
      </c>
      <c r="E323" s="226" t="n">
        <v>0.76</v>
      </c>
    </row>
    <row r="324" customFormat="false" ht="15" hidden="false" customHeight="false" outlineLevel="0" collapsed="false">
      <c r="A324" s="307"/>
      <c r="B324" s="308" t="s">
        <v>449</v>
      </c>
      <c r="C324" s="280" t="s">
        <v>653</v>
      </c>
      <c r="D324" s="259" t="n">
        <v>0.00166666666666667</v>
      </c>
      <c r="E324" s="226" t="n">
        <v>0.005</v>
      </c>
    </row>
    <row r="325" customFormat="false" ht="15" hidden="false" customHeight="false" outlineLevel="0" collapsed="false">
      <c r="A325" s="307"/>
      <c r="B325" s="308" t="s">
        <v>450</v>
      </c>
      <c r="C325" s="280" t="s">
        <v>653</v>
      </c>
      <c r="D325" s="259" t="n">
        <v>0.13</v>
      </c>
      <c r="E325" s="226" t="n">
        <v>0.39</v>
      </c>
    </row>
    <row r="326" customFormat="false" ht="15" hidden="false" customHeight="false" outlineLevel="0" collapsed="false">
      <c r="A326" s="307"/>
      <c r="B326" s="308" t="s">
        <v>451</v>
      </c>
      <c r="C326" s="280" t="s">
        <v>653</v>
      </c>
      <c r="D326" s="259" t="n">
        <v>0.176666666666667</v>
      </c>
      <c r="E326" s="226" t="n">
        <v>0.53</v>
      </c>
    </row>
    <row r="327" customFormat="false" ht="15" hidden="false" customHeight="false" outlineLevel="0" collapsed="false">
      <c r="A327" s="307"/>
      <c r="B327" s="308" t="s">
        <v>452</v>
      </c>
      <c r="C327" s="280" t="s">
        <v>653</v>
      </c>
      <c r="D327" s="259" t="n">
        <v>0.116666666666667</v>
      </c>
      <c r="E327" s="226" t="n">
        <v>0.35</v>
      </c>
    </row>
    <row r="328" customFormat="false" ht="15" hidden="false" customHeight="false" outlineLevel="0" collapsed="false">
      <c r="A328" s="307"/>
      <c r="B328" s="308" t="s">
        <v>453</v>
      </c>
      <c r="C328" s="280" t="s">
        <v>653</v>
      </c>
      <c r="D328" s="259" t="n">
        <v>0.188333333333333</v>
      </c>
      <c r="E328" s="226" t="n">
        <v>0.565</v>
      </c>
    </row>
    <row r="329" customFormat="false" ht="15" hidden="false" customHeight="false" outlineLevel="0" collapsed="false">
      <c r="A329" s="307"/>
      <c r="B329" s="308" t="s">
        <v>454</v>
      </c>
      <c r="C329" s="280" t="s">
        <v>653</v>
      </c>
      <c r="D329" s="259" t="n">
        <v>0.245</v>
      </c>
      <c r="E329" s="226" t="n">
        <v>0.735</v>
      </c>
    </row>
    <row r="330" customFormat="false" ht="15" hidden="false" customHeight="false" outlineLevel="0" collapsed="false">
      <c r="A330" s="307"/>
      <c r="B330" s="308" t="s">
        <v>455</v>
      </c>
      <c r="C330" s="280" t="s">
        <v>653</v>
      </c>
      <c r="D330" s="259" t="n">
        <v>0.191666666666667</v>
      </c>
      <c r="E330" s="226" t="n">
        <v>0.575</v>
      </c>
    </row>
    <row r="331" customFormat="false" ht="15" hidden="false" customHeight="false" outlineLevel="0" collapsed="false">
      <c r="A331" s="307"/>
      <c r="B331" s="308" t="s">
        <v>456</v>
      </c>
      <c r="C331" s="280" t="s">
        <v>653</v>
      </c>
      <c r="D331" s="259" t="n">
        <v>0.101666666666667</v>
      </c>
      <c r="E331" s="226" t="n">
        <v>0.305</v>
      </c>
    </row>
    <row r="332" customFormat="false" ht="15" hidden="false" customHeight="false" outlineLevel="0" collapsed="false">
      <c r="A332" s="307"/>
      <c r="B332" s="308" t="s">
        <v>457</v>
      </c>
      <c r="C332" s="280" t="s">
        <v>653</v>
      </c>
      <c r="D332" s="259" t="n">
        <v>0.00166666666666667</v>
      </c>
      <c r="E332" s="226" t="n">
        <v>0.005</v>
      </c>
    </row>
    <row r="333" customFormat="false" ht="15" hidden="false" customHeight="false" outlineLevel="0" collapsed="false">
      <c r="A333" s="307"/>
      <c r="B333" s="308" t="s">
        <v>458</v>
      </c>
      <c r="C333" s="280" t="s">
        <v>653</v>
      </c>
      <c r="D333" s="259" t="n">
        <v>0.303333333333333</v>
      </c>
      <c r="E333" s="226" t="n">
        <v>0.91</v>
      </c>
    </row>
    <row r="334" customFormat="false" ht="15" hidden="false" customHeight="false" outlineLevel="0" collapsed="false">
      <c r="A334" s="307"/>
      <c r="B334" s="308" t="s">
        <v>459</v>
      </c>
      <c r="C334" s="280" t="s">
        <v>653</v>
      </c>
      <c r="D334" s="259" t="n">
        <v>0.00166666666666667</v>
      </c>
      <c r="E334" s="226" t="n">
        <v>0.005</v>
      </c>
    </row>
    <row r="335" customFormat="false" ht="15" hidden="false" customHeight="false" outlineLevel="0" collapsed="false">
      <c r="A335" s="307"/>
      <c r="B335" s="309" t="s">
        <v>460</v>
      </c>
      <c r="C335" s="290" t="s">
        <v>653</v>
      </c>
      <c r="D335" s="206" t="n">
        <v>0.183333333333333</v>
      </c>
      <c r="E335" s="207" t="n">
        <v>0.55</v>
      </c>
    </row>
    <row r="336" customFormat="false" ht="15" hidden="false" customHeight="true" outlineLevel="0" collapsed="false">
      <c r="A336" s="310" t="s">
        <v>461</v>
      </c>
      <c r="B336" s="310"/>
      <c r="C336" s="310"/>
    </row>
    <row r="337" customFormat="false" ht="31.3" hidden="false" customHeight="false" outlineLevel="0" collapsed="false">
      <c r="A337" s="291" t="s">
        <v>654</v>
      </c>
      <c r="B337" s="280" t="s">
        <v>655</v>
      </c>
      <c r="C337" s="311" t="n">
        <v>0.014</v>
      </c>
    </row>
    <row r="338" customFormat="false" ht="16.4" hidden="false" customHeight="false" outlineLevel="0" collapsed="false">
      <c r="A338" s="291" t="s">
        <v>656</v>
      </c>
      <c r="B338" s="280" t="s">
        <v>423</v>
      </c>
      <c r="C338" s="204" t="n">
        <v>2020</v>
      </c>
    </row>
    <row r="339" customFormat="false" ht="16.4" hidden="false" customHeight="false" outlineLevel="0" collapsed="false">
      <c r="A339" s="291" t="s">
        <v>657</v>
      </c>
      <c r="B339" s="280" t="s">
        <v>655</v>
      </c>
      <c r="C339" s="311" t="n">
        <v>0.014</v>
      </c>
    </row>
    <row r="340" customFormat="false" ht="16.4" hidden="false" customHeight="false" outlineLevel="0" collapsed="false">
      <c r="A340" s="294" t="s">
        <v>658</v>
      </c>
      <c r="B340" s="290" t="s">
        <v>423</v>
      </c>
      <c r="C340" s="244" t="n">
        <v>2020</v>
      </c>
    </row>
    <row r="342" customFormat="false" ht="17.35" hidden="false" customHeight="false" outlineLevel="0" collapsed="false">
      <c r="A342" s="200" t="s">
        <v>232</v>
      </c>
      <c r="B342" s="200"/>
      <c r="C342" s="200"/>
    </row>
    <row r="343" customFormat="false" ht="15" hidden="false" customHeight="false" outlineLevel="0" collapsed="false">
      <c r="A343" s="312" t="s">
        <v>233</v>
      </c>
      <c r="B343" s="312"/>
      <c r="C343" s="312"/>
      <c r="H343" s="54"/>
      <c r="J343" s="57"/>
    </row>
    <row r="344" customFormat="false" ht="16.4" hidden="false" customHeight="false" outlineLevel="0" collapsed="false">
      <c r="A344" s="291" t="s">
        <v>234</v>
      </c>
      <c r="B344" s="203" t="s">
        <v>28</v>
      </c>
      <c r="C344" s="313" t="n">
        <v>1</v>
      </c>
      <c r="H344" s="54"/>
      <c r="J344" s="57"/>
    </row>
    <row r="345" customFormat="false" ht="15" hidden="false" customHeight="false" outlineLevel="0" collapsed="false">
      <c r="A345" s="312" t="s">
        <v>659</v>
      </c>
      <c r="B345" s="312"/>
      <c r="C345" s="312"/>
      <c r="H345" s="54"/>
      <c r="J345" s="57"/>
    </row>
    <row r="346" customFormat="false" ht="15" hidden="false" customHeight="true" outlineLevel="0" collapsed="false">
      <c r="A346" s="307" t="s">
        <v>660</v>
      </c>
      <c r="B346" s="280" t="s">
        <v>661</v>
      </c>
      <c r="C346" s="314" t="n">
        <v>4</v>
      </c>
      <c r="H346" s="54"/>
      <c r="J346" s="57"/>
    </row>
    <row r="347" customFormat="false" ht="15" hidden="false" customHeight="false" outlineLevel="0" collapsed="false">
      <c r="A347" s="307"/>
      <c r="B347" s="280" t="s">
        <v>662</v>
      </c>
      <c r="C347" s="314"/>
      <c r="H347" s="54"/>
      <c r="J347" s="57"/>
    </row>
    <row r="348" customFormat="false" ht="15" hidden="false" customHeight="false" outlineLevel="0" collapsed="false">
      <c r="A348" s="307"/>
      <c r="B348" s="280" t="s">
        <v>663</v>
      </c>
      <c r="C348" s="314"/>
      <c r="H348" s="54"/>
      <c r="J348" s="57"/>
    </row>
    <row r="349" customFormat="false" ht="15" hidden="false" customHeight="false" outlineLevel="0" collapsed="false">
      <c r="A349" s="307"/>
      <c r="B349" s="290" t="s">
        <v>664</v>
      </c>
      <c r="C349" s="314"/>
      <c r="H349" s="54"/>
      <c r="J349" s="57"/>
    </row>
    <row r="350" customFormat="false" ht="15" hidden="false" customHeight="false" outlineLevel="0" collapsed="false">
      <c r="H350" s="54"/>
      <c r="J350" s="57"/>
    </row>
    <row r="351" customFormat="false" ht="15" hidden="false" customHeight="false" outlineLevel="0" collapsed="false">
      <c r="A351" s="315" t="s">
        <v>164</v>
      </c>
      <c r="B351" s="316"/>
      <c r="H351" s="54"/>
      <c r="J351" s="57"/>
    </row>
    <row r="352" customFormat="false" ht="15" hidden="false" customHeight="false" outlineLevel="0" collapsed="false">
      <c r="A352" s="317" t="s">
        <v>165</v>
      </c>
      <c r="B352" s="318" t="n">
        <v>1</v>
      </c>
      <c r="H352" s="54"/>
      <c r="J352" s="57"/>
    </row>
    <row r="353" customFormat="false" ht="15" hidden="false" customHeight="false" outlineLevel="0" collapsed="false">
      <c r="H353" s="54"/>
      <c r="J353" s="57"/>
    </row>
    <row r="354" customFormat="false" ht="17.35" hidden="false" customHeight="false" outlineLevel="0" collapsed="false">
      <c r="A354" s="200" t="s">
        <v>665</v>
      </c>
      <c r="B354" s="200"/>
      <c r="C354" s="200"/>
      <c r="D354" s="200"/>
      <c r="E354" s="200"/>
      <c r="F354" s="200"/>
      <c r="G354" s="200"/>
      <c r="H354" s="200"/>
      <c r="I354" s="200"/>
      <c r="J354" s="57"/>
    </row>
    <row r="355" customFormat="false" ht="15" hidden="false" customHeight="false" outlineLevel="0" collapsed="false">
      <c r="A355" s="319" t="s">
        <v>666</v>
      </c>
      <c r="B355" s="202" t="s">
        <v>36</v>
      </c>
      <c r="C355" s="203" t="n">
        <v>2020</v>
      </c>
      <c r="D355" s="203" t="n">
        <v>2025</v>
      </c>
      <c r="E355" s="203" t="n">
        <v>2030</v>
      </c>
      <c r="F355" s="203" t="n">
        <v>2035</v>
      </c>
      <c r="G355" s="203" t="n">
        <v>2040</v>
      </c>
      <c r="H355" s="203" t="n">
        <v>2045</v>
      </c>
      <c r="I355" s="204" t="n">
        <v>2050</v>
      </c>
      <c r="J355" s="57"/>
    </row>
    <row r="356" customFormat="false" ht="15" hidden="false" customHeight="false" outlineLevel="0" collapsed="false">
      <c r="A356" s="319" t="s">
        <v>580</v>
      </c>
      <c r="B356" s="202" t="s">
        <v>499</v>
      </c>
      <c r="C356" s="203" t="n">
        <v>0</v>
      </c>
      <c r="D356" s="203" t="n">
        <v>0</v>
      </c>
      <c r="E356" s="203" t="n">
        <v>0</v>
      </c>
      <c r="F356" s="203" t="n">
        <v>0</v>
      </c>
      <c r="G356" s="203" t="n">
        <v>0</v>
      </c>
      <c r="H356" s="203" t="n">
        <v>0</v>
      </c>
      <c r="I356" s="204" t="n">
        <v>0</v>
      </c>
      <c r="J356" s="57"/>
    </row>
    <row r="357" customFormat="false" ht="15" hidden="false" customHeight="false" outlineLevel="0" collapsed="false">
      <c r="A357" s="319" t="s">
        <v>597</v>
      </c>
      <c r="B357" s="202"/>
      <c r="C357" s="203" t="n">
        <v>0</v>
      </c>
      <c r="D357" s="203" t="n">
        <v>0</v>
      </c>
      <c r="E357" s="203" t="n">
        <v>0</v>
      </c>
      <c r="F357" s="203" t="n">
        <v>0</v>
      </c>
      <c r="G357" s="203" t="n">
        <v>0</v>
      </c>
      <c r="H357" s="203" t="n">
        <v>0</v>
      </c>
      <c r="I357" s="204" t="n">
        <v>0</v>
      </c>
      <c r="J357" s="57"/>
    </row>
    <row r="358" customFormat="false" ht="15" hidden="false" customHeight="false" outlineLevel="0" collapsed="false">
      <c r="A358" s="319" t="s">
        <v>598</v>
      </c>
      <c r="B358" s="202"/>
      <c r="C358" s="203" t="n">
        <v>0</v>
      </c>
      <c r="D358" s="203" t="n">
        <v>0</v>
      </c>
      <c r="E358" s="203" t="n">
        <v>0</v>
      </c>
      <c r="F358" s="203" t="n">
        <v>0</v>
      </c>
      <c r="G358" s="203" t="n">
        <v>0</v>
      </c>
      <c r="H358" s="203" t="n">
        <v>0</v>
      </c>
      <c r="I358" s="204" t="n">
        <v>0</v>
      </c>
      <c r="J358" s="57"/>
    </row>
    <row r="359" customFormat="false" ht="15" hidden="false" customHeight="false" outlineLevel="0" collapsed="false">
      <c r="A359" s="319" t="s">
        <v>599</v>
      </c>
      <c r="B359" s="202"/>
      <c r="C359" s="203" t="n">
        <v>0</v>
      </c>
      <c r="D359" s="203" t="n">
        <v>0</v>
      </c>
      <c r="E359" s="203" t="n">
        <v>0</v>
      </c>
      <c r="F359" s="203" t="n">
        <v>0</v>
      </c>
      <c r="G359" s="203" t="n">
        <v>0</v>
      </c>
      <c r="H359" s="203" t="n">
        <v>0</v>
      </c>
      <c r="I359" s="204" t="n">
        <v>0</v>
      </c>
      <c r="J359" s="57"/>
    </row>
    <row r="360" customFormat="false" ht="15" hidden="false" customHeight="false" outlineLevel="0" collapsed="false">
      <c r="A360" s="319" t="s">
        <v>600</v>
      </c>
      <c r="B360" s="202"/>
      <c r="C360" s="203" t="n">
        <v>0</v>
      </c>
      <c r="D360" s="203" t="n">
        <v>0</v>
      </c>
      <c r="E360" s="203" t="n">
        <v>0</v>
      </c>
      <c r="F360" s="203" t="n">
        <v>0</v>
      </c>
      <c r="G360" s="203" t="n">
        <v>0</v>
      </c>
      <c r="H360" s="203" t="n">
        <v>0</v>
      </c>
      <c r="I360" s="204" t="n">
        <v>0</v>
      </c>
      <c r="J360" s="57"/>
    </row>
    <row r="361" customFormat="false" ht="15" hidden="false" customHeight="false" outlineLevel="0" collapsed="false">
      <c r="A361" s="319" t="s">
        <v>601</v>
      </c>
      <c r="B361" s="202"/>
      <c r="C361" s="203" t="n">
        <v>0</v>
      </c>
      <c r="D361" s="203" t="n">
        <v>0</v>
      </c>
      <c r="E361" s="203" t="n">
        <v>0</v>
      </c>
      <c r="F361" s="203" t="n">
        <v>0</v>
      </c>
      <c r="G361" s="203" t="n">
        <v>0</v>
      </c>
      <c r="H361" s="203" t="n">
        <v>0</v>
      </c>
      <c r="I361" s="204" t="n">
        <v>0</v>
      </c>
      <c r="J361" s="57"/>
    </row>
    <row r="362" customFormat="false" ht="15" hidden="false" customHeight="false" outlineLevel="0" collapsed="false">
      <c r="A362" s="319" t="s">
        <v>602</v>
      </c>
      <c r="B362" s="202"/>
      <c r="C362" s="203" t="n">
        <v>0</v>
      </c>
      <c r="D362" s="203" t="n">
        <v>0</v>
      </c>
      <c r="E362" s="203" t="n">
        <v>0</v>
      </c>
      <c r="F362" s="203" t="n">
        <v>0</v>
      </c>
      <c r="G362" s="203" t="n">
        <v>0</v>
      </c>
      <c r="H362" s="203" t="n">
        <v>0</v>
      </c>
      <c r="I362" s="204" t="n">
        <v>0</v>
      </c>
      <c r="J362" s="57"/>
    </row>
    <row r="363" customFormat="false" ht="15" hidden="false" customHeight="false" outlineLevel="0" collapsed="false">
      <c r="A363" s="319" t="s">
        <v>603</v>
      </c>
      <c r="B363" s="202"/>
      <c r="C363" s="203" t="n">
        <v>0</v>
      </c>
      <c r="D363" s="203" t="n">
        <v>0</v>
      </c>
      <c r="E363" s="203" t="n">
        <v>0</v>
      </c>
      <c r="F363" s="203" t="n">
        <v>0</v>
      </c>
      <c r="G363" s="203" t="n">
        <v>0</v>
      </c>
      <c r="H363" s="203" t="n">
        <v>0</v>
      </c>
      <c r="I363" s="204" t="n">
        <v>0</v>
      </c>
      <c r="J363" s="57"/>
    </row>
    <row r="364" customFormat="false" ht="15" hidden="false" customHeight="false" outlineLevel="0" collapsed="false">
      <c r="A364" s="319" t="s">
        <v>354</v>
      </c>
      <c r="B364" s="202"/>
      <c r="C364" s="203" t="n">
        <v>0</v>
      </c>
      <c r="D364" s="203" t="n">
        <v>0</v>
      </c>
      <c r="E364" s="203" t="n">
        <v>0</v>
      </c>
      <c r="F364" s="203" t="n">
        <v>0</v>
      </c>
      <c r="G364" s="203" t="n">
        <v>0</v>
      </c>
      <c r="H364" s="203" t="n">
        <v>0</v>
      </c>
      <c r="I364" s="204" t="n">
        <v>0</v>
      </c>
      <c r="J364" s="57"/>
    </row>
    <row r="365" customFormat="false" ht="15" hidden="false" customHeight="false" outlineLevel="0" collapsed="false">
      <c r="A365" s="319" t="s">
        <v>369</v>
      </c>
      <c r="B365" s="202"/>
      <c r="C365" s="203" t="n">
        <v>0</v>
      </c>
      <c r="D365" s="203" t="n">
        <v>0</v>
      </c>
      <c r="E365" s="203" t="n">
        <v>0</v>
      </c>
      <c r="F365" s="203" t="n">
        <v>0</v>
      </c>
      <c r="G365" s="203" t="n">
        <v>0</v>
      </c>
      <c r="H365" s="203" t="n">
        <v>0</v>
      </c>
      <c r="I365" s="204" t="n">
        <v>0</v>
      </c>
      <c r="J365" s="57"/>
    </row>
    <row r="366" customFormat="false" ht="15" hidden="false" customHeight="false" outlineLevel="0" collapsed="false">
      <c r="A366" s="319" t="s">
        <v>604</v>
      </c>
      <c r="B366" s="202"/>
      <c r="C366" s="203" t="n">
        <v>0</v>
      </c>
      <c r="D366" s="203" t="n">
        <v>0</v>
      </c>
      <c r="E366" s="203" t="n">
        <v>0</v>
      </c>
      <c r="F366" s="203" t="n">
        <v>0</v>
      </c>
      <c r="G366" s="203" t="n">
        <v>0</v>
      </c>
      <c r="H366" s="203" t="n">
        <v>0</v>
      </c>
      <c r="I366" s="204" t="n">
        <v>0</v>
      </c>
      <c r="J366" s="57"/>
    </row>
    <row r="367" customFormat="false" ht="15" hidden="false" customHeight="false" outlineLevel="0" collapsed="false">
      <c r="A367" s="319" t="s">
        <v>605</v>
      </c>
      <c r="B367" s="202"/>
      <c r="C367" s="203" t="n">
        <v>0</v>
      </c>
      <c r="D367" s="203" t="n">
        <v>0</v>
      </c>
      <c r="E367" s="203" t="n">
        <v>0</v>
      </c>
      <c r="F367" s="203" t="n">
        <v>0</v>
      </c>
      <c r="G367" s="203" t="n">
        <v>0</v>
      </c>
      <c r="H367" s="203" t="n">
        <v>0</v>
      </c>
      <c r="I367" s="204" t="n">
        <v>0</v>
      </c>
      <c r="J367" s="57"/>
    </row>
    <row r="368" customFormat="false" ht="15" hidden="false" customHeight="false" outlineLevel="0" collapsed="false">
      <c r="A368" s="319" t="s">
        <v>606</v>
      </c>
      <c r="B368" s="202"/>
      <c r="C368" s="203" t="n">
        <v>0</v>
      </c>
      <c r="D368" s="203" t="n">
        <v>0</v>
      </c>
      <c r="E368" s="203" t="n">
        <v>0</v>
      </c>
      <c r="F368" s="203" t="n">
        <v>0</v>
      </c>
      <c r="G368" s="203" t="n">
        <v>0</v>
      </c>
      <c r="H368" s="203" t="n">
        <v>0</v>
      </c>
      <c r="I368" s="204" t="n">
        <v>0</v>
      </c>
      <c r="J368" s="57"/>
    </row>
    <row r="369" customFormat="false" ht="15" hidden="false" customHeight="false" outlineLevel="0" collapsed="false">
      <c r="A369" s="319" t="s">
        <v>607</v>
      </c>
      <c r="B369" s="202"/>
      <c r="C369" s="203" t="n">
        <v>0</v>
      </c>
      <c r="D369" s="203" t="n">
        <v>0</v>
      </c>
      <c r="E369" s="203" t="n">
        <v>0</v>
      </c>
      <c r="F369" s="203" t="n">
        <v>0</v>
      </c>
      <c r="G369" s="203" t="n">
        <v>0</v>
      </c>
      <c r="H369" s="203" t="n">
        <v>0</v>
      </c>
      <c r="I369" s="204" t="n">
        <v>0</v>
      </c>
      <c r="J369" s="57"/>
    </row>
    <row r="370" customFormat="false" ht="15" hidden="false" customHeight="false" outlineLevel="0" collapsed="false">
      <c r="A370" s="319" t="s">
        <v>608</v>
      </c>
      <c r="B370" s="202"/>
      <c r="C370" s="203" t="n">
        <v>0</v>
      </c>
      <c r="D370" s="203" t="n">
        <v>0</v>
      </c>
      <c r="E370" s="203" t="n">
        <v>0</v>
      </c>
      <c r="F370" s="203" t="n">
        <v>0</v>
      </c>
      <c r="G370" s="203" t="n">
        <v>0</v>
      </c>
      <c r="H370" s="203" t="n">
        <v>0</v>
      </c>
      <c r="I370" s="204" t="n">
        <v>0</v>
      </c>
      <c r="J370" s="57"/>
    </row>
    <row r="371" customFormat="false" ht="15" hidden="false" customHeight="false" outlineLevel="0" collapsed="false">
      <c r="A371" s="319" t="s">
        <v>609</v>
      </c>
      <c r="B371" s="202"/>
      <c r="C371" s="203" t="n">
        <v>0</v>
      </c>
      <c r="D371" s="203" t="n">
        <v>0</v>
      </c>
      <c r="E371" s="203" t="n">
        <v>0</v>
      </c>
      <c r="F371" s="203" t="n">
        <v>0</v>
      </c>
      <c r="G371" s="203" t="n">
        <v>0</v>
      </c>
      <c r="H371" s="203" t="n">
        <v>0</v>
      </c>
      <c r="I371" s="204" t="n">
        <v>0</v>
      </c>
      <c r="J371" s="57"/>
    </row>
    <row r="372" customFormat="false" ht="15" hidden="false" customHeight="false" outlineLevel="0" collapsed="false">
      <c r="A372" s="319" t="s">
        <v>610</v>
      </c>
      <c r="B372" s="202"/>
      <c r="C372" s="203" t="n">
        <v>0</v>
      </c>
      <c r="D372" s="203" t="n">
        <v>0</v>
      </c>
      <c r="E372" s="203" t="n">
        <v>0</v>
      </c>
      <c r="F372" s="203" t="n">
        <v>0</v>
      </c>
      <c r="G372" s="203" t="n">
        <v>0</v>
      </c>
      <c r="H372" s="203" t="n">
        <v>0</v>
      </c>
      <c r="I372" s="204" t="n">
        <v>0</v>
      </c>
      <c r="J372" s="57"/>
    </row>
    <row r="373" customFormat="false" ht="15" hidden="false" customHeight="false" outlineLevel="0" collapsed="false">
      <c r="A373" s="319" t="s">
        <v>611</v>
      </c>
      <c r="B373" s="202"/>
      <c r="C373" s="203" t="n">
        <v>0</v>
      </c>
      <c r="D373" s="203" t="n">
        <v>0</v>
      </c>
      <c r="E373" s="203" t="n">
        <v>0</v>
      </c>
      <c r="F373" s="203" t="n">
        <v>0</v>
      </c>
      <c r="G373" s="203" t="n">
        <v>0</v>
      </c>
      <c r="H373" s="203" t="n">
        <v>0</v>
      </c>
      <c r="I373" s="204" t="n">
        <v>0</v>
      </c>
      <c r="J373" s="57"/>
    </row>
    <row r="374" customFormat="false" ht="15" hidden="false" customHeight="false" outlineLevel="0" collapsed="false">
      <c r="A374" s="319" t="s">
        <v>612</v>
      </c>
      <c r="B374" s="202"/>
      <c r="C374" s="203" t="n">
        <v>0</v>
      </c>
      <c r="D374" s="203" t="n">
        <v>0</v>
      </c>
      <c r="E374" s="203" t="n">
        <v>0</v>
      </c>
      <c r="F374" s="203" t="n">
        <v>0</v>
      </c>
      <c r="G374" s="203" t="n">
        <v>0</v>
      </c>
      <c r="H374" s="203" t="n">
        <v>0</v>
      </c>
      <c r="I374" s="204" t="n">
        <v>0</v>
      </c>
      <c r="J374" s="57"/>
    </row>
    <row r="375" customFormat="false" ht="15" hidden="false" customHeight="false" outlineLevel="0" collapsed="false">
      <c r="A375" s="319" t="s">
        <v>613</v>
      </c>
      <c r="B375" s="202"/>
      <c r="C375" s="203" t="n">
        <v>0</v>
      </c>
      <c r="D375" s="203" t="n">
        <v>0</v>
      </c>
      <c r="E375" s="203" t="n">
        <v>0</v>
      </c>
      <c r="F375" s="203" t="n">
        <v>0</v>
      </c>
      <c r="G375" s="203" t="n">
        <v>0</v>
      </c>
      <c r="H375" s="203" t="n">
        <v>0</v>
      </c>
      <c r="I375" s="204" t="n">
        <v>0</v>
      </c>
      <c r="J375" s="57"/>
    </row>
    <row r="376" customFormat="false" ht="15" hidden="false" customHeight="false" outlineLevel="0" collapsed="false">
      <c r="A376" s="319" t="s">
        <v>614</v>
      </c>
      <c r="B376" s="202"/>
      <c r="C376" s="203" t="n">
        <v>0</v>
      </c>
      <c r="D376" s="203" t="n">
        <v>0</v>
      </c>
      <c r="E376" s="203" t="n">
        <v>0</v>
      </c>
      <c r="F376" s="203" t="n">
        <v>0</v>
      </c>
      <c r="G376" s="203" t="n">
        <v>0</v>
      </c>
      <c r="H376" s="203" t="n">
        <v>0</v>
      </c>
      <c r="I376" s="204" t="n">
        <v>0</v>
      </c>
      <c r="J376" s="57"/>
    </row>
    <row r="377" customFormat="false" ht="15" hidden="false" customHeight="false" outlineLevel="0" collapsed="false">
      <c r="A377" s="319" t="s">
        <v>615</v>
      </c>
      <c r="B377" s="202"/>
      <c r="C377" s="203" t="n">
        <v>0</v>
      </c>
      <c r="D377" s="203" t="n">
        <v>0</v>
      </c>
      <c r="E377" s="203" t="n">
        <v>0</v>
      </c>
      <c r="F377" s="203" t="n">
        <v>0</v>
      </c>
      <c r="G377" s="203" t="n">
        <v>0</v>
      </c>
      <c r="H377" s="203" t="n">
        <v>0</v>
      </c>
      <c r="I377" s="204" t="n">
        <v>0</v>
      </c>
      <c r="J377" s="57"/>
    </row>
    <row r="378" customFormat="false" ht="15" hidden="false" customHeight="false" outlineLevel="0" collapsed="false">
      <c r="A378" s="319" t="s">
        <v>616</v>
      </c>
      <c r="B378" s="202"/>
      <c r="C378" s="203" t="n">
        <v>0</v>
      </c>
      <c r="D378" s="203" t="n">
        <v>0</v>
      </c>
      <c r="E378" s="203" t="n">
        <v>0</v>
      </c>
      <c r="F378" s="203" t="n">
        <v>0</v>
      </c>
      <c r="G378" s="203" t="n">
        <v>0</v>
      </c>
      <c r="H378" s="203" t="n">
        <v>0</v>
      </c>
      <c r="I378" s="204" t="n">
        <v>0</v>
      </c>
      <c r="J378" s="57"/>
    </row>
    <row r="379" customFormat="false" ht="15" hidden="false" customHeight="false" outlineLevel="0" collapsed="false">
      <c r="A379" s="319" t="s">
        <v>617</v>
      </c>
      <c r="B379" s="202"/>
      <c r="C379" s="203" t="n">
        <v>0</v>
      </c>
      <c r="D379" s="203" t="n">
        <v>0</v>
      </c>
      <c r="E379" s="203" t="n">
        <v>0</v>
      </c>
      <c r="F379" s="203" t="n">
        <v>0</v>
      </c>
      <c r="G379" s="203" t="n">
        <v>0</v>
      </c>
      <c r="H379" s="203" t="n">
        <v>0</v>
      </c>
      <c r="I379" s="204" t="n">
        <v>0</v>
      </c>
      <c r="J379" s="57"/>
    </row>
    <row r="380" customFormat="false" ht="15" hidden="false" customHeight="false" outlineLevel="0" collapsed="false">
      <c r="A380" s="319" t="s">
        <v>618</v>
      </c>
      <c r="B380" s="202"/>
      <c r="C380" s="203" t="n">
        <v>0</v>
      </c>
      <c r="D380" s="203" t="n">
        <v>0</v>
      </c>
      <c r="E380" s="203" t="n">
        <v>0</v>
      </c>
      <c r="F380" s="203" t="n">
        <v>0</v>
      </c>
      <c r="G380" s="203" t="n">
        <v>0</v>
      </c>
      <c r="H380" s="203" t="n">
        <v>0</v>
      </c>
      <c r="I380" s="204" t="n">
        <v>0</v>
      </c>
      <c r="J380" s="57"/>
    </row>
    <row r="381" customFormat="false" ht="15" hidden="false" customHeight="false" outlineLevel="0" collapsed="false">
      <c r="A381" s="319" t="s">
        <v>619</v>
      </c>
      <c r="B381" s="202"/>
      <c r="C381" s="203" t="n">
        <v>0</v>
      </c>
      <c r="D381" s="203" t="n">
        <v>0</v>
      </c>
      <c r="E381" s="203" t="n">
        <v>0</v>
      </c>
      <c r="F381" s="203" t="n">
        <v>0</v>
      </c>
      <c r="G381" s="203" t="n">
        <v>0</v>
      </c>
      <c r="H381" s="203" t="n">
        <v>0</v>
      </c>
      <c r="I381" s="204" t="n">
        <v>0</v>
      </c>
      <c r="J381" s="57"/>
    </row>
    <row r="382" customFormat="false" ht="15" hidden="false" customHeight="false" outlineLevel="0" collapsed="false">
      <c r="A382" s="319" t="s">
        <v>620</v>
      </c>
      <c r="B382" s="202"/>
      <c r="C382" s="203" t="n">
        <v>0</v>
      </c>
      <c r="D382" s="203" t="n">
        <v>0</v>
      </c>
      <c r="E382" s="203" t="n">
        <v>0</v>
      </c>
      <c r="F382" s="203" t="n">
        <v>0</v>
      </c>
      <c r="G382" s="203" t="n">
        <v>0</v>
      </c>
      <c r="H382" s="203" t="n">
        <v>0</v>
      </c>
      <c r="I382" s="204" t="n">
        <v>0</v>
      </c>
      <c r="J382" s="57"/>
    </row>
    <row r="383" customFormat="false" ht="15" hidden="false" customHeight="false" outlineLevel="0" collapsed="false">
      <c r="A383" s="319" t="s">
        <v>621</v>
      </c>
      <c r="B383" s="202"/>
      <c r="C383" s="203" t="n">
        <v>0</v>
      </c>
      <c r="D383" s="203" t="n">
        <v>0</v>
      </c>
      <c r="E383" s="203" t="n">
        <v>0</v>
      </c>
      <c r="F383" s="203" t="n">
        <v>0</v>
      </c>
      <c r="G383" s="203" t="n">
        <v>0</v>
      </c>
      <c r="H383" s="203" t="n">
        <v>0</v>
      </c>
      <c r="I383" s="204" t="n">
        <v>0</v>
      </c>
      <c r="J383" s="57"/>
    </row>
    <row r="384" customFormat="false" ht="15" hidden="false" customHeight="false" outlineLevel="0" collapsed="false">
      <c r="A384" s="319" t="s">
        <v>622</v>
      </c>
      <c r="B384" s="202" t="s">
        <v>499</v>
      </c>
      <c r="C384" s="203" t="n">
        <v>0</v>
      </c>
      <c r="D384" s="203" t="n">
        <v>0</v>
      </c>
      <c r="E384" s="203" t="n">
        <v>0</v>
      </c>
      <c r="F384" s="203" t="n">
        <v>0</v>
      </c>
      <c r="G384" s="203" t="n">
        <v>0</v>
      </c>
      <c r="H384" s="203" t="n">
        <v>0</v>
      </c>
      <c r="I384" s="204" t="n">
        <v>0</v>
      </c>
      <c r="J384" s="57"/>
    </row>
    <row r="385" customFormat="false" ht="15" hidden="false" customHeight="false" outlineLevel="0" collapsed="false">
      <c r="A385" s="319" t="s">
        <v>623</v>
      </c>
      <c r="B385" s="202" t="s">
        <v>499</v>
      </c>
      <c r="C385" s="203" t="n">
        <v>0</v>
      </c>
      <c r="D385" s="203" t="n">
        <v>0</v>
      </c>
      <c r="E385" s="203" t="n">
        <v>0</v>
      </c>
      <c r="F385" s="203" t="n">
        <v>0</v>
      </c>
      <c r="G385" s="203" t="n">
        <v>0</v>
      </c>
      <c r="H385" s="203" t="n">
        <v>0</v>
      </c>
      <c r="I385" s="204" t="n">
        <v>0</v>
      </c>
      <c r="J385" s="57"/>
    </row>
    <row r="386" customFormat="false" ht="15" hidden="false" customHeight="false" outlineLevel="0" collapsed="false">
      <c r="A386" s="319" t="s">
        <v>624</v>
      </c>
      <c r="B386" s="202" t="s">
        <v>499</v>
      </c>
      <c r="C386" s="203" t="n">
        <v>0</v>
      </c>
      <c r="D386" s="203" t="n">
        <v>0</v>
      </c>
      <c r="E386" s="203" t="n">
        <v>0.00086013</v>
      </c>
      <c r="F386" s="203" t="n">
        <v>0.001453609</v>
      </c>
      <c r="G386" s="203" t="n">
        <v>0.002036738</v>
      </c>
      <c r="H386" s="203" t="n">
        <v>0.002500292</v>
      </c>
      <c r="I386" s="204" t="n">
        <v>0.002963845</v>
      </c>
      <c r="J386" s="57"/>
    </row>
    <row r="387" customFormat="false" ht="15" hidden="false" customHeight="false" outlineLevel="0" collapsed="false">
      <c r="A387" s="319" t="s">
        <v>625</v>
      </c>
      <c r="B387" s="202" t="s">
        <v>499</v>
      </c>
      <c r="C387" s="203" t="n">
        <v>0</v>
      </c>
      <c r="D387" s="203" t="n">
        <v>0</v>
      </c>
      <c r="E387" s="203" t="n">
        <v>0</v>
      </c>
      <c r="F387" s="203" t="n">
        <v>0</v>
      </c>
      <c r="G387" s="203" t="n">
        <v>0</v>
      </c>
      <c r="H387" s="203" t="n">
        <v>0</v>
      </c>
      <c r="I387" s="204" t="n">
        <v>0</v>
      </c>
      <c r="J387" s="57"/>
    </row>
    <row r="388" customFormat="false" ht="15" hidden="false" customHeight="false" outlineLevel="0" collapsed="false">
      <c r="A388" s="319" t="s">
        <v>626</v>
      </c>
      <c r="B388" s="202" t="s">
        <v>499</v>
      </c>
      <c r="C388" s="203" t="n">
        <v>0</v>
      </c>
      <c r="D388" s="203" t="n">
        <v>0</v>
      </c>
      <c r="E388" s="203" t="n">
        <v>0.00086013</v>
      </c>
      <c r="F388" s="203" t="n">
        <v>0.001453609</v>
      </c>
      <c r="G388" s="203" t="n">
        <v>0.002036738</v>
      </c>
      <c r="H388" s="203" t="n">
        <v>0.002500292</v>
      </c>
      <c r="I388" s="204" t="n">
        <v>0.002963845</v>
      </c>
      <c r="J388" s="57"/>
    </row>
    <row r="389" customFormat="false" ht="15" hidden="false" customHeight="false" outlineLevel="0" collapsed="false">
      <c r="A389" s="319" t="s">
        <v>627</v>
      </c>
      <c r="B389" s="202" t="s">
        <v>499</v>
      </c>
      <c r="C389" s="203" t="n">
        <v>0</v>
      </c>
      <c r="D389" s="203" t="n">
        <v>0</v>
      </c>
      <c r="E389" s="203" t="n">
        <v>0</v>
      </c>
      <c r="F389" s="203" t="n">
        <v>0</v>
      </c>
      <c r="G389" s="203" t="n">
        <v>0</v>
      </c>
      <c r="H389" s="203" t="n">
        <v>0</v>
      </c>
      <c r="I389" s="204" t="n">
        <v>0</v>
      </c>
      <c r="J389" s="57"/>
    </row>
    <row r="390" customFormat="false" ht="15" hidden="false" customHeight="false" outlineLevel="0" collapsed="false">
      <c r="A390" s="319" t="s">
        <v>628</v>
      </c>
      <c r="B390" s="202" t="s">
        <v>499</v>
      </c>
      <c r="C390" s="203" t="n">
        <v>0</v>
      </c>
      <c r="D390" s="203" t="n">
        <v>0</v>
      </c>
      <c r="E390" s="203" t="n">
        <v>0</v>
      </c>
      <c r="F390" s="203" t="n">
        <v>0</v>
      </c>
      <c r="G390" s="203" t="n">
        <v>0</v>
      </c>
      <c r="H390" s="203" t="n">
        <v>0</v>
      </c>
      <c r="I390" s="204" t="n">
        <v>0</v>
      </c>
      <c r="J390" s="57"/>
    </row>
    <row r="391" customFormat="false" ht="15" hidden="false" customHeight="false" outlineLevel="0" collapsed="false">
      <c r="A391" s="319" t="s">
        <v>629</v>
      </c>
      <c r="B391" s="202" t="s">
        <v>499</v>
      </c>
      <c r="C391" s="203" t="n">
        <v>0</v>
      </c>
      <c r="D391" s="203" t="n">
        <v>0</v>
      </c>
      <c r="E391" s="203" t="n">
        <v>0.001290195</v>
      </c>
      <c r="F391" s="203" t="n">
        <v>0.002180414</v>
      </c>
      <c r="G391" s="203" t="n">
        <v>0.003055107</v>
      </c>
      <c r="H391" s="203" t="n">
        <v>0.003750438</v>
      </c>
      <c r="I391" s="204" t="n">
        <v>0.004445768</v>
      </c>
      <c r="J391" s="57"/>
    </row>
    <row r="392" customFormat="false" ht="15" hidden="false" customHeight="false" outlineLevel="0" collapsed="false">
      <c r="A392" s="319" t="s">
        <v>630</v>
      </c>
      <c r="B392" s="202" t="s">
        <v>499</v>
      </c>
      <c r="C392" s="203" t="n">
        <v>0</v>
      </c>
      <c r="D392" s="203" t="n">
        <v>0</v>
      </c>
      <c r="E392" s="203" t="n">
        <v>0</v>
      </c>
      <c r="F392" s="203" t="n">
        <v>0</v>
      </c>
      <c r="G392" s="203" t="n">
        <v>0</v>
      </c>
      <c r="H392" s="203" t="n">
        <v>0</v>
      </c>
      <c r="I392" s="204" t="n">
        <v>0</v>
      </c>
      <c r="J392" s="57"/>
    </row>
    <row r="393" customFormat="false" ht="15" hidden="false" customHeight="false" outlineLevel="0" collapsed="false">
      <c r="A393" s="319" t="s">
        <v>631</v>
      </c>
      <c r="B393" s="202" t="s">
        <v>499</v>
      </c>
      <c r="C393" s="203" t="n">
        <v>0</v>
      </c>
      <c r="D393" s="203" t="n">
        <v>0</v>
      </c>
      <c r="E393" s="203" t="n">
        <v>0</v>
      </c>
      <c r="F393" s="203" t="n">
        <v>0</v>
      </c>
      <c r="G393" s="203" t="n">
        <v>0</v>
      </c>
      <c r="H393" s="203" t="n">
        <v>0</v>
      </c>
      <c r="I393" s="204" t="n">
        <v>0</v>
      </c>
      <c r="J393" s="57"/>
    </row>
    <row r="394" customFormat="false" ht="15" hidden="false" customHeight="false" outlineLevel="0" collapsed="false">
      <c r="A394" s="319" t="s">
        <v>632</v>
      </c>
      <c r="B394" s="202" t="s">
        <v>499</v>
      </c>
      <c r="C394" s="203" t="n">
        <v>0</v>
      </c>
      <c r="D394" s="203" t="n">
        <v>0</v>
      </c>
      <c r="E394" s="203" t="n">
        <v>0.001290195</v>
      </c>
      <c r="F394" s="203" t="n">
        <v>0.002180414</v>
      </c>
      <c r="G394" s="203" t="n">
        <v>0.003055107</v>
      </c>
      <c r="H394" s="203" t="n">
        <v>0.003750438</v>
      </c>
      <c r="I394" s="204" t="n">
        <v>0.004445768</v>
      </c>
      <c r="J394" s="57"/>
    </row>
    <row r="395" customFormat="false" ht="15" hidden="false" customHeight="false" outlineLevel="0" collapsed="false">
      <c r="A395" s="319" t="s">
        <v>633</v>
      </c>
      <c r="B395" s="202" t="s">
        <v>499</v>
      </c>
      <c r="C395" s="203" t="n">
        <v>0</v>
      </c>
      <c r="D395" s="203" t="n">
        <v>0</v>
      </c>
      <c r="E395" s="203" t="n">
        <v>0</v>
      </c>
      <c r="F395" s="203" t="n">
        <v>0</v>
      </c>
      <c r="G395" s="203" t="n">
        <v>0</v>
      </c>
      <c r="H395" s="203" t="n">
        <v>0</v>
      </c>
      <c r="I395" s="204" t="n">
        <v>0</v>
      </c>
      <c r="J395" s="57"/>
    </row>
    <row r="396" customFormat="false" ht="15" hidden="false" customHeight="false" outlineLevel="0" collapsed="false">
      <c r="A396" s="319" t="s">
        <v>634</v>
      </c>
      <c r="B396" s="202" t="s">
        <v>499</v>
      </c>
      <c r="C396" s="203" t="n">
        <v>0</v>
      </c>
      <c r="D396" s="203" t="n">
        <v>0</v>
      </c>
      <c r="E396" s="203" t="n">
        <v>0</v>
      </c>
      <c r="F396" s="203" t="n">
        <v>0</v>
      </c>
      <c r="G396" s="203" t="n">
        <v>0</v>
      </c>
      <c r="H396" s="203" t="n">
        <v>0</v>
      </c>
      <c r="I396" s="204" t="n">
        <v>0</v>
      </c>
      <c r="J396" s="57"/>
    </row>
    <row r="397" customFormat="false" ht="15" hidden="false" customHeight="false" outlineLevel="0" collapsed="false">
      <c r="A397" s="319" t="s">
        <v>635</v>
      </c>
      <c r="B397" s="202" t="s">
        <v>499</v>
      </c>
      <c r="C397" s="203" t="n">
        <v>0</v>
      </c>
      <c r="D397" s="203" t="n">
        <v>0</v>
      </c>
      <c r="E397" s="203" t="n">
        <v>0.00086013</v>
      </c>
      <c r="F397" s="203" t="n">
        <v>0.001453609</v>
      </c>
      <c r="G397" s="203" t="n">
        <v>0.002036738</v>
      </c>
      <c r="H397" s="203" t="n">
        <v>0.002500292</v>
      </c>
      <c r="I397" s="204" t="n">
        <v>0.002963845</v>
      </c>
      <c r="J397" s="57"/>
    </row>
    <row r="398" customFormat="false" ht="15" hidden="false" customHeight="false" outlineLevel="0" collapsed="false">
      <c r="A398" s="319" t="s">
        <v>636</v>
      </c>
      <c r="B398" s="202" t="s">
        <v>499</v>
      </c>
      <c r="C398" s="203" t="n">
        <v>0</v>
      </c>
      <c r="D398" s="203" t="n">
        <v>0</v>
      </c>
      <c r="E398" s="203" t="n">
        <v>0</v>
      </c>
      <c r="F398" s="203" t="n">
        <v>0</v>
      </c>
      <c r="G398" s="203" t="n">
        <v>0</v>
      </c>
      <c r="H398" s="203" t="n">
        <v>0</v>
      </c>
      <c r="I398" s="204" t="n">
        <v>0</v>
      </c>
      <c r="J398" s="57"/>
    </row>
    <row r="399" customFormat="false" ht="15" hidden="false" customHeight="false" outlineLevel="0" collapsed="false">
      <c r="A399" s="319" t="s">
        <v>637</v>
      </c>
      <c r="B399" s="202" t="s">
        <v>499</v>
      </c>
      <c r="C399" s="203" t="n">
        <v>0</v>
      </c>
      <c r="D399" s="203" t="n">
        <v>0</v>
      </c>
      <c r="E399" s="203" t="n">
        <v>0.000430065</v>
      </c>
      <c r="F399" s="203" t="n">
        <v>0.000726805</v>
      </c>
      <c r="G399" s="203" t="n">
        <v>0.001018369</v>
      </c>
      <c r="H399" s="203" t="n">
        <v>0.001250146</v>
      </c>
      <c r="I399" s="204" t="n">
        <v>0.001481923</v>
      </c>
      <c r="J399" s="57"/>
    </row>
    <row r="400" customFormat="false" ht="15" hidden="false" customHeight="false" outlineLevel="0" collapsed="false">
      <c r="A400" s="319" t="s">
        <v>638</v>
      </c>
      <c r="B400" s="202" t="s">
        <v>499</v>
      </c>
      <c r="C400" s="203" t="n">
        <v>0</v>
      </c>
      <c r="D400" s="203" t="n">
        <v>0</v>
      </c>
      <c r="E400" s="203" t="n">
        <v>0.001290195</v>
      </c>
      <c r="F400" s="203" t="n">
        <v>0.002180414</v>
      </c>
      <c r="G400" s="203" t="n">
        <v>0.003055107</v>
      </c>
      <c r="H400" s="203" t="n">
        <v>0.003750438</v>
      </c>
      <c r="I400" s="204" t="n">
        <v>0.004445768</v>
      </c>
      <c r="J400" s="57"/>
    </row>
    <row r="401" customFormat="false" ht="15" hidden="false" customHeight="false" outlineLevel="0" collapsed="false">
      <c r="A401" s="319" t="s">
        <v>639</v>
      </c>
      <c r="B401" s="202" t="s">
        <v>499</v>
      </c>
      <c r="C401" s="203" t="n">
        <v>0</v>
      </c>
      <c r="D401" s="203" t="n">
        <v>0</v>
      </c>
      <c r="E401" s="203" t="n">
        <v>0</v>
      </c>
      <c r="F401" s="203" t="n">
        <v>0</v>
      </c>
      <c r="G401" s="203" t="n">
        <v>0</v>
      </c>
      <c r="H401" s="203" t="n">
        <v>0</v>
      </c>
      <c r="I401" s="204" t="n">
        <v>0</v>
      </c>
      <c r="J401" s="57"/>
    </row>
    <row r="402" customFormat="false" ht="15" hidden="false" customHeight="false" outlineLevel="0" collapsed="false">
      <c r="A402" s="319" t="s">
        <v>640</v>
      </c>
      <c r="B402" s="202" t="s">
        <v>499</v>
      </c>
      <c r="C402" s="203" t="n">
        <v>0</v>
      </c>
      <c r="D402" s="203" t="n">
        <v>0</v>
      </c>
      <c r="E402" s="203" t="n">
        <v>0.00086013</v>
      </c>
      <c r="F402" s="203" t="n">
        <v>0.001453609</v>
      </c>
      <c r="G402" s="203" t="n">
        <v>0.002036738</v>
      </c>
      <c r="H402" s="203" t="n">
        <v>0.002500292</v>
      </c>
      <c r="I402" s="204" t="n">
        <v>0.002963845</v>
      </c>
      <c r="J402" s="57"/>
    </row>
    <row r="403" customFormat="false" ht="15" hidden="false" customHeight="false" outlineLevel="0" collapsed="false">
      <c r="A403" s="319" t="s">
        <v>641</v>
      </c>
      <c r="B403" s="202" t="s">
        <v>499</v>
      </c>
      <c r="C403" s="203" t="n">
        <v>0</v>
      </c>
      <c r="D403" s="203" t="n">
        <v>0</v>
      </c>
      <c r="E403" s="203" t="n">
        <v>0</v>
      </c>
      <c r="F403" s="203" t="n">
        <v>0</v>
      </c>
      <c r="G403" s="203" t="n">
        <v>0</v>
      </c>
      <c r="H403" s="203" t="n">
        <v>0</v>
      </c>
      <c r="I403" s="204" t="n">
        <v>0</v>
      </c>
      <c r="J403" s="57"/>
    </row>
    <row r="404" customFormat="false" ht="15" hidden="false" customHeight="false" outlineLevel="0" collapsed="false">
      <c r="A404" s="319" t="s">
        <v>642</v>
      </c>
      <c r="B404" s="202" t="s">
        <v>499</v>
      </c>
      <c r="C404" s="203" t="n">
        <v>0</v>
      </c>
      <c r="D404" s="203" t="n">
        <v>0</v>
      </c>
      <c r="E404" s="203" t="n">
        <v>0.00086013</v>
      </c>
      <c r="F404" s="203" t="n">
        <v>0.001453609</v>
      </c>
      <c r="G404" s="203" t="n">
        <v>0.002036738</v>
      </c>
      <c r="H404" s="203" t="n">
        <v>0.002500292</v>
      </c>
      <c r="I404" s="204" t="n">
        <v>0.002963845</v>
      </c>
      <c r="J404" s="57"/>
    </row>
    <row r="405" customFormat="false" ht="15" hidden="false" customHeight="false" outlineLevel="0" collapsed="false">
      <c r="A405" s="319" t="s">
        <v>643</v>
      </c>
      <c r="B405" s="202" t="s">
        <v>499</v>
      </c>
      <c r="C405" s="203" t="n">
        <v>0</v>
      </c>
      <c r="D405" s="203" t="n">
        <v>0</v>
      </c>
      <c r="E405" s="203" t="n">
        <v>0</v>
      </c>
      <c r="F405" s="203" t="n">
        <v>0</v>
      </c>
      <c r="G405" s="203" t="n">
        <v>0</v>
      </c>
      <c r="H405" s="203" t="n">
        <v>0</v>
      </c>
      <c r="I405" s="204" t="n">
        <v>0</v>
      </c>
      <c r="J405" s="57"/>
    </row>
    <row r="406" customFormat="false" ht="15" hidden="false" customHeight="false" outlineLevel="0" collapsed="false">
      <c r="A406" s="320" t="s">
        <v>667</v>
      </c>
      <c r="B406" s="321"/>
      <c r="C406" s="321"/>
      <c r="D406" s="321"/>
      <c r="E406" s="321"/>
      <c r="F406" s="321"/>
      <c r="G406" s="321"/>
      <c r="H406" s="322"/>
      <c r="I406" s="321"/>
      <c r="J406" s="57"/>
    </row>
    <row r="407" customFormat="false" ht="15" hidden="false" customHeight="false" outlineLevel="0" collapsed="false">
      <c r="A407" s="319" t="s">
        <v>580</v>
      </c>
      <c r="B407" s="202" t="s">
        <v>28</v>
      </c>
      <c r="C407" s="203" t="n">
        <v>0.189349112426035</v>
      </c>
      <c r="D407" s="203" t="n">
        <v>0.189349112426035</v>
      </c>
      <c r="E407" s="203" t="n">
        <v>0.189349112426035</v>
      </c>
      <c r="F407" s="203" t="n">
        <v>0.189349112426035</v>
      </c>
      <c r="G407" s="203" t="n">
        <v>0.189349112426035</v>
      </c>
      <c r="H407" s="203" t="n">
        <f aca="false">G407+(I407-G407)/2</f>
        <v>0.238653613804641</v>
      </c>
      <c r="I407" s="203" t="n">
        <v>0.287958115183246</v>
      </c>
      <c r="J407" s="57"/>
    </row>
    <row r="408" customFormat="false" ht="15" hidden="false" customHeight="false" outlineLevel="0" collapsed="false">
      <c r="A408" s="319" t="s">
        <v>597</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19" t="s">
        <v>598</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19" t="s">
        <v>599</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19" t="s">
        <v>600</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19" t="s">
        <v>601</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19" t="s">
        <v>602</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19" t="s">
        <v>603</v>
      </c>
      <c r="B414" s="202" t="s">
        <v>28</v>
      </c>
      <c r="C414" s="203" t="n">
        <v>0.189349112</v>
      </c>
      <c r="D414" s="203" t="n">
        <v>0.189349112</v>
      </c>
      <c r="E414" s="203" t="n">
        <v>0.189349112</v>
      </c>
      <c r="F414" s="203" t="n">
        <v>0.189349112</v>
      </c>
      <c r="G414" s="203" t="n">
        <v>0.189349112</v>
      </c>
      <c r="H414" s="203" t="n">
        <v>0.238653614</v>
      </c>
      <c r="I414" s="203" t="n">
        <v>0.287958115</v>
      </c>
      <c r="J414" s="57"/>
    </row>
    <row r="415" customFormat="false" ht="15" hidden="false" customHeight="false" outlineLevel="0" collapsed="false">
      <c r="A415" s="319" t="s">
        <v>354</v>
      </c>
      <c r="B415" s="202" t="s">
        <v>28</v>
      </c>
      <c r="C415" s="203" t="n">
        <v>0.189349112</v>
      </c>
      <c r="D415" s="203" t="n">
        <v>0.189349112</v>
      </c>
      <c r="E415" s="203" t="n">
        <v>0.189349112</v>
      </c>
      <c r="F415" s="203" t="n">
        <v>0.189349112</v>
      </c>
      <c r="G415" s="203" t="n">
        <v>0.189349112</v>
      </c>
      <c r="H415" s="203" t="n">
        <v>0.238653614</v>
      </c>
      <c r="I415" s="203" t="n">
        <v>0.287958115</v>
      </c>
      <c r="J415" s="57"/>
    </row>
    <row r="416" customFormat="false" ht="15" hidden="false" customHeight="false" outlineLevel="0" collapsed="false">
      <c r="A416" s="319" t="s">
        <v>369</v>
      </c>
      <c r="B416" s="202" t="s">
        <v>28</v>
      </c>
      <c r="C416" s="203" t="n">
        <v>0.189349112</v>
      </c>
      <c r="D416" s="203" t="n">
        <v>0.189349112</v>
      </c>
      <c r="E416" s="203" t="n">
        <v>0.189349112</v>
      </c>
      <c r="F416" s="203" t="n">
        <v>0.189349112</v>
      </c>
      <c r="G416" s="203" t="n">
        <v>0.189349112</v>
      </c>
      <c r="H416" s="203" t="n">
        <v>0.238653614</v>
      </c>
      <c r="I416" s="203" t="n">
        <v>0.287958115</v>
      </c>
      <c r="J416" s="57"/>
    </row>
    <row r="417" customFormat="false" ht="15" hidden="false" customHeight="false" outlineLevel="0" collapsed="false">
      <c r="A417" s="319" t="s">
        <v>604</v>
      </c>
      <c r="B417" s="202" t="s">
        <v>28</v>
      </c>
      <c r="C417" s="203" t="n">
        <v>0.189349112</v>
      </c>
      <c r="D417" s="203" t="n">
        <v>0.189349112</v>
      </c>
      <c r="E417" s="203" t="n">
        <v>0.189349112</v>
      </c>
      <c r="F417" s="203" t="n">
        <v>0.189349112</v>
      </c>
      <c r="G417" s="203" t="n">
        <v>0.189349112</v>
      </c>
      <c r="H417" s="203" t="n">
        <v>0.238653614</v>
      </c>
      <c r="I417" s="203" t="n">
        <v>0.287958115</v>
      </c>
      <c r="J417" s="57"/>
    </row>
    <row r="418" customFormat="false" ht="15" hidden="false" customHeight="false" outlineLevel="0" collapsed="false">
      <c r="A418" s="319" t="s">
        <v>605</v>
      </c>
      <c r="B418" s="202" t="s">
        <v>28</v>
      </c>
      <c r="C418" s="203" t="n">
        <v>0.189349112</v>
      </c>
      <c r="D418" s="203" t="n">
        <v>0.189349112</v>
      </c>
      <c r="E418" s="203" t="n">
        <v>0.189349112</v>
      </c>
      <c r="F418" s="203" t="n">
        <v>0.189349112</v>
      </c>
      <c r="G418" s="203" t="n">
        <v>0.189349112</v>
      </c>
      <c r="H418" s="203" t="n">
        <v>0.238653614</v>
      </c>
      <c r="I418" s="203" t="n">
        <v>0.287958115</v>
      </c>
      <c r="J418" s="57"/>
    </row>
    <row r="419" customFormat="false" ht="15" hidden="false" customHeight="false" outlineLevel="0" collapsed="false">
      <c r="A419" s="319" t="s">
        <v>606</v>
      </c>
      <c r="B419" s="202" t="s">
        <v>28</v>
      </c>
      <c r="C419" s="203" t="n">
        <v>0.189349112</v>
      </c>
      <c r="D419" s="203" t="n">
        <v>0.189349112</v>
      </c>
      <c r="E419" s="203" t="n">
        <v>0.189349112</v>
      </c>
      <c r="F419" s="203" t="n">
        <v>0.189349112</v>
      </c>
      <c r="G419" s="203" t="n">
        <v>0.189349112</v>
      </c>
      <c r="H419" s="203" t="n">
        <v>0.238653614</v>
      </c>
      <c r="I419" s="203" t="n">
        <v>0.287958115</v>
      </c>
      <c r="J419" s="57"/>
    </row>
    <row r="420" customFormat="false" ht="15" hidden="false" customHeight="false" outlineLevel="0" collapsed="false">
      <c r="A420" s="319" t="s">
        <v>607</v>
      </c>
      <c r="B420" s="202" t="s">
        <v>28</v>
      </c>
      <c r="C420" s="203" t="n">
        <v>0.189349112</v>
      </c>
      <c r="D420" s="203" t="n">
        <v>0.189349112</v>
      </c>
      <c r="E420" s="203" t="n">
        <v>0.189349112</v>
      </c>
      <c r="F420" s="203" t="n">
        <v>0.189349112</v>
      </c>
      <c r="G420" s="203" t="n">
        <v>0.189349112</v>
      </c>
      <c r="H420" s="203" t="n">
        <v>0.238653614</v>
      </c>
      <c r="I420" s="203" t="n">
        <v>0.287958115</v>
      </c>
      <c r="J420" s="57"/>
    </row>
    <row r="421" customFormat="false" ht="15" hidden="false" customHeight="false" outlineLevel="0" collapsed="false">
      <c r="A421" s="319" t="s">
        <v>608</v>
      </c>
      <c r="B421" s="202" t="s">
        <v>28</v>
      </c>
      <c r="C421" s="203" t="n">
        <v>0.189349112</v>
      </c>
      <c r="D421" s="203" t="n">
        <v>0.189349112</v>
      </c>
      <c r="E421" s="203" t="n">
        <v>0.189349112</v>
      </c>
      <c r="F421" s="203" t="n">
        <v>0.189349112</v>
      </c>
      <c r="G421" s="203" t="n">
        <v>0.189349112</v>
      </c>
      <c r="H421" s="203" t="n">
        <v>0.238653614</v>
      </c>
      <c r="I421" s="203" t="n">
        <v>0.287958115</v>
      </c>
      <c r="J421" s="57"/>
    </row>
    <row r="422" customFormat="false" ht="15" hidden="false" customHeight="false" outlineLevel="0" collapsed="false">
      <c r="A422" s="319" t="s">
        <v>609</v>
      </c>
      <c r="B422" s="202" t="s">
        <v>28</v>
      </c>
      <c r="C422" s="203" t="n">
        <v>0.189349112</v>
      </c>
      <c r="D422" s="203" t="n">
        <v>0.189349112</v>
      </c>
      <c r="E422" s="203" t="n">
        <v>0.189349112</v>
      </c>
      <c r="F422" s="203" t="n">
        <v>0.189349112</v>
      </c>
      <c r="G422" s="203" t="n">
        <v>0.189349112</v>
      </c>
      <c r="H422" s="203" t="n">
        <v>0.238653614</v>
      </c>
      <c r="I422" s="203" t="n">
        <v>0.287958115</v>
      </c>
      <c r="J422" s="57"/>
    </row>
    <row r="423" customFormat="false" ht="15" hidden="false" customHeight="false" outlineLevel="0" collapsed="false">
      <c r="A423" s="319" t="s">
        <v>610</v>
      </c>
      <c r="B423" s="202" t="s">
        <v>28</v>
      </c>
      <c r="C423" s="203" t="n">
        <v>0.189349112</v>
      </c>
      <c r="D423" s="203" t="n">
        <v>0.189349112</v>
      </c>
      <c r="E423" s="203" t="n">
        <v>0.189349112</v>
      </c>
      <c r="F423" s="203" t="n">
        <v>0.189349112</v>
      </c>
      <c r="G423" s="203" t="n">
        <v>0.189349112</v>
      </c>
      <c r="H423" s="203" t="n">
        <v>0.238653614</v>
      </c>
      <c r="I423" s="203" t="n">
        <v>0.287958115</v>
      </c>
      <c r="J423" s="57"/>
    </row>
    <row r="424" customFormat="false" ht="15" hidden="false" customHeight="false" outlineLevel="0" collapsed="false">
      <c r="A424" s="319" t="s">
        <v>611</v>
      </c>
      <c r="B424" s="202" t="s">
        <v>28</v>
      </c>
      <c r="C424" s="203" t="n">
        <v>0.189349112</v>
      </c>
      <c r="D424" s="203" t="n">
        <v>0.189349112</v>
      </c>
      <c r="E424" s="203" t="n">
        <v>0.189349112</v>
      </c>
      <c r="F424" s="203" t="n">
        <v>0.189349112</v>
      </c>
      <c r="G424" s="203" t="n">
        <v>0.189349112</v>
      </c>
      <c r="H424" s="203" t="n">
        <v>0.238653614</v>
      </c>
      <c r="I424" s="203" t="n">
        <v>0.287958115</v>
      </c>
      <c r="J424" s="57"/>
    </row>
    <row r="425" customFormat="false" ht="15" hidden="false" customHeight="false" outlineLevel="0" collapsed="false">
      <c r="A425" s="319" t="s">
        <v>612</v>
      </c>
      <c r="B425" s="202" t="s">
        <v>28</v>
      </c>
      <c r="C425" s="203" t="n">
        <v>0.189349112</v>
      </c>
      <c r="D425" s="203" t="n">
        <v>0.189349112</v>
      </c>
      <c r="E425" s="203" t="n">
        <v>0.189349112</v>
      </c>
      <c r="F425" s="203" t="n">
        <v>0.189349112</v>
      </c>
      <c r="G425" s="203" t="n">
        <v>0.189349112</v>
      </c>
      <c r="H425" s="203" t="n">
        <v>0.238653614</v>
      </c>
      <c r="I425" s="203" t="n">
        <v>0.287958115</v>
      </c>
      <c r="J425" s="57"/>
    </row>
    <row r="426" customFormat="false" ht="15" hidden="false" customHeight="false" outlineLevel="0" collapsed="false">
      <c r="A426" s="319" t="s">
        <v>613</v>
      </c>
      <c r="B426" s="202" t="s">
        <v>28</v>
      </c>
      <c r="C426" s="203" t="n">
        <v>0.189349112</v>
      </c>
      <c r="D426" s="203" t="n">
        <v>0.189349112</v>
      </c>
      <c r="E426" s="203" t="n">
        <v>0.189349112</v>
      </c>
      <c r="F426" s="203" t="n">
        <v>0.189349112</v>
      </c>
      <c r="G426" s="203" t="n">
        <v>0.189349112</v>
      </c>
      <c r="H426" s="203" t="n">
        <v>0.238653614</v>
      </c>
      <c r="I426" s="203" t="n">
        <v>0.287958115</v>
      </c>
      <c r="J426" s="57"/>
    </row>
    <row r="427" customFormat="false" ht="15" hidden="false" customHeight="false" outlineLevel="0" collapsed="false">
      <c r="A427" s="319" t="s">
        <v>614</v>
      </c>
      <c r="B427" s="202" t="s">
        <v>28</v>
      </c>
      <c r="C427" s="203" t="n">
        <v>0.189349112</v>
      </c>
      <c r="D427" s="203" t="n">
        <v>0.189349112</v>
      </c>
      <c r="E427" s="203" t="n">
        <v>0.189349112</v>
      </c>
      <c r="F427" s="203" t="n">
        <v>0.189349112</v>
      </c>
      <c r="G427" s="203" t="n">
        <v>0.189349112</v>
      </c>
      <c r="H427" s="203" t="n">
        <v>0.238653614</v>
      </c>
      <c r="I427" s="203" t="n">
        <v>0.287958115</v>
      </c>
      <c r="J427" s="57"/>
    </row>
    <row r="428" customFormat="false" ht="15" hidden="false" customHeight="false" outlineLevel="0" collapsed="false">
      <c r="A428" s="319" t="s">
        <v>615</v>
      </c>
      <c r="B428" s="202" t="s">
        <v>28</v>
      </c>
      <c r="C428" s="203" t="n">
        <v>0.189349112</v>
      </c>
      <c r="D428" s="203" t="n">
        <v>0.189349112</v>
      </c>
      <c r="E428" s="203" t="n">
        <v>0.189349112</v>
      </c>
      <c r="F428" s="203" t="n">
        <v>0.189349112</v>
      </c>
      <c r="G428" s="203" t="n">
        <v>0.189349112</v>
      </c>
      <c r="H428" s="203" t="n">
        <v>0.238653614</v>
      </c>
      <c r="I428" s="203" t="n">
        <v>0.287958115</v>
      </c>
      <c r="J428" s="57"/>
    </row>
    <row r="429" customFormat="false" ht="15" hidden="false" customHeight="false" outlineLevel="0" collapsed="false">
      <c r="A429" s="319" t="s">
        <v>616</v>
      </c>
      <c r="B429" s="202" t="s">
        <v>28</v>
      </c>
      <c r="C429" s="203" t="n">
        <v>0.189349112</v>
      </c>
      <c r="D429" s="203" t="n">
        <v>0.189349112</v>
      </c>
      <c r="E429" s="203" t="n">
        <v>0.189349112</v>
      </c>
      <c r="F429" s="203" t="n">
        <v>0.189349112</v>
      </c>
      <c r="G429" s="203" t="n">
        <v>0.189349112</v>
      </c>
      <c r="H429" s="203" t="n">
        <v>0.238653614</v>
      </c>
      <c r="I429" s="203" t="n">
        <v>0.287958115</v>
      </c>
      <c r="J429" s="57"/>
    </row>
    <row r="430" customFormat="false" ht="15" hidden="false" customHeight="false" outlineLevel="0" collapsed="false">
      <c r="A430" s="319" t="s">
        <v>617</v>
      </c>
      <c r="B430" s="202" t="s">
        <v>28</v>
      </c>
      <c r="C430" s="203" t="n">
        <v>0.189349112</v>
      </c>
      <c r="D430" s="203" t="n">
        <v>0.189349112</v>
      </c>
      <c r="E430" s="203" t="n">
        <v>0.189349112</v>
      </c>
      <c r="F430" s="203" t="n">
        <v>0.189349112</v>
      </c>
      <c r="G430" s="203" t="n">
        <v>0.189349112</v>
      </c>
      <c r="H430" s="203" t="n">
        <v>0.238653614</v>
      </c>
      <c r="I430" s="203" t="n">
        <v>0.287958115</v>
      </c>
      <c r="J430" s="57"/>
    </row>
    <row r="431" customFormat="false" ht="15" hidden="false" customHeight="false" outlineLevel="0" collapsed="false">
      <c r="A431" s="319" t="s">
        <v>618</v>
      </c>
      <c r="B431" s="202" t="s">
        <v>28</v>
      </c>
      <c r="C431" s="203" t="n">
        <v>0.189349112</v>
      </c>
      <c r="D431" s="203" t="n">
        <v>0.189349112</v>
      </c>
      <c r="E431" s="203" t="n">
        <v>0.189349112</v>
      </c>
      <c r="F431" s="203" t="n">
        <v>0.189349112</v>
      </c>
      <c r="G431" s="203" t="n">
        <v>0.189349112</v>
      </c>
      <c r="H431" s="203" t="n">
        <v>0.238653614</v>
      </c>
      <c r="I431" s="203" t="n">
        <v>0.287958115</v>
      </c>
      <c r="J431" s="57"/>
    </row>
    <row r="432" customFormat="false" ht="15" hidden="false" customHeight="false" outlineLevel="0" collapsed="false">
      <c r="A432" s="319" t="s">
        <v>619</v>
      </c>
      <c r="B432" s="202" t="s">
        <v>28</v>
      </c>
      <c r="C432" s="203" t="n">
        <v>0.189349112</v>
      </c>
      <c r="D432" s="203" t="n">
        <v>0.189349112</v>
      </c>
      <c r="E432" s="203" t="n">
        <v>0.189349112</v>
      </c>
      <c r="F432" s="203" t="n">
        <v>0.189349112</v>
      </c>
      <c r="G432" s="203" t="n">
        <v>0.189349112</v>
      </c>
      <c r="H432" s="203" t="n">
        <v>0.238653614</v>
      </c>
      <c r="I432" s="203" t="n">
        <v>0.287958115</v>
      </c>
      <c r="J432" s="57"/>
    </row>
    <row r="433" customFormat="false" ht="15" hidden="false" customHeight="false" outlineLevel="0" collapsed="false">
      <c r="A433" s="319" t="s">
        <v>620</v>
      </c>
      <c r="B433" s="202" t="s">
        <v>28</v>
      </c>
      <c r="C433" s="203" t="n">
        <v>0.189349112</v>
      </c>
      <c r="D433" s="203" t="n">
        <v>0.189349112</v>
      </c>
      <c r="E433" s="203" t="n">
        <v>0.189349112</v>
      </c>
      <c r="F433" s="203" t="n">
        <v>0.189349112</v>
      </c>
      <c r="G433" s="203" t="n">
        <v>0.189349112</v>
      </c>
      <c r="H433" s="203" t="n">
        <v>0.238653614</v>
      </c>
      <c r="I433" s="203" t="n">
        <v>0.287958115</v>
      </c>
      <c r="J433" s="57"/>
    </row>
    <row r="434" customFormat="false" ht="15" hidden="false" customHeight="false" outlineLevel="0" collapsed="false">
      <c r="A434" s="319" t="s">
        <v>621</v>
      </c>
      <c r="B434" s="202" t="s">
        <v>28</v>
      </c>
      <c r="C434" s="203" t="n">
        <v>0.189349112</v>
      </c>
      <c r="D434" s="203" t="n">
        <v>0.189349112</v>
      </c>
      <c r="E434" s="203" t="n">
        <v>0.189349112</v>
      </c>
      <c r="F434" s="203" t="n">
        <v>0.189349112</v>
      </c>
      <c r="G434" s="203" t="n">
        <v>0.189349112</v>
      </c>
      <c r="H434" s="203" t="n">
        <v>0.238653614</v>
      </c>
      <c r="I434" s="203" t="n">
        <v>0.287958115</v>
      </c>
      <c r="J434" s="57"/>
    </row>
    <row r="435" customFormat="false" ht="15" hidden="false" customHeight="false" outlineLevel="0" collapsed="false">
      <c r="A435" s="319" t="s">
        <v>622</v>
      </c>
      <c r="B435" s="202" t="s">
        <v>28</v>
      </c>
      <c r="C435" s="203" t="n">
        <v>0.189349112</v>
      </c>
      <c r="D435" s="203" t="n">
        <v>0.189349112</v>
      </c>
      <c r="E435" s="203" t="n">
        <v>0.189349112</v>
      </c>
      <c r="F435" s="203" t="n">
        <v>0.189349112</v>
      </c>
      <c r="G435" s="203" t="n">
        <v>0.189349112</v>
      </c>
      <c r="H435" s="203" t="n">
        <v>0.238653614</v>
      </c>
      <c r="I435" s="203" t="n">
        <v>0.287958115</v>
      </c>
      <c r="J435" s="57"/>
    </row>
    <row r="436" customFormat="false" ht="15" hidden="false" customHeight="false" outlineLevel="0" collapsed="false">
      <c r="A436" s="319" t="s">
        <v>623</v>
      </c>
      <c r="B436" s="202" t="s">
        <v>28</v>
      </c>
      <c r="C436" s="203" t="n">
        <v>0.189349112</v>
      </c>
      <c r="D436" s="203" t="n">
        <v>0.189349112</v>
      </c>
      <c r="E436" s="203" t="n">
        <v>0.189349112</v>
      </c>
      <c r="F436" s="203" t="n">
        <v>0.189349112</v>
      </c>
      <c r="G436" s="203" t="n">
        <v>0.189349112</v>
      </c>
      <c r="H436" s="203" t="n">
        <v>0.238653614</v>
      </c>
      <c r="I436" s="203" t="n">
        <v>0.287958115</v>
      </c>
      <c r="J436" s="57"/>
    </row>
    <row r="437" customFormat="false" ht="15" hidden="false" customHeight="false" outlineLevel="0" collapsed="false">
      <c r="A437" s="319" t="s">
        <v>624</v>
      </c>
      <c r="B437" s="202" t="s">
        <v>28</v>
      </c>
      <c r="C437" s="203" t="n">
        <v>0.189349112</v>
      </c>
      <c r="D437" s="203" t="n">
        <v>0.189349112</v>
      </c>
      <c r="E437" s="203" t="n">
        <v>0.189349112</v>
      </c>
      <c r="F437" s="203" t="n">
        <v>0.189349112</v>
      </c>
      <c r="G437" s="203" t="n">
        <v>0.189349112</v>
      </c>
      <c r="H437" s="203" t="n">
        <v>0.238653614</v>
      </c>
      <c r="I437" s="203" t="n">
        <v>0.287958115</v>
      </c>
      <c r="J437" s="57"/>
    </row>
    <row r="438" customFormat="false" ht="15" hidden="false" customHeight="false" outlineLevel="0" collapsed="false">
      <c r="A438" s="319" t="s">
        <v>625</v>
      </c>
      <c r="B438" s="202" t="s">
        <v>28</v>
      </c>
      <c r="C438" s="203" t="n">
        <v>0.189349112</v>
      </c>
      <c r="D438" s="203" t="n">
        <v>0.189349112</v>
      </c>
      <c r="E438" s="203" t="n">
        <v>0.189349112</v>
      </c>
      <c r="F438" s="203" t="n">
        <v>0.189349112</v>
      </c>
      <c r="G438" s="203" t="n">
        <v>0.189349112</v>
      </c>
      <c r="H438" s="203" t="n">
        <v>0.238653614</v>
      </c>
      <c r="I438" s="203" t="n">
        <v>0.287958115</v>
      </c>
      <c r="J438" s="57"/>
    </row>
    <row r="439" customFormat="false" ht="15" hidden="false" customHeight="false" outlineLevel="0" collapsed="false">
      <c r="A439" s="319" t="s">
        <v>626</v>
      </c>
      <c r="B439" s="202" t="s">
        <v>28</v>
      </c>
      <c r="C439" s="203" t="n">
        <v>0.189349112</v>
      </c>
      <c r="D439" s="203" t="n">
        <v>0.189349112</v>
      </c>
      <c r="E439" s="203" t="n">
        <v>0.189349112</v>
      </c>
      <c r="F439" s="203" t="n">
        <v>0.189349112</v>
      </c>
      <c r="G439" s="203" t="n">
        <v>0.189349112</v>
      </c>
      <c r="H439" s="203" t="n">
        <v>0.238653614</v>
      </c>
      <c r="I439" s="203" t="n">
        <v>0.287958115</v>
      </c>
      <c r="J439" s="57"/>
    </row>
    <row r="440" customFormat="false" ht="15" hidden="false" customHeight="false" outlineLevel="0" collapsed="false">
      <c r="A440" s="319" t="s">
        <v>627</v>
      </c>
      <c r="B440" s="202" t="s">
        <v>28</v>
      </c>
      <c r="C440" s="203" t="n">
        <v>0.189349112</v>
      </c>
      <c r="D440" s="203" t="n">
        <v>0.189349112</v>
      </c>
      <c r="E440" s="203" t="n">
        <v>0.189349112</v>
      </c>
      <c r="F440" s="203" t="n">
        <v>0.189349112</v>
      </c>
      <c r="G440" s="203" t="n">
        <v>0.189349112</v>
      </c>
      <c r="H440" s="203" t="n">
        <v>0.238653614</v>
      </c>
      <c r="I440" s="203" t="n">
        <v>0.287958115</v>
      </c>
      <c r="J440" s="57"/>
    </row>
    <row r="441" customFormat="false" ht="15" hidden="false" customHeight="false" outlineLevel="0" collapsed="false">
      <c r="A441" s="319" t="s">
        <v>628</v>
      </c>
      <c r="B441" s="202" t="s">
        <v>28</v>
      </c>
      <c r="C441" s="203" t="n">
        <v>0.189349112</v>
      </c>
      <c r="D441" s="203" t="n">
        <v>0.189349112</v>
      </c>
      <c r="E441" s="203" t="n">
        <v>0.189349112</v>
      </c>
      <c r="F441" s="203" t="n">
        <v>0.189349112</v>
      </c>
      <c r="G441" s="203" t="n">
        <v>0.189349112</v>
      </c>
      <c r="H441" s="203" t="n">
        <v>0.238653614</v>
      </c>
      <c r="I441" s="203" t="n">
        <v>0.287958115</v>
      </c>
      <c r="J441" s="57"/>
    </row>
    <row r="442" customFormat="false" ht="15" hidden="false" customHeight="false" outlineLevel="0" collapsed="false">
      <c r="A442" s="319" t="s">
        <v>629</v>
      </c>
      <c r="B442" s="202" t="s">
        <v>28</v>
      </c>
      <c r="C442" s="203" t="n">
        <v>0.189349112</v>
      </c>
      <c r="D442" s="203" t="n">
        <v>0.189349112</v>
      </c>
      <c r="E442" s="203" t="n">
        <v>0.189349112</v>
      </c>
      <c r="F442" s="203" t="n">
        <v>0.189349112</v>
      </c>
      <c r="G442" s="203" t="n">
        <v>0.189349112</v>
      </c>
      <c r="H442" s="203" t="n">
        <v>0.238653614</v>
      </c>
      <c r="I442" s="203" t="n">
        <v>0.287958115</v>
      </c>
      <c r="J442" s="57"/>
    </row>
    <row r="443" customFormat="false" ht="15" hidden="false" customHeight="false" outlineLevel="0" collapsed="false">
      <c r="A443" s="319" t="s">
        <v>630</v>
      </c>
      <c r="B443" s="202" t="s">
        <v>28</v>
      </c>
      <c r="C443" s="203" t="n">
        <v>0.189349112</v>
      </c>
      <c r="D443" s="203" t="n">
        <v>0.189349112</v>
      </c>
      <c r="E443" s="203" t="n">
        <v>0.189349112</v>
      </c>
      <c r="F443" s="203" t="n">
        <v>0.189349112</v>
      </c>
      <c r="G443" s="203" t="n">
        <v>0.189349112</v>
      </c>
      <c r="H443" s="203" t="n">
        <v>0.238653614</v>
      </c>
      <c r="I443" s="203" t="n">
        <v>0.287958115</v>
      </c>
      <c r="J443" s="57"/>
    </row>
    <row r="444" customFormat="false" ht="15" hidden="false" customHeight="false" outlineLevel="0" collapsed="false">
      <c r="A444" s="319" t="s">
        <v>631</v>
      </c>
      <c r="B444" s="202" t="s">
        <v>28</v>
      </c>
      <c r="C444" s="203" t="n">
        <v>0.189349112</v>
      </c>
      <c r="D444" s="203" t="n">
        <v>0.189349112</v>
      </c>
      <c r="E444" s="203" t="n">
        <v>0.189349112</v>
      </c>
      <c r="F444" s="203" t="n">
        <v>0.189349112</v>
      </c>
      <c r="G444" s="203" t="n">
        <v>0.189349112</v>
      </c>
      <c r="H444" s="203" t="n">
        <v>0.238653614</v>
      </c>
      <c r="I444" s="203" t="n">
        <v>0.287958115</v>
      </c>
      <c r="J444" s="57"/>
    </row>
    <row r="445" customFormat="false" ht="15" hidden="false" customHeight="false" outlineLevel="0" collapsed="false">
      <c r="A445" s="319" t="s">
        <v>632</v>
      </c>
      <c r="B445" s="202" t="s">
        <v>28</v>
      </c>
      <c r="C445" s="203" t="n">
        <v>0.189349112</v>
      </c>
      <c r="D445" s="203" t="n">
        <v>0.189349112</v>
      </c>
      <c r="E445" s="203" t="n">
        <v>0.189349112</v>
      </c>
      <c r="F445" s="203" t="n">
        <v>0.189349112</v>
      </c>
      <c r="G445" s="203" t="n">
        <v>0.189349112</v>
      </c>
      <c r="H445" s="203" t="n">
        <v>0.238653614</v>
      </c>
      <c r="I445" s="203" t="n">
        <v>0.287958115</v>
      </c>
      <c r="J445" s="57"/>
    </row>
    <row r="446" customFormat="false" ht="15" hidden="false" customHeight="false" outlineLevel="0" collapsed="false">
      <c r="A446" s="319" t="s">
        <v>633</v>
      </c>
      <c r="B446" s="202" t="s">
        <v>28</v>
      </c>
      <c r="C446" s="203" t="n">
        <v>0.189349112</v>
      </c>
      <c r="D446" s="203" t="n">
        <v>0.189349112</v>
      </c>
      <c r="E446" s="203" t="n">
        <v>0.189349112</v>
      </c>
      <c r="F446" s="203" t="n">
        <v>0.189349112</v>
      </c>
      <c r="G446" s="203" t="n">
        <v>0.189349112</v>
      </c>
      <c r="H446" s="203" t="n">
        <v>0.238653614</v>
      </c>
      <c r="I446" s="203" t="n">
        <v>0.287958115</v>
      </c>
      <c r="J446" s="57"/>
    </row>
    <row r="447" customFormat="false" ht="15" hidden="false" customHeight="false" outlineLevel="0" collapsed="false">
      <c r="A447" s="319" t="s">
        <v>634</v>
      </c>
      <c r="B447" s="202" t="s">
        <v>28</v>
      </c>
      <c r="C447" s="203" t="n">
        <v>0.189349112</v>
      </c>
      <c r="D447" s="203" t="n">
        <v>0.189349112</v>
      </c>
      <c r="E447" s="203" t="n">
        <v>0.189349112</v>
      </c>
      <c r="F447" s="203" t="n">
        <v>0.189349112</v>
      </c>
      <c r="G447" s="203" t="n">
        <v>0.189349112</v>
      </c>
      <c r="H447" s="203" t="n">
        <v>0.238653614</v>
      </c>
      <c r="I447" s="203" t="n">
        <v>0.287958115</v>
      </c>
      <c r="J447" s="57"/>
    </row>
    <row r="448" customFormat="false" ht="15" hidden="false" customHeight="false" outlineLevel="0" collapsed="false">
      <c r="A448" s="319" t="s">
        <v>635</v>
      </c>
      <c r="B448" s="202" t="s">
        <v>28</v>
      </c>
      <c r="C448" s="203" t="n">
        <v>0.189349112</v>
      </c>
      <c r="D448" s="203" t="n">
        <v>0.189349112</v>
      </c>
      <c r="E448" s="203" t="n">
        <v>0.189349112</v>
      </c>
      <c r="F448" s="203" t="n">
        <v>0.189349112</v>
      </c>
      <c r="G448" s="203" t="n">
        <v>0.189349112</v>
      </c>
      <c r="H448" s="203" t="n">
        <v>0.238653614</v>
      </c>
      <c r="I448" s="203" t="n">
        <v>0.287958115</v>
      </c>
      <c r="J448" s="57"/>
    </row>
    <row r="449" customFormat="false" ht="15" hidden="false" customHeight="false" outlineLevel="0" collapsed="false">
      <c r="A449" s="319" t="s">
        <v>636</v>
      </c>
      <c r="B449" s="202" t="s">
        <v>28</v>
      </c>
      <c r="C449" s="203" t="n">
        <v>0.189349112</v>
      </c>
      <c r="D449" s="203" t="n">
        <v>0.189349112</v>
      </c>
      <c r="E449" s="203" t="n">
        <v>0.189349112</v>
      </c>
      <c r="F449" s="203" t="n">
        <v>0.189349112</v>
      </c>
      <c r="G449" s="203" t="n">
        <v>0.189349112</v>
      </c>
      <c r="H449" s="203" t="n">
        <v>0.238653614</v>
      </c>
      <c r="I449" s="203" t="n">
        <v>0.287958115</v>
      </c>
      <c r="J449" s="57"/>
    </row>
    <row r="450" customFormat="false" ht="15" hidden="false" customHeight="false" outlineLevel="0" collapsed="false">
      <c r="A450" s="319" t="s">
        <v>637</v>
      </c>
      <c r="B450" s="202" t="s">
        <v>28</v>
      </c>
      <c r="C450" s="203" t="n">
        <v>0.189349112</v>
      </c>
      <c r="D450" s="203" t="n">
        <v>0.189349112</v>
      </c>
      <c r="E450" s="203" t="n">
        <v>0.189349112</v>
      </c>
      <c r="F450" s="203" t="n">
        <v>0.189349112</v>
      </c>
      <c r="G450" s="203" t="n">
        <v>0.189349112</v>
      </c>
      <c r="H450" s="203" t="n">
        <v>0.169674556</v>
      </c>
      <c r="I450" s="203" t="n">
        <v>0.15</v>
      </c>
      <c r="J450" s="57"/>
    </row>
    <row r="451" customFormat="false" ht="15" hidden="false" customHeight="false" outlineLevel="0" collapsed="false">
      <c r="A451" s="319" t="s">
        <v>638</v>
      </c>
      <c r="B451" s="202" t="s">
        <v>28</v>
      </c>
      <c r="C451" s="203" t="n">
        <v>0.189349112</v>
      </c>
      <c r="D451" s="203" t="n">
        <v>0.189349112</v>
      </c>
      <c r="E451" s="203" t="n">
        <v>0.189349112</v>
      </c>
      <c r="F451" s="203" t="n">
        <v>0.189349112</v>
      </c>
      <c r="G451" s="203" t="n">
        <v>0.189349112</v>
      </c>
      <c r="H451" s="203" t="n">
        <v>0.169674556</v>
      </c>
      <c r="I451" s="203" t="n">
        <v>0.15</v>
      </c>
      <c r="J451" s="57"/>
    </row>
    <row r="452" customFormat="false" ht="15" hidden="false" customHeight="false" outlineLevel="0" collapsed="false">
      <c r="A452" s="319" t="s">
        <v>639</v>
      </c>
      <c r="B452" s="202" t="s">
        <v>28</v>
      </c>
      <c r="C452" s="203" t="n">
        <v>0.189349112</v>
      </c>
      <c r="D452" s="203" t="n">
        <v>0.189349112</v>
      </c>
      <c r="E452" s="203" t="n">
        <v>0.189349112</v>
      </c>
      <c r="F452" s="203" t="n">
        <v>0.189349112</v>
      </c>
      <c r="G452" s="203" t="n">
        <v>0.189349112</v>
      </c>
      <c r="H452" s="203" t="n">
        <v>0.169674556</v>
      </c>
      <c r="I452" s="203" t="n">
        <v>0.15</v>
      </c>
      <c r="J452" s="57"/>
    </row>
    <row r="453" customFormat="false" ht="15" hidden="false" customHeight="false" outlineLevel="0" collapsed="false">
      <c r="A453" s="319" t="s">
        <v>640</v>
      </c>
      <c r="B453" s="202" t="s">
        <v>28</v>
      </c>
      <c r="C453" s="203" t="n">
        <v>0.189349112</v>
      </c>
      <c r="D453" s="203" t="n">
        <v>0.189349112</v>
      </c>
      <c r="E453" s="203" t="n">
        <v>0.189349112</v>
      </c>
      <c r="F453" s="203" t="n">
        <v>0.189349112</v>
      </c>
      <c r="G453" s="203" t="n">
        <v>0.189349112</v>
      </c>
      <c r="H453" s="203" t="n">
        <v>0.169674556</v>
      </c>
      <c r="I453" s="203" t="n">
        <v>0.15</v>
      </c>
      <c r="J453" s="57"/>
    </row>
    <row r="454" customFormat="false" ht="15" hidden="false" customHeight="false" outlineLevel="0" collapsed="false">
      <c r="A454" s="319" t="s">
        <v>641</v>
      </c>
      <c r="B454" s="202" t="s">
        <v>28</v>
      </c>
      <c r="C454" s="203" t="n">
        <v>0.189349112</v>
      </c>
      <c r="D454" s="203" t="n">
        <v>0.189349112</v>
      </c>
      <c r="E454" s="203" t="n">
        <v>0.189349112</v>
      </c>
      <c r="F454" s="203" t="n">
        <v>0.189349112</v>
      </c>
      <c r="G454" s="203" t="n">
        <v>0.189349112</v>
      </c>
      <c r="H454" s="203" t="n">
        <v>0.169674556</v>
      </c>
      <c r="I454" s="203" t="n">
        <v>0.15</v>
      </c>
      <c r="J454" s="57"/>
    </row>
    <row r="455" customFormat="false" ht="15" hidden="false" customHeight="false" outlineLevel="0" collapsed="false">
      <c r="A455" s="319" t="s">
        <v>642</v>
      </c>
      <c r="B455" s="202" t="s">
        <v>28</v>
      </c>
      <c r="C455" s="203" t="n">
        <v>0.189349112</v>
      </c>
      <c r="D455" s="203" t="n">
        <v>0.189349112</v>
      </c>
      <c r="E455" s="203" t="n">
        <v>0.189349112</v>
      </c>
      <c r="F455" s="203" t="n">
        <v>0.189349112</v>
      </c>
      <c r="G455" s="203" t="n">
        <v>0.189349112</v>
      </c>
      <c r="H455" s="203" t="n">
        <v>0.169674556</v>
      </c>
      <c r="I455" s="203" t="n">
        <v>0.15</v>
      </c>
      <c r="J455" s="57"/>
    </row>
    <row r="456" customFormat="false" ht="15" hidden="false" customHeight="false" outlineLevel="0" collapsed="false">
      <c r="A456" s="319" t="s">
        <v>643</v>
      </c>
      <c r="B456" s="202" t="s">
        <v>28</v>
      </c>
      <c r="C456" s="203" t="n">
        <v>0.189349112</v>
      </c>
      <c r="D456" s="203" t="n">
        <v>0.189349112</v>
      </c>
      <c r="E456" s="203" t="n">
        <v>0.189349112</v>
      </c>
      <c r="F456" s="203" t="n">
        <v>0.189349112</v>
      </c>
      <c r="G456" s="203" t="n">
        <v>0.189349112</v>
      </c>
      <c r="H456" s="203" t="n">
        <v>0.169674556</v>
      </c>
      <c r="I456" s="203" t="n">
        <v>0.15</v>
      </c>
      <c r="J456" s="57"/>
    </row>
    <row r="457" customFormat="false" ht="18" hidden="false" customHeight="true" outlineLevel="0" collapsed="false">
      <c r="A457" s="200" t="s">
        <v>668</v>
      </c>
      <c r="B457" s="200"/>
      <c r="C457" s="200"/>
      <c r="D457" s="200"/>
      <c r="E457" s="200"/>
      <c r="F457" s="200"/>
      <c r="G457" s="200"/>
      <c r="H457" s="200"/>
      <c r="I457" s="200"/>
    </row>
    <row r="458" customFormat="false" ht="15" hidden="false" customHeight="false" outlineLevel="0" collapsed="false">
      <c r="A458" s="319" t="s">
        <v>669</v>
      </c>
      <c r="B458" s="219" t="s">
        <v>499</v>
      </c>
      <c r="C458" s="203" t="n">
        <v>0</v>
      </c>
      <c r="D458" s="203" t="n">
        <v>0.00625343327625571</v>
      </c>
      <c r="E458" s="203" t="n">
        <v>0.0125068665525114</v>
      </c>
      <c r="F458" s="203" t="n">
        <v>0.0135108581335616</v>
      </c>
      <c r="G458" s="203" t="n">
        <v>0.0145148497146119</v>
      </c>
      <c r="H458" s="203" t="n">
        <v>0.0155188412956621</v>
      </c>
      <c r="I458" s="203" t="n">
        <v>0.0165228328767123</v>
      </c>
    </row>
    <row r="459" customFormat="false" ht="15" hidden="false" customHeight="false" outlineLevel="0" collapsed="false">
      <c r="H459" s="54"/>
      <c r="J459" s="57"/>
    </row>
    <row r="460" customFormat="false" ht="17.35" hidden="false" customHeight="false" outlineLevel="0" collapsed="false">
      <c r="A460" s="323" t="s">
        <v>670</v>
      </c>
      <c r="B460" s="324"/>
      <c r="C460" s="325"/>
    </row>
    <row r="461" customFormat="false" ht="15" hidden="false" customHeight="false" outlineLevel="0" collapsed="false">
      <c r="A461" s="319" t="s">
        <v>434</v>
      </c>
      <c r="B461" s="202" t="s">
        <v>36</v>
      </c>
      <c r="C461" s="204" t="n">
        <v>2050</v>
      </c>
    </row>
    <row r="462" customFormat="false" ht="15" hidden="false" customHeight="false" outlineLevel="0" collapsed="false">
      <c r="A462" s="326" t="s">
        <v>671</v>
      </c>
      <c r="B462" s="205" t="s">
        <v>327</v>
      </c>
      <c r="C462" s="327" t="n">
        <v>0.05</v>
      </c>
    </row>
    <row r="464" customFormat="false" ht="17.35" hidden="false" customHeight="false" outlineLevel="0" collapsed="false">
      <c r="A464" s="323" t="s">
        <v>672</v>
      </c>
      <c r="B464" s="323"/>
      <c r="C464" s="323"/>
      <c r="D464" s="323"/>
      <c r="E464" s="323"/>
      <c r="F464" s="323"/>
      <c r="G464" s="323"/>
      <c r="H464" s="323"/>
      <c r="I464" s="323"/>
    </row>
    <row r="465" customFormat="false" ht="15" hidden="false" customHeight="false" outlineLevel="0" collapsed="false">
      <c r="A465" s="319" t="s">
        <v>673</v>
      </c>
      <c r="B465" s="202" t="s">
        <v>36</v>
      </c>
      <c r="C465" s="203" t="n">
        <v>2020</v>
      </c>
      <c r="D465" s="203" t="n">
        <f aca="false">C465+5</f>
        <v>2025</v>
      </c>
      <c r="E465" s="203" t="n">
        <f aca="false">D465+5</f>
        <v>2030</v>
      </c>
      <c r="F465" s="203" t="n">
        <f aca="false">E465+5</f>
        <v>2035</v>
      </c>
      <c r="G465" s="203" t="n">
        <f aca="false">F465+5</f>
        <v>2040</v>
      </c>
      <c r="H465" s="203" t="n">
        <f aca="false">G465+5</f>
        <v>2045</v>
      </c>
      <c r="I465" s="203" t="n">
        <f aca="false">H465+5</f>
        <v>2050</v>
      </c>
    </row>
    <row r="466" customFormat="false" ht="15" hidden="false" customHeight="false" outlineLevel="0" collapsed="false">
      <c r="A466" s="319" t="s">
        <v>674</v>
      </c>
      <c r="B466" s="202" t="s">
        <v>675</v>
      </c>
      <c r="C466" s="203" t="n">
        <v>0</v>
      </c>
      <c r="D466" s="203" t="n">
        <v>0</v>
      </c>
      <c r="E466" s="203" t="n">
        <v>0</v>
      </c>
      <c r="F466" s="203" t="n">
        <v>0</v>
      </c>
      <c r="G466" s="203" t="n">
        <v>0</v>
      </c>
      <c r="H466" s="203" t="n">
        <v>0</v>
      </c>
      <c r="I466" s="203" t="n">
        <v>0</v>
      </c>
      <c r="M466" s="198"/>
      <c r="Q466" s="198"/>
      <c r="U466" s="198"/>
    </row>
    <row r="468" customFormat="false" ht="17.35" hidden="false" customHeight="false" outlineLevel="0" collapsed="false">
      <c r="A468" s="323" t="s">
        <v>676</v>
      </c>
      <c r="B468" s="323"/>
      <c r="C468" s="323"/>
      <c r="D468" s="323"/>
      <c r="E468" s="323"/>
      <c r="F468" s="323"/>
      <c r="G468" s="323"/>
      <c r="H468" s="323"/>
      <c r="I468" s="323"/>
      <c r="J468" s="323"/>
      <c r="K468" s="323"/>
      <c r="L468" s="323"/>
      <c r="M468" s="323"/>
      <c r="N468" s="323"/>
      <c r="O468" s="323"/>
      <c r="P468" s="323"/>
      <c r="Q468" s="323"/>
      <c r="R468" s="323"/>
      <c r="S468" s="323"/>
      <c r="T468" s="323"/>
      <c r="U468" s="323"/>
      <c r="V468" s="323"/>
      <c r="W468" s="323"/>
      <c r="X468" s="323"/>
    </row>
    <row r="469" customFormat="false" ht="15" hidden="false" customHeight="false" outlineLevel="0" collapsed="false">
      <c r="A469" s="319" t="s">
        <v>673</v>
      </c>
      <c r="B469" s="202" t="s">
        <v>36</v>
      </c>
      <c r="C469" s="203" t="n">
        <v>1980</v>
      </c>
      <c r="D469" s="203" t="n">
        <v>2020</v>
      </c>
      <c r="E469" s="203" t="n">
        <f aca="false">D469+5</f>
        <v>2025</v>
      </c>
      <c r="F469" s="203" t="n">
        <f aca="false">E469+5</f>
        <v>2030</v>
      </c>
      <c r="G469" s="203" t="n">
        <f aca="false">F469+5</f>
        <v>2035</v>
      </c>
      <c r="H469" s="203" t="n">
        <f aca="false">G469+5</f>
        <v>2040</v>
      </c>
      <c r="I469" s="203" t="n">
        <f aca="false">H469+5</f>
        <v>2045</v>
      </c>
      <c r="J469" s="203" t="n">
        <f aca="false">I469+5</f>
        <v>2050</v>
      </c>
      <c r="K469" s="203" t="n">
        <f aca="false">J469+5</f>
        <v>2055</v>
      </c>
      <c r="L469" s="203" t="n">
        <f aca="false">K469+5</f>
        <v>2060</v>
      </c>
      <c r="M469" s="203" t="n">
        <f aca="false">L469+5</f>
        <v>2065</v>
      </c>
      <c r="N469" s="203" t="n">
        <f aca="false">M469+5</f>
        <v>2070</v>
      </c>
      <c r="O469" s="203" t="n">
        <f aca="false">N469+5</f>
        <v>2075</v>
      </c>
      <c r="P469" s="203" t="n">
        <f aca="false">O469+5</f>
        <v>2080</v>
      </c>
      <c r="Q469" s="203" t="n">
        <f aca="false">P469+5</f>
        <v>2085</v>
      </c>
      <c r="R469" s="203" t="n">
        <f aca="false">Q469+5</f>
        <v>2090</v>
      </c>
      <c r="S469" s="203" t="n">
        <f aca="false">R469+5</f>
        <v>2095</v>
      </c>
      <c r="T469" s="203" t="n">
        <f aca="false">S469+5</f>
        <v>2100</v>
      </c>
      <c r="U469" s="203" t="n">
        <f aca="false">T469+5</f>
        <v>2105</v>
      </c>
      <c r="V469" s="203" t="n">
        <f aca="false">U469+5</f>
        <v>2110</v>
      </c>
      <c r="W469" s="203" t="n">
        <f aca="false">V469+5</f>
        <v>2115</v>
      </c>
      <c r="X469" s="203" t="n">
        <f aca="false">W469+5</f>
        <v>2120</v>
      </c>
    </row>
    <row r="470" customFormat="false" ht="15" hidden="false" customHeight="false" outlineLevel="0" collapsed="false">
      <c r="A470" s="319" t="s">
        <v>676</v>
      </c>
      <c r="B470" s="202" t="s">
        <v>677</v>
      </c>
      <c r="C470" s="203"/>
      <c r="D470" s="203" t="n">
        <v>345</v>
      </c>
      <c r="E470" s="203"/>
      <c r="F470" s="203" t="n">
        <v>345</v>
      </c>
      <c r="G470" s="203"/>
      <c r="H470" s="203" t="n">
        <v>298</v>
      </c>
      <c r="I470" s="203"/>
      <c r="J470" s="203" t="n">
        <v>333</v>
      </c>
      <c r="K470" s="203"/>
      <c r="L470" s="203"/>
      <c r="M470" s="203"/>
      <c r="N470" s="203"/>
      <c r="O470" s="203"/>
      <c r="P470" s="203"/>
      <c r="Q470" s="203"/>
      <c r="R470" s="203"/>
      <c r="S470" s="203"/>
      <c r="T470" s="203"/>
      <c r="U470" s="203"/>
      <c r="V470" s="203"/>
      <c r="W470" s="203"/>
      <c r="X470" s="203"/>
    </row>
    <row r="471" customFormat="false" ht="15" hidden="false" customHeight="false" outlineLevel="0" collapsed="false">
      <c r="H471" s="54"/>
      <c r="J471" s="57"/>
    </row>
    <row r="472" customFormat="false" ht="15" hidden="false" customHeight="false" outlineLevel="0" collapsed="false">
      <c r="H472" s="54"/>
      <c r="J472" s="57"/>
    </row>
    <row r="473" customFormat="false" ht="15" hidden="false" customHeight="false" outlineLevel="0" collapsed="false">
      <c r="H473" s="54"/>
      <c r="J473" s="57"/>
    </row>
    <row r="474" customFormat="false" ht="15" hidden="false" customHeight="false" outlineLevel="0" collapsed="false">
      <c r="H474" s="54"/>
      <c r="J474" s="57"/>
    </row>
    <row r="475" customFormat="false" ht="15" hidden="false" customHeight="false" outlineLevel="0" collapsed="false">
      <c r="H475" s="54"/>
      <c r="J475" s="57"/>
    </row>
    <row r="476" customFormat="false" ht="24.45" hidden="false" customHeight="false" outlineLevel="0" collapsed="false">
      <c r="A476" s="199" t="s">
        <v>678</v>
      </c>
    </row>
    <row r="479" customFormat="false" ht="15" hidden="false" customHeight="false" outlineLevel="0" collapsed="false">
      <c r="H479" s="328"/>
    </row>
    <row r="480" customFormat="false" ht="15" hidden="false" customHeight="false" outlineLevel="0" collapsed="false">
      <c r="H480" s="328"/>
    </row>
    <row r="481" customFormat="false" ht="17.35" hidden="false" customHeight="false" outlineLevel="0" collapsed="false">
      <c r="A481" s="200" t="s">
        <v>679</v>
      </c>
      <c r="B481" s="200"/>
      <c r="C481" s="200"/>
      <c r="D481" s="200"/>
      <c r="E481" s="200"/>
      <c r="F481" s="200"/>
      <c r="G481" s="200"/>
      <c r="H481" s="200"/>
    </row>
    <row r="482" customFormat="false" ht="15" hidden="false" customHeight="false" outlineLevel="0" collapsed="false">
      <c r="A482" s="329" t="s">
        <v>36</v>
      </c>
      <c r="B482" s="203" t="n">
        <v>2020</v>
      </c>
      <c r="C482" s="203" t="n">
        <v>2025</v>
      </c>
      <c r="D482" s="203" t="n">
        <v>2030</v>
      </c>
      <c r="E482" s="203" t="n">
        <v>2035</v>
      </c>
      <c r="F482" s="203" t="n">
        <v>2040</v>
      </c>
      <c r="G482" s="203" t="n">
        <v>2045</v>
      </c>
      <c r="H482" s="204" t="n">
        <v>2050</v>
      </c>
    </row>
    <row r="483" customFormat="false" ht="15" hidden="false" customHeight="false" outlineLevel="0" collapsed="false">
      <c r="A483" s="312" t="s">
        <v>472</v>
      </c>
      <c r="B483" s="312"/>
      <c r="C483" s="312"/>
      <c r="D483" s="312"/>
      <c r="E483" s="312"/>
      <c r="F483" s="312"/>
      <c r="G483" s="312"/>
      <c r="H483" s="312"/>
    </row>
    <row r="484" customFormat="false" ht="15" hidden="false" customHeight="false" outlineLevel="0" collapsed="false">
      <c r="A484" s="330" t="s">
        <v>680</v>
      </c>
      <c r="B484" s="203" t="n">
        <v>18.8</v>
      </c>
      <c r="C484" s="203" t="n">
        <v>16.1316315</v>
      </c>
      <c r="D484" s="203" t="n">
        <v>13.486491</v>
      </c>
      <c r="E484" s="203" t="n">
        <v>10.8413505</v>
      </c>
      <c r="F484" s="203" t="n">
        <v>8.19621</v>
      </c>
      <c r="G484" s="203" t="n">
        <v>5.5510695</v>
      </c>
      <c r="H484" s="204" t="n">
        <v>2.9</v>
      </c>
    </row>
    <row r="485" customFormat="false" ht="15" hidden="false" customHeight="false" outlineLevel="0" collapsed="false">
      <c r="A485" s="312" t="s">
        <v>479</v>
      </c>
      <c r="B485" s="312"/>
      <c r="C485" s="312"/>
      <c r="D485" s="312"/>
      <c r="E485" s="312"/>
      <c r="F485" s="312"/>
      <c r="G485" s="312"/>
      <c r="H485" s="312"/>
      <c r="I485" s="57"/>
    </row>
    <row r="486" customFormat="false" ht="15" hidden="false" customHeight="false" outlineLevel="0" collapsed="false">
      <c r="A486" s="330" t="s">
        <v>680</v>
      </c>
      <c r="B486" s="203" t="n">
        <v>13.3</v>
      </c>
      <c r="C486" s="203" t="n">
        <v>11.39042</v>
      </c>
      <c r="D486" s="203" t="n">
        <v>9.52904</v>
      </c>
      <c r="E486" s="203" t="n">
        <v>7.66766</v>
      </c>
      <c r="F486" s="203" t="n">
        <v>5.80628</v>
      </c>
      <c r="G486" s="203" t="n">
        <v>3.9449</v>
      </c>
      <c r="H486" s="204" t="n">
        <v>2.1</v>
      </c>
    </row>
    <row r="487" customFormat="false" ht="15" hidden="false" customHeight="false" outlineLevel="0" collapsed="false">
      <c r="A487" s="312" t="s">
        <v>485</v>
      </c>
      <c r="B487" s="312"/>
      <c r="C487" s="312"/>
      <c r="D487" s="312"/>
      <c r="E487" s="312"/>
      <c r="F487" s="312"/>
      <c r="G487" s="312"/>
      <c r="H487" s="312"/>
      <c r="I487" s="57"/>
    </row>
    <row r="488" customFormat="false" ht="15" hidden="false" customHeight="false" outlineLevel="0" collapsed="false">
      <c r="A488" s="331" t="s">
        <v>680</v>
      </c>
      <c r="B488" s="332" t="n">
        <v>2.4</v>
      </c>
      <c r="C488" s="332" t="n">
        <v>2.083</v>
      </c>
      <c r="D488" s="332" t="n">
        <v>1.769</v>
      </c>
      <c r="E488" s="332" t="n">
        <v>1.455</v>
      </c>
      <c r="F488" s="332" t="n">
        <v>3</v>
      </c>
      <c r="G488" s="332" t="n">
        <v>3</v>
      </c>
      <c r="H488" s="332" t="n">
        <v>1.141</v>
      </c>
    </row>
    <row r="489" customFormat="false" ht="15" hidden="false" customHeight="false" outlineLevel="0" collapsed="false">
      <c r="F489" s="332" t="n">
        <v>1.141</v>
      </c>
      <c r="G489" s="332" t="n">
        <v>0.827</v>
      </c>
      <c r="H489" s="244" t="n">
        <v>0.5</v>
      </c>
    </row>
    <row r="490" customFormat="false" ht="17.35" hidden="false" customHeight="false" outlineLevel="0" collapsed="false">
      <c r="A490" s="200" t="s">
        <v>681</v>
      </c>
      <c r="B490" s="200"/>
      <c r="C490" s="200"/>
      <c r="D490" s="200"/>
      <c r="E490" s="200"/>
      <c r="F490" s="200"/>
      <c r="G490" s="200"/>
      <c r="H490" s="200"/>
      <c r="I490" s="200"/>
    </row>
    <row r="491" customFormat="false" ht="15" hidden="false" customHeight="false" outlineLevel="0" collapsed="false">
      <c r="A491" s="333"/>
      <c r="B491" s="202" t="s">
        <v>36</v>
      </c>
      <c r="C491" s="203" t="n">
        <v>2020</v>
      </c>
      <c r="D491" s="203" t="n">
        <v>2025</v>
      </c>
      <c r="E491" s="203" t="n">
        <v>2030</v>
      </c>
      <c r="F491" s="203" t="n">
        <v>2035</v>
      </c>
      <c r="G491" s="203" t="n">
        <v>2040</v>
      </c>
      <c r="H491" s="203" t="n">
        <v>2045</v>
      </c>
      <c r="I491" s="204" t="n">
        <v>2050</v>
      </c>
    </row>
    <row r="492" customFormat="false" ht="15" hidden="false" customHeight="false" outlineLevel="0" collapsed="false">
      <c r="A492" s="319" t="s">
        <v>682</v>
      </c>
      <c r="B492" s="202" t="s">
        <v>146</v>
      </c>
      <c r="C492" s="204" t="n">
        <v>-0.01</v>
      </c>
      <c r="D492" s="204" t="n">
        <v>-0.013</v>
      </c>
      <c r="E492" s="204" t="n">
        <v>-0.016</v>
      </c>
      <c r="F492" s="204" t="n">
        <v>-0.019</v>
      </c>
      <c r="G492" s="204" t="n">
        <v>-0.023</v>
      </c>
      <c r="H492" s="204" t="n">
        <v>-0.026</v>
      </c>
      <c r="I492" s="204" t="n">
        <v>-0.029</v>
      </c>
    </row>
    <row r="493" customFormat="false" ht="15" hidden="false" customHeight="false" outlineLevel="0" collapsed="false">
      <c r="A493" s="326" t="s">
        <v>683</v>
      </c>
      <c r="B493" s="205" t="s">
        <v>327</v>
      </c>
      <c r="C493" s="311" t="n">
        <v>0</v>
      </c>
      <c r="D493" s="311" t="n">
        <v>0</v>
      </c>
      <c r="E493" s="311" t="n">
        <v>0</v>
      </c>
      <c r="F493" s="311" t="n">
        <v>0</v>
      </c>
      <c r="G493" s="311" t="n">
        <v>0</v>
      </c>
      <c r="H493" s="311" t="n">
        <v>0</v>
      </c>
      <c r="I493" s="311" t="n">
        <v>0</v>
      </c>
    </row>
    <row r="497" customFormat="false" ht="24.45" hidden="false" customHeight="false" outlineLevel="0" collapsed="false">
      <c r="A497" s="199" t="s">
        <v>684</v>
      </c>
      <c r="H497" s="54"/>
      <c r="J497" s="57"/>
    </row>
    <row r="498" customFormat="false" ht="17.35" hidden="false" customHeight="false" outlineLevel="0" collapsed="false">
      <c r="A498" s="200" t="s">
        <v>685</v>
      </c>
      <c r="B498" s="200"/>
      <c r="C498" s="200"/>
      <c r="H498" s="54"/>
      <c r="J498" s="57"/>
    </row>
    <row r="499" customFormat="false" ht="15" hidden="false" customHeight="false" outlineLevel="0" collapsed="false">
      <c r="A499" s="319" t="s">
        <v>416</v>
      </c>
      <c r="B499" s="202" t="s">
        <v>28</v>
      </c>
      <c r="C499" s="204" t="n">
        <v>0</v>
      </c>
    </row>
    <row r="500" customFormat="false" ht="15" hidden="false" customHeight="false" outlineLevel="0" collapsed="false">
      <c r="A500" s="319" t="s">
        <v>418</v>
      </c>
      <c r="B500" s="202" t="s">
        <v>125</v>
      </c>
      <c r="C500" s="204" t="n">
        <v>200</v>
      </c>
    </row>
    <row r="501" customFormat="false" ht="15" hidden="false" customHeight="false" outlineLevel="0" collapsed="false">
      <c r="A501" s="319" t="s">
        <v>420</v>
      </c>
      <c r="B501" s="202" t="s">
        <v>686</v>
      </c>
      <c r="C501" s="258" t="n">
        <v>0.0074</v>
      </c>
    </row>
    <row r="502" customFormat="false" ht="15" hidden="false" customHeight="false" outlineLevel="0" collapsed="false">
      <c r="A502" s="319" t="s">
        <v>687</v>
      </c>
      <c r="B502" s="202" t="s">
        <v>36</v>
      </c>
      <c r="C502" s="204" t="n">
        <v>2020</v>
      </c>
    </row>
    <row r="503" customFormat="false" ht="15" hidden="false" customHeight="false" outlineLevel="0" collapsed="false">
      <c r="A503" s="319" t="s">
        <v>424</v>
      </c>
      <c r="B503" s="202" t="s">
        <v>688</v>
      </c>
      <c r="C503" s="204" t="n">
        <v>185</v>
      </c>
    </row>
    <row r="504" customFormat="false" ht="15" hidden="false" customHeight="false" outlineLevel="0" collapsed="false">
      <c r="A504" s="319" t="s">
        <v>427</v>
      </c>
      <c r="B504" s="202" t="s">
        <v>36</v>
      </c>
      <c r="C504" s="204" t="n">
        <v>2020</v>
      </c>
    </row>
    <row r="505" customFormat="false" ht="15" hidden="false" customHeight="false" outlineLevel="0" collapsed="false">
      <c r="A505" s="326" t="s">
        <v>428</v>
      </c>
      <c r="B505" s="205" t="s">
        <v>36</v>
      </c>
      <c r="C505" s="244" t="n">
        <v>2050</v>
      </c>
    </row>
    <row r="507" customFormat="false" ht="14.25" hidden="false" customHeight="true" outlineLevel="0" collapsed="false">
      <c r="A507" s="334" t="s">
        <v>70</v>
      </c>
      <c r="B507" s="334"/>
      <c r="C507" s="334"/>
      <c r="F507" s="328"/>
      <c r="G507" s="328"/>
      <c r="H507" s="328"/>
      <c r="I507" s="328"/>
      <c r="J507" s="328"/>
      <c r="K507" s="328"/>
      <c r="L507" s="328"/>
      <c r="M507" s="328"/>
      <c r="N507" s="328"/>
      <c r="O507" s="328"/>
      <c r="P507" s="328"/>
      <c r="Q507" s="328"/>
      <c r="R507" s="328"/>
      <c r="S507" s="328"/>
      <c r="T507" s="328"/>
      <c r="U507" s="328"/>
      <c r="V507" s="328"/>
      <c r="W507" s="328"/>
      <c r="X507" s="328"/>
      <c r="Y507" s="328"/>
      <c r="Z507" s="328"/>
      <c r="AA507" s="328"/>
      <c r="AB507" s="328"/>
      <c r="AC507" s="328"/>
      <c r="AD507" s="328"/>
      <c r="AE507" s="328"/>
      <c r="AF507" s="328"/>
      <c r="AG507" s="328"/>
      <c r="AH507" s="328"/>
      <c r="AI507" s="328"/>
      <c r="AJ507" s="328"/>
      <c r="AK507" s="328"/>
      <c r="AL507" s="328"/>
    </row>
    <row r="508" customFormat="false" ht="15" hidden="false" customHeight="false" outlineLevel="0" collapsed="false">
      <c r="A508" s="335" t="s">
        <v>75</v>
      </c>
      <c r="B508" s="270" t="s">
        <v>76</v>
      </c>
      <c r="C508" s="336" t="n">
        <v>135</v>
      </c>
      <c r="F508" s="328"/>
      <c r="G508" s="328"/>
      <c r="H508" s="328"/>
      <c r="I508" s="328"/>
      <c r="J508" s="328"/>
      <c r="K508" s="328"/>
      <c r="L508" s="328"/>
      <c r="M508" s="328"/>
      <c r="N508" s="328"/>
      <c r="O508" s="328"/>
      <c r="P508" s="328"/>
      <c r="Q508" s="328"/>
      <c r="R508" s="328"/>
      <c r="S508" s="328"/>
      <c r="T508" s="328"/>
      <c r="U508" s="328"/>
      <c r="V508" s="328"/>
      <c r="W508" s="328"/>
      <c r="X508" s="328"/>
      <c r="Y508" s="328"/>
      <c r="Z508" s="328"/>
      <c r="AA508" s="328"/>
      <c r="AB508" s="328"/>
      <c r="AC508" s="328"/>
      <c r="AD508" s="328"/>
      <c r="AE508" s="328"/>
      <c r="AF508" s="328"/>
      <c r="AG508" s="328"/>
      <c r="AH508" s="328"/>
      <c r="AI508" s="328"/>
      <c r="AJ508" s="328"/>
      <c r="AK508" s="328"/>
      <c r="AL508" s="328"/>
    </row>
    <row r="509" customFormat="false" ht="15" hidden="false" customHeight="false" outlineLevel="0" collapsed="false">
      <c r="A509" s="319" t="s">
        <v>74</v>
      </c>
      <c r="B509" s="202" t="s">
        <v>28</v>
      </c>
      <c r="C509" s="204" t="n">
        <v>0.2</v>
      </c>
      <c r="F509" s="328"/>
      <c r="G509" s="328"/>
      <c r="H509" s="328"/>
      <c r="I509" s="328"/>
      <c r="J509" s="328"/>
      <c r="K509" s="328"/>
      <c r="L509" s="328"/>
      <c r="M509" s="328"/>
      <c r="N509" s="328"/>
      <c r="O509" s="328"/>
      <c r="P509" s="328"/>
      <c r="Q509" s="328"/>
      <c r="R509" s="328"/>
      <c r="S509" s="328"/>
      <c r="T509" s="328"/>
      <c r="U509" s="328"/>
      <c r="V509" s="328"/>
      <c r="W509" s="328"/>
      <c r="X509" s="328"/>
      <c r="Y509" s="328"/>
      <c r="Z509" s="328"/>
      <c r="AA509" s="328"/>
      <c r="AB509" s="328"/>
      <c r="AC509" s="328"/>
      <c r="AD509" s="328"/>
      <c r="AE509" s="328"/>
      <c r="AF509" s="328"/>
      <c r="AG509" s="328"/>
      <c r="AH509" s="328"/>
      <c r="AI509" s="328"/>
      <c r="AJ509" s="328"/>
      <c r="AK509" s="328"/>
      <c r="AL509" s="328"/>
    </row>
    <row r="510" customFormat="false" ht="15" hidden="false" customHeight="false" outlineLevel="0" collapsed="false">
      <c r="A510" s="319" t="s">
        <v>80</v>
      </c>
      <c r="B510" s="202" t="s">
        <v>28</v>
      </c>
      <c r="C510" s="204" t="n">
        <v>2020</v>
      </c>
      <c r="F510" s="328"/>
      <c r="G510" s="328"/>
      <c r="H510" s="328"/>
      <c r="I510" s="328"/>
      <c r="J510" s="328"/>
      <c r="K510" s="328"/>
      <c r="L510" s="328"/>
      <c r="M510" s="328"/>
      <c r="N510" s="328"/>
      <c r="O510" s="328"/>
      <c r="P510" s="328"/>
      <c r="Q510" s="328"/>
      <c r="R510" s="328"/>
      <c r="S510" s="328"/>
      <c r="T510" s="328"/>
      <c r="U510" s="328"/>
      <c r="V510" s="328"/>
      <c r="W510" s="328"/>
      <c r="X510" s="328"/>
      <c r="Y510" s="328"/>
      <c r="Z510" s="328"/>
      <c r="AA510" s="328"/>
      <c r="AB510" s="328"/>
      <c r="AC510" s="328"/>
      <c r="AD510" s="328"/>
      <c r="AE510" s="328"/>
      <c r="AF510" s="328"/>
      <c r="AG510" s="328"/>
      <c r="AH510" s="328"/>
      <c r="AI510" s="328"/>
      <c r="AJ510" s="328"/>
      <c r="AK510" s="328"/>
      <c r="AL510" s="328"/>
    </row>
    <row r="511" customFormat="false" ht="15" hidden="false" customHeight="false" outlineLevel="0" collapsed="false">
      <c r="A511" s="326" t="s">
        <v>83</v>
      </c>
      <c r="B511" s="205" t="s">
        <v>28</v>
      </c>
      <c r="C511" s="244" t="n">
        <v>2050</v>
      </c>
      <c r="F511" s="328"/>
      <c r="G511" s="328"/>
      <c r="H511" s="328"/>
      <c r="I511" s="328"/>
      <c r="J511" s="328"/>
      <c r="K511" s="328"/>
      <c r="L511" s="328"/>
      <c r="M511" s="328"/>
      <c r="N511" s="328"/>
      <c r="O511" s="328"/>
      <c r="P511" s="328"/>
      <c r="Q511" s="328"/>
      <c r="R511" s="328"/>
      <c r="S511" s="328"/>
      <c r="T511" s="328"/>
      <c r="U511" s="328"/>
      <c r="V511" s="328"/>
      <c r="W511" s="328"/>
      <c r="X511" s="328"/>
      <c r="Y511" s="328"/>
      <c r="Z511" s="328"/>
      <c r="AA511" s="328"/>
      <c r="AB511" s="328"/>
      <c r="AC511" s="328"/>
      <c r="AD511" s="328"/>
      <c r="AE511" s="328"/>
      <c r="AF511" s="328"/>
      <c r="AG511" s="328"/>
      <c r="AH511" s="328"/>
      <c r="AI511" s="328"/>
      <c r="AJ511" s="328"/>
      <c r="AK511" s="328"/>
      <c r="AL511" s="328"/>
    </row>
    <row r="514" customFormat="false" ht="17.35" hidden="false" customHeight="false" outlineLevel="0" collapsed="false">
      <c r="A514" s="334" t="s">
        <v>86</v>
      </c>
      <c r="B514" s="334"/>
      <c r="C514" s="334"/>
    </row>
    <row r="515" customFormat="false" ht="15" hidden="false" customHeight="false" outlineLevel="0" collapsed="false">
      <c r="A515" s="319" t="s">
        <v>89</v>
      </c>
      <c r="B515" s="202" t="s">
        <v>28</v>
      </c>
      <c r="C515" s="311" t="n">
        <v>0.5</v>
      </c>
    </row>
    <row r="516" customFormat="false" ht="15" hidden="false" customHeight="false" outlineLevel="0" collapsed="false">
      <c r="A516" s="319" t="s">
        <v>92</v>
      </c>
      <c r="B516" s="202" t="s">
        <v>28</v>
      </c>
      <c r="C516" s="311" t="n">
        <v>0.5</v>
      </c>
    </row>
    <row r="517" customFormat="false" ht="15" hidden="false" customHeight="false" outlineLevel="0" collapsed="false">
      <c r="A517" s="319" t="s">
        <v>93</v>
      </c>
      <c r="B517" s="202" t="s">
        <v>28</v>
      </c>
      <c r="C517" s="311" t="n">
        <v>0.5</v>
      </c>
    </row>
    <row r="518" customFormat="false" ht="15" hidden="false" customHeight="false" outlineLevel="0" collapsed="false">
      <c r="A518" s="326" t="s">
        <v>118</v>
      </c>
      <c r="B518" s="205" t="s">
        <v>28</v>
      </c>
      <c r="C518" s="337" t="n">
        <v>0.5</v>
      </c>
    </row>
    <row r="520" customFormat="false" ht="15.75" hidden="false" customHeight="true" outlineLevel="0" collapsed="false">
      <c r="A520" s="334" t="s">
        <v>689</v>
      </c>
      <c r="B520" s="334"/>
      <c r="C520" s="338" t="s">
        <v>580</v>
      </c>
      <c r="D520" s="339" t="s">
        <v>690</v>
      </c>
      <c r="E520" s="339" t="s">
        <v>691</v>
      </c>
      <c r="F520" s="339" t="s">
        <v>692</v>
      </c>
      <c r="G520" s="339" t="s">
        <v>693</v>
      </c>
      <c r="H520" s="339" t="s">
        <v>694</v>
      </c>
      <c r="I520" s="339" t="s">
        <v>695</v>
      </c>
      <c r="J520" s="339" t="s">
        <v>696</v>
      </c>
      <c r="K520" s="339" t="s">
        <v>354</v>
      </c>
      <c r="L520" s="339" t="s">
        <v>697</v>
      </c>
      <c r="M520" s="339" t="s">
        <v>698</v>
      </c>
      <c r="N520" s="339" t="s">
        <v>699</v>
      </c>
      <c r="O520" s="339" t="s">
        <v>700</v>
      </c>
      <c r="P520" s="339" t="s">
        <v>701</v>
      </c>
      <c r="Q520" s="340" t="s">
        <v>702</v>
      </c>
    </row>
    <row r="521" customFormat="false" ht="15" hidden="false" customHeight="false" outlineLevel="0" collapsed="false">
      <c r="A521" s="319" t="s">
        <v>703</v>
      </c>
      <c r="B521" s="341" t="s">
        <v>374</v>
      </c>
      <c r="C521" s="204" t="s">
        <v>704</v>
      </c>
      <c r="D521" s="204" t="s">
        <v>704</v>
      </c>
      <c r="E521" s="204" t="s">
        <v>704</v>
      </c>
      <c r="F521" s="204" t="s">
        <v>704</v>
      </c>
      <c r="G521" s="204" t="s">
        <v>704</v>
      </c>
      <c r="H521" s="204" t="s">
        <v>704</v>
      </c>
      <c r="I521" s="204" t="s">
        <v>704</v>
      </c>
      <c r="J521" s="204" t="s">
        <v>704</v>
      </c>
      <c r="K521" s="204" t="s">
        <v>704</v>
      </c>
      <c r="L521" s="204" t="s">
        <v>704</v>
      </c>
      <c r="M521" s="204" t="s">
        <v>704</v>
      </c>
      <c r="N521" s="204" t="s">
        <v>704</v>
      </c>
      <c r="O521" s="204" t="s">
        <v>704</v>
      </c>
      <c r="P521" s="204" t="s">
        <v>704</v>
      </c>
      <c r="Q521" s="204" t="s">
        <v>704</v>
      </c>
    </row>
    <row r="522" customFormat="false" ht="15" hidden="false" customHeight="false" outlineLevel="0" collapsed="false">
      <c r="A522" s="319" t="s">
        <v>705</v>
      </c>
      <c r="B522" s="341"/>
      <c r="C522" s="204" t="s">
        <v>704</v>
      </c>
      <c r="D522" s="204" t="s">
        <v>704</v>
      </c>
      <c r="E522" s="204" t="s">
        <v>704</v>
      </c>
      <c r="F522" s="204" t="s">
        <v>704</v>
      </c>
      <c r="G522" s="204" t="s">
        <v>704</v>
      </c>
      <c r="H522" s="204" t="s">
        <v>704</v>
      </c>
      <c r="I522" s="204" t="s">
        <v>704</v>
      </c>
      <c r="J522" s="204" t="s">
        <v>704</v>
      </c>
      <c r="K522" s="204" t="s">
        <v>704</v>
      </c>
      <c r="L522" s="204" t="s">
        <v>704</v>
      </c>
      <c r="M522" s="204" t="s">
        <v>704</v>
      </c>
      <c r="N522" s="204" t="s">
        <v>704</v>
      </c>
      <c r="O522" s="204" t="s">
        <v>704</v>
      </c>
      <c r="P522" s="204" t="s">
        <v>704</v>
      </c>
      <c r="Q522" s="204" t="s">
        <v>704</v>
      </c>
    </row>
    <row r="523" customFormat="false" ht="15" hidden="false" customHeight="false" outlineLevel="0" collapsed="false">
      <c r="A523" s="319" t="s">
        <v>706</v>
      </c>
      <c r="B523" s="341"/>
      <c r="C523" s="204" t="s">
        <v>704</v>
      </c>
      <c r="D523" s="204" t="s">
        <v>704</v>
      </c>
      <c r="E523" s="204" t="s">
        <v>704</v>
      </c>
      <c r="F523" s="204" t="s">
        <v>704</v>
      </c>
      <c r="G523" s="204" t="s">
        <v>704</v>
      </c>
      <c r="H523" s="204" t="s">
        <v>704</v>
      </c>
      <c r="I523" s="204" t="s">
        <v>704</v>
      </c>
      <c r="J523" s="204" t="s">
        <v>704</v>
      </c>
      <c r="K523" s="204" t="s">
        <v>704</v>
      </c>
      <c r="L523" s="204" t="s">
        <v>704</v>
      </c>
      <c r="M523" s="204" t="s">
        <v>704</v>
      </c>
      <c r="N523" s="204" t="s">
        <v>704</v>
      </c>
      <c r="O523" s="204" t="s">
        <v>704</v>
      </c>
      <c r="P523" s="204" t="s">
        <v>704</v>
      </c>
      <c r="Q523" s="204" t="s">
        <v>704</v>
      </c>
    </row>
    <row r="524" customFormat="false" ht="15" hidden="false" customHeight="false" outlineLevel="0" collapsed="false">
      <c r="A524" s="319" t="s">
        <v>707</v>
      </c>
      <c r="B524" s="341"/>
      <c r="C524" s="204" t="s">
        <v>704</v>
      </c>
      <c r="D524" s="204" t="s">
        <v>704</v>
      </c>
      <c r="E524" s="204" t="s">
        <v>704</v>
      </c>
      <c r="F524" s="204" t="s">
        <v>704</v>
      </c>
      <c r="G524" s="204" t="s">
        <v>704</v>
      </c>
      <c r="H524" s="204" t="s">
        <v>704</v>
      </c>
      <c r="I524" s="204" t="s">
        <v>704</v>
      </c>
      <c r="J524" s="204" t="s">
        <v>704</v>
      </c>
      <c r="K524" s="204" t="s">
        <v>704</v>
      </c>
      <c r="L524" s="204" t="s">
        <v>704</v>
      </c>
      <c r="M524" s="204" t="s">
        <v>704</v>
      </c>
      <c r="N524" s="204" t="s">
        <v>704</v>
      </c>
      <c r="O524" s="204" t="s">
        <v>704</v>
      </c>
      <c r="P524" s="204" t="s">
        <v>704</v>
      </c>
      <c r="Q524" s="204" t="s">
        <v>704</v>
      </c>
    </row>
    <row r="525" customFormat="false" ht="15" hidden="false" customHeight="false" outlineLevel="0" collapsed="false">
      <c r="A525" s="319" t="s">
        <v>708</v>
      </c>
      <c r="B525" s="341"/>
      <c r="C525" s="204" t="s">
        <v>704</v>
      </c>
      <c r="D525" s="204" t="s">
        <v>704</v>
      </c>
      <c r="E525" s="204" t="s">
        <v>704</v>
      </c>
      <c r="F525" s="204" t="s">
        <v>704</v>
      </c>
      <c r="G525" s="204" t="s">
        <v>704</v>
      </c>
      <c r="H525" s="204" t="s">
        <v>704</v>
      </c>
      <c r="I525" s="204" t="s">
        <v>704</v>
      </c>
      <c r="J525" s="204" t="s">
        <v>704</v>
      </c>
      <c r="K525" s="204" t="s">
        <v>704</v>
      </c>
      <c r="L525" s="204" t="s">
        <v>704</v>
      </c>
      <c r="M525" s="204" t="s">
        <v>704</v>
      </c>
      <c r="N525" s="204" t="s">
        <v>704</v>
      </c>
      <c r="O525" s="204" t="s">
        <v>704</v>
      </c>
      <c r="P525" s="204" t="s">
        <v>704</v>
      </c>
      <c r="Q525" s="204" t="s">
        <v>704</v>
      </c>
    </row>
    <row r="526" customFormat="false" ht="15" hidden="false" customHeight="false" outlineLevel="0" collapsed="false">
      <c r="A526" s="319" t="s">
        <v>703</v>
      </c>
      <c r="B526" s="341" t="s">
        <v>375</v>
      </c>
      <c r="C526" s="204" t="s">
        <v>704</v>
      </c>
      <c r="D526" s="204" t="s">
        <v>704</v>
      </c>
      <c r="E526" s="204" t="s">
        <v>704</v>
      </c>
      <c r="F526" s="204" t="s">
        <v>704</v>
      </c>
      <c r="G526" s="204" t="s">
        <v>704</v>
      </c>
      <c r="H526" s="204" t="s">
        <v>704</v>
      </c>
      <c r="I526" s="204" t="s">
        <v>704</v>
      </c>
      <c r="J526" s="204" t="s">
        <v>704</v>
      </c>
      <c r="K526" s="204" t="s">
        <v>704</v>
      </c>
      <c r="L526" s="204" t="s">
        <v>704</v>
      </c>
      <c r="M526" s="204" t="s">
        <v>704</v>
      </c>
      <c r="N526" s="204" t="s">
        <v>704</v>
      </c>
      <c r="O526" s="204" t="s">
        <v>704</v>
      </c>
      <c r="P526" s="204" t="s">
        <v>704</v>
      </c>
      <c r="Q526" s="204" t="s">
        <v>704</v>
      </c>
    </row>
    <row r="527" customFormat="false" ht="15" hidden="false" customHeight="false" outlineLevel="0" collapsed="false">
      <c r="A527" s="319" t="s">
        <v>705</v>
      </c>
      <c r="B527" s="341"/>
      <c r="C527" s="204" t="s">
        <v>704</v>
      </c>
      <c r="D527" s="204" t="s">
        <v>704</v>
      </c>
      <c r="E527" s="204" t="s">
        <v>704</v>
      </c>
      <c r="F527" s="204" t="s">
        <v>704</v>
      </c>
      <c r="G527" s="204" t="s">
        <v>704</v>
      </c>
      <c r="H527" s="204" t="s">
        <v>704</v>
      </c>
      <c r="I527" s="204" t="s">
        <v>704</v>
      </c>
      <c r="J527" s="204" t="s">
        <v>704</v>
      </c>
      <c r="K527" s="204" t="s">
        <v>704</v>
      </c>
      <c r="L527" s="204" t="s">
        <v>704</v>
      </c>
      <c r="M527" s="204" t="s">
        <v>704</v>
      </c>
      <c r="N527" s="204" t="s">
        <v>704</v>
      </c>
      <c r="O527" s="204" t="s">
        <v>704</v>
      </c>
      <c r="P527" s="204" t="s">
        <v>704</v>
      </c>
      <c r="Q527" s="204" t="s">
        <v>704</v>
      </c>
    </row>
    <row r="528" customFormat="false" ht="15" hidden="false" customHeight="false" outlineLevel="0" collapsed="false">
      <c r="A528" s="319" t="s">
        <v>706</v>
      </c>
      <c r="B528" s="341"/>
      <c r="C528" s="204" t="s">
        <v>704</v>
      </c>
      <c r="D528" s="204" t="s">
        <v>704</v>
      </c>
      <c r="E528" s="204" t="s">
        <v>704</v>
      </c>
      <c r="F528" s="204" t="s">
        <v>704</v>
      </c>
      <c r="G528" s="204" t="s">
        <v>704</v>
      </c>
      <c r="H528" s="204" t="s">
        <v>704</v>
      </c>
      <c r="I528" s="204" t="s">
        <v>704</v>
      </c>
      <c r="J528" s="204" t="s">
        <v>704</v>
      </c>
      <c r="K528" s="204" t="s">
        <v>704</v>
      </c>
      <c r="L528" s="204" t="s">
        <v>704</v>
      </c>
      <c r="M528" s="204" t="s">
        <v>704</v>
      </c>
      <c r="N528" s="204" t="s">
        <v>704</v>
      </c>
      <c r="O528" s="204" t="s">
        <v>704</v>
      </c>
      <c r="P528" s="204" t="s">
        <v>704</v>
      </c>
      <c r="Q528" s="204" t="s">
        <v>704</v>
      </c>
    </row>
    <row r="529" customFormat="false" ht="15" hidden="false" customHeight="false" outlineLevel="0" collapsed="false">
      <c r="A529" s="319" t="s">
        <v>707</v>
      </c>
      <c r="B529" s="341"/>
      <c r="C529" s="204" t="s">
        <v>704</v>
      </c>
      <c r="D529" s="204" t="s">
        <v>704</v>
      </c>
      <c r="E529" s="204" t="s">
        <v>704</v>
      </c>
      <c r="F529" s="204" t="s">
        <v>704</v>
      </c>
      <c r="G529" s="204" t="s">
        <v>704</v>
      </c>
      <c r="H529" s="204" t="s">
        <v>704</v>
      </c>
      <c r="I529" s="204" t="s">
        <v>704</v>
      </c>
      <c r="J529" s="204" t="s">
        <v>704</v>
      </c>
      <c r="K529" s="204" t="s">
        <v>704</v>
      </c>
      <c r="L529" s="204" t="s">
        <v>704</v>
      </c>
      <c r="M529" s="204" t="s">
        <v>704</v>
      </c>
      <c r="N529" s="204" t="s">
        <v>704</v>
      </c>
      <c r="O529" s="204" t="s">
        <v>704</v>
      </c>
      <c r="P529" s="204" t="s">
        <v>704</v>
      </c>
      <c r="Q529" s="204" t="s">
        <v>704</v>
      </c>
    </row>
    <row r="530" customFormat="false" ht="15" hidden="false" customHeight="false" outlineLevel="0" collapsed="false">
      <c r="A530" s="319" t="s">
        <v>708</v>
      </c>
      <c r="B530" s="341"/>
      <c r="C530" s="204" t="s">
        <v>704</v>
      </c>
      <c r="D530" s="204" t="s">
        <v>704</v>
      </c>
      <c r="E530" s="204" t="s">
        <v>704</v>
      </c>
      <c r="F530" s="204" t="s">
        <v>704</v>
      </c>
      <c r="G530" s="204" t="s">
        <v>704</v>
      </c>
      <c r="H530" s="204" t="s">
        <v>704</v>
      </c>
      <c r="I530" s="204" t="s">
        <v>704</v>
      </c>
      <c r="J530" s="204" t="s">
        <v>704</v>
      </c>
      <c r="K530" s="204" t="s">
        <v>704</v>
      </c>
      <c r="L530" s="204" t="s">
        <v>704</v>
      </c>
      <c r="M530" s="204" t="s">
        <v>704</v>
      </c>
      <c r="N530" s="204" t="s">
        <v>704</v>
      </c>
      <c r="O530" s="204" t="s">
        <v>704</v>
      </c>
      <c r="P530" s="204" t="s">
        <v>704</v>
      </c>
      <c r="Q530" s="204" t="s">
        <v>704</v>
      </c>
    </row>
    <row r="531" customFormat="false" ht="15" hidden="false" customHeight="false" outlineLevel="0" collapsed="false">
      <c r="A531" s="319" t="s">
        <v>709</v>
      </c>
      <c r="B531" s="341" t="s">
        <v>376</v>
      </c>
      <c r="C531" s="204" t="s">
        <v>704</v>
      </c>
      <c r="D531" s="204" t="s">
        <v>704</v>
      </c>
      <c r="E531" s="204" t="s">
        <v>704</v>
      </c>
      <c r="F531" s="204" t="s">
        <v>704</v>
      </c>
      <c r="G531" s="204" t="s">
        <v>704</v>
      </c>
      <c r="H531" s="204" t="s">
        <v>704</v>
      </c>
      <c r="I531" s="204" t="s">
        <v>704</v>
      </c>
      <c r="J531" s="204" t="s">
        <v>704</v>
      </c>
      <c r="K531" s="204" t="s">
        <v>704</v>
      </c>
      <c r="L531" s="204" t="s">
        <v>704</v>
      </c>
      <c r="M531" s="204" t="s">
        <v>704</v>
      </c>
      <c r="N531" s="204" t="s">
        <v>704</v>
      </c>
      <c r="O531" s="204" t="s">
        <v>704</v>
      </c>
      <c r="P531" s="204" t="s">
        <v>704</v>
      </c>
      <c r="Q531" s="204" t="s">
        <v>704</v>
      </c>
    </row>
    <row r="532" customFormat="false" ht="15" hidden="false" customHeight="false" outlineLevel="0" collapsed="false">
      <c r="A532" s="319" t="s">
        <v>705</v>
      </c>
      <c r="B532" s="341"/>
      <c r="C532" s="204" t="s">
        <v>704</v>
      </c>
      <c r="D532" s="204" t="s">
        <v>704</v>
      </c>
      <c r="E532" s="204" t="s">
        <v>704</v>
      </c>
      <c r="F532" s="204" t="s">
        <v>704</v>
      </c>
      <c r="G532" s="204" t="s">
        <v>704</v>
      </c>
      <c r="H532" s="204" t="s">
        <v>704</v>
      </c>
      <c r="I532" s="204" t="s">
        <v>704</v>
      </c>
      <c r="J532" s="204" t="s">
        <v>704</v>
      </c>
      <c r="K532" s="204" t="s">
        <v>704</v>
      </c>
      <c r="L532" s="204" t="s">
        <v>704</v>
      </c>
      <c r="M532" s="204" t="s">
        <v>704</v>
      </c>
      <c r="N532" s="204" t="s">
        <v>704</v>
      </c>
      <c r="O532" s="204" t="s">
        <v>704</v>
      </c>
      <c r="P532" s="204" t="s">
        <v>704</v>
      </c>
      <c r="Q532" s="204" t="s">
        <v>704</v>
      </c>
    </row>
    <row r="533" customFormat="false" ht="15" hidden="false" customHeight="false" outlineLevel="0" collapsed="false">
      <c r="A533" s="319" t="s">
        <v>706</v>
      </c>
      <c r="B533" s="341"/>
      <c r="C533" s="204" t="s">
        <v>704</v>
      </c>
      <c r="D533" s="204" t="s">
        <v>704</v>
      </c>
      <c r="E533" s="204" t="s">
        <v>704</v>
      </c>
      <c r="F533" s="204" t="s">
        <v>704</v>
      </c>
      <c r="G533" s="204" t="s">
        <v>704</v>
      </c>
      <c r="H533" s="204" t="s">
        <v>704</v>
      </c>
      <c r="I533" s="204" t="s">
        <v>704</v>
      </c>
      <c r="J533" s="204" t="s">
        <v>704</v>
      </c>
      <c r="K533" s="204" t="s">
        <v>704</v>
      </c>
      <c r="L533" s="204" t="s">
        <v>704</v>
      </c>
      <c r="M533" s="204" t="s">
        <v>704</v>
      </c>
      <c r="N533" s="204" t="s">
        <v>704</v>
      </c>
      <c r="O533" s="204" t="s">
        <v>704</v>
      </c>
      <c r="P533" s="204" t="s">
        <v>704</v>
      </c>
      <c r="Q533" s="204" t="s">
        <v>704</v>
      </c>
    </row>
    <row r="534" customFormat="false" ht="15" hidden="false" customHeight="false" outlineLevel="0" collapsed="false">
      <c r="A534" s="319" t="s">
        <v>707</v>
      </c>
      <c r="B534" s="341"/>
      <c r="C534" s="204" t="s">
        <v>704</v>
      </c>
      <c r="D534" s="204" t="s">
        <v>704</v>
      </c>
      <c r="E534" s="204" t="s">
        <v>704</v>
      </c>
      <c r="F534" s="204" t="s">
        <v>704</v>
      </c>
      <c r="G534" s="204" t="s">
        <v>704</v>
      </c>
      <c r="H534" s="204" t="s">
        <v>704</v>
      </c>
      <c r="I534" s="204" t="s">
        <v>704</v>
      </c>
      <c r="J534" s="204" t="s">
        <v>704</v>
      </c>
      <c r="K534" s="204" t="s">
        <v>704</v>
      </c>
      <c r="L534" s="204" t="s">
        <v>704</v>
      </c>
      <c r="M534" s="204" t="s">
        <v>704</v>
      </c>
      <c r="N534" s="204" t="s">
        <v>704</v>
      </c>
      <c r="O534" s="204" t="s">
        <v>704</v>
      </c>
      <c r="P534" s="204" t="s">
        <v>704</v>
      </c>
      <c r="Q534" s="204" t="s">
        <v>704</v>
      </c>
    </row>
    <row r="535" customFormat="false" ht="15" hidden="false" customHeight="false" outlineLevel="0" collapsed="false">
      <c r="A535" s="319" t="s">
        <v>708</v>
      </c>
      <c r="B535" s="341"/>
      <c r="C535" s="204" t="s">
        <v>704</v>
      </c>
      <c r="D535" s="204" t="s">
        <v>704</v>
      </c>
      <c r="E535" s="204" t="s">
        <v>704</v>
      </c>
      <c r="F535" s="204" t="s">
        <v>704</v>
      </c>
      <c r="G535" s="204" t="s">
        <v>704</v>
      </c>
      <c r="H535" s="204" t="s">
        <v>704</v>
      </c>
      <c r="I535" s="204" t="s">
        <v>704</v>
      </c>
      <c r="J535" s="204" t="s">
        <v>704</v>
      </c>
      <c r="K535" s="204" t="s">
        <v>704</v>
      </c>
      <c r="L535" s="204" t="s">
        <v>704</v>
      </c>
      <c r="M535" s="204" t="s">
        <v>704</v>
      </c>
      <c r="N535" s="204" t="s">
        <v>704</v>
      </c>
      <c r="O535" s="204" t="s">
        <v>704</v>
      </c>
      <c r="P535" s="204" t="s">
        <v>704</v>
      </c>
      <c r="Q535" s="204" t="s">
        <v>704</v>
      </c>
    </row>
    <row r="536" customFormat="false" ht="15" hidden="false" customHeight="false" outlineLevel="0" collapsed="false">
      <c r="A536" s="319" t="s">
        <v>703</v>
      </c>
      <c r="B536" s="341" t="s">
        <v>377</v>
      </c>
      <c r="C536" s="204" t="s">
        <v>704</v>
      </c>
      <c r="D536" s="204" t="s">
        <v>704</v>
      </c>
      <c r="E536" s="204" t="s">
        <v>704</v>
      </c>
      <c r="F536" s="204" t="s">
        <v>704</v>
      </c>
      <c r="G536" s="204" t="s">
        <v>704</v>
      </c>
      <c r="H536" s="204" t="s">
        <v>704</v>
      </c>
      <c r="I536" s="204" t="s">
        <v>704</v>
      </c>
      <c r="J536" s="204" t="s">
        <v>704</v>
      </c>
      <c r="K536" s="204" t="s">
        <v>704</v>
      </c>
      <c r="L536" s="204" t="s">
        <v>704</v>
      </c>
      <c r="M536" s="204" t="s">
        <v>704</v>
      </c>
      <c r="N536" s="204" t="s">
        <v>704</v>
      </c>
      <c r="O536" s="204" t="s">
        <v>704</v>
      </c>
      <c r="P536" s="204" t="s">
        <v>704</v>
      </c>
      <c r="Q536" s="204" t="s">
        <v>704</v>
      </c>
    </row>
    <row r="537" customFormat="false" ht="15" hidden="false" customHeight="false" outlineLevel="0" collapsed="false">
      <c r="A537" s="319" t="s">
        <v>705</v>
      </c>
      <c r="B537" s="341"/>
      <c r="C537" s="204" t="s">
        <v>704</v>
      </c>
      <c r="D537" s="204" t="s">
        <v>704</v>
      </c>
      <c r="E537" s="204" t="s">
        <v>704</v>
      </c>
      <c r="F537" s="204" t="s">
        <v>704</v>
      </c>
      <c r="G537" s="204" t="s">
        <v>704</v>
      </c>
      <c r="H537" s="204" t="s">
        <v>704</v>
      </c>
      <c r="I537" s="204" t="s">
        <v>704</v>
      </c>
      <c r="J537" s="204" t="s">
        <v>704</v>
      </c>
      <c r="K537" s="204" t="s">
        <v>704</v>
      </c>
      <c r="L537" s="204" t="s">
        <v>704</v>
      </c>
      <c r="M537" s="204" t="s">
        <v>704</v>
      </c>
      <c r="N537" s="204" t="s">
        <v>704</v>
      </c>
      <c r="O537" s="204" t="s">
        <v>704</v>
      </c>
      <c r="P537" s="204" t="s">
        <v>704</v>
      </c>
      <c r="Q537" s="204" t="s">
        <v>704</v>
      </c>
    </row>
    <row r="538" customFormat="false" ht="15" hidden="false" customHeight="false" outlineLevel="0" collapsed="false">
      <c r="A538" s="319" t="s">
        <v>706</v>
      </c>
      <c r="B538" s="341"/>
      <c r="C538" s="204" t="s">
        <v>704</v>
      </c>
      <c r="D538" s="204" t="s">
        <v>704</v>
      </c>
      <c r="E538" s="204" t="s">
        <v>704</v>
      </c>
      <c r="F538" s="204" t="s">
        <v>704</v>
      </c>
      <c r="G538" s="204" t="s">
        <v>704</v>
      </c>
      <c r="H538" s="204" t="s">
        <v>704</v>
      </c>
      <c r="I538" s="204" t="s">
        <v>704</v>
      </c>
      <c r="J538" s="204" t="s">
        <v>704</v>
      </c>
      <c r="K538" s="204" t="s">
        <v>704</v>
      </c>
      <c r="L538" s="204" t="s">
        <v>704</v>
      </c>
      <c r="M538" s="204" t="s">
        <v>704</v>
      </c>
      <c r="N538" s="204" t="s">
        <v>704</v>
      </c>
      <c r="O538" s="204" t="s">
        <v>704</v>
      </c>
      <c r="P538" s="204" t="s">
        <v>704</v>
      </c>
      <c r="Q538" s="204" t="s">
        <v>704</v>
      </c>
    </row>
    <row r="539" customFormat="false" ht="15" hidden="false" customHeight="false" outlineLevel="0" collapsed="false">
      <c r="A539" s="319" t="s">
        <v>707</v>
      </c>
      <c r="B539" s="341"/>
      <c r="C539" s="204" t="s">
        <v>704</v>
      </c>
      <c r="D539" s="204" t="s">
        <v>704</v>
      </c>
      <c r="E539" s="204" t="s">
        <v>704</v>
      </c>
      <c r="F539" s="204" t="s">
        <v>704</v>
      </c>
      <c r="G539" s="204" t="s">
        <v>704</v>
      </c>
      <c r="H539" s="204" t="s">
        <v>704</v>
      </c>
      <c r="I539" s="204" t="s">
        <v>704</v>
      </c>
      <c r="J539" s="204" t="s">
        <v>704</v>
      </c>
      <c r="K539" s="204" t="s">
        <v>704</v>
      </c>
      <c r="L539" s="204" t="s">
        <v>704</v>
      </c>
      <c r="M539" s="204" t="s">
        <v>704</v>
      </c>
      <c r="N539" s="204" t="s">
        <v>704</v>
      </c>
      <c r="O539" s="204" t="s">
        <v>704</v>
      </c>
      <c r="P539" s="204" t="s">
        <v>704</v>
      </c>
      <c r="Q539" s="204" t="s">
        <v>704</v>
      </c>
    </row>
    <row r="540" customFormat="false" ht="15" hidden="false" customHeight="false" outlineLevel="0" collapsed="false">
      <c r="A540" s="319" t="s">
        <v>708</v>
      </c>
      <c r="B540" s="341"/>
      <c r="C540" s="204" t="s">
        <v>704</v>
      </c>
      <c r="D540" s="204" t="s">
        <v>704</v>
      </c>
      <c r="E540" s="204" t="s">
        <v>704</v>
      </c>
      <c r="F540" s="204" t="s">
        <v>704</v>
      </c>
      <c r="G540" s="204" t="s">
        <v>704</v>
      </c>
      <c r="H540" s="204" t="s">
        <v>704</v>
      </c>
      <c r="I540" s="204" t="s">
        <v>704</v>
      </c>
      <c r="J540" s="204" t="s">
        <v>704</v>
      </c>
      <c r="K540" s="204" t="s">
        <v>704</v>
      </c>
      <c r="L540" s="204" t="s">
        <v>704</v>
      </c>
      <c r="M540" s="204" t="s">
        <v>704</v>
      </c>
      <c r="N540" s="204" t="s">
        <v>704</v>
      </c>
      <c r="O540" s="204" t="s">
        <v>704</v>
      </c>
      <c r="P540" s="204" t="s">
        <v>704</v>
      </c>
      <c r="Q540" s="204" t="s">
        <v>704</v>
      </c>
    </row>
    <row r="541" customFormat="false" ht="15" hidden="false" customHeight="false" outlineLevel="0" collapsed="false">
      <c r="A541" s="319" t="s">
        <v>703</v>
      </c>
      <c r="B541" s="341" t="s">
        <v>378</v>
      </c>
      <c r="C541" s="204" t="s">
        <v>704</v>
      </c>
      <c r="D541" s="204" t="s">
        <v>704</v>
      </c>
      <c r="E541" s="204" t="s">
        <v>704</v>
      </c>
      <c r="F541" s="204" t="s">
        <v>704</v>
      </c>
      <c r="G541" s="204" t="s">
        <v>704</v>
      </c>
      <c r="H541" s="204" t="s">
        <v>704</v>
      </c>
      <c r="I541" s="204" t="s">
        <v>704</v>
      </c>
      <c r="J541" s="204" t="s">
        <v>704</v>
      </c>
      <c r="K541" s="204" t="s">
        <v>704</v>
      </c>
      <c r="L541" s="204" t="s">
        <v>704</v>
      </c>
      <c r="M541" s="204" t="s">
        <v>704</v>
      </c>
      <c r="N541" s="204" t="s">
        <v>704</v>
      </c>
      <c r="O541" s="204" t="s">
        <v>704</v>
      </c>
      <c r="P541" s="204" t="s">
        <v>704</v>
      </c>
      <c r="Q541" s="204" t="s">
        <v>704</v>
      </c>
    </row>
    <row r="542" customFormat="false" ht="15" hidden="false" customHeight="false" outlineLevel="0" collapsed="false">
      <c r="A542" s="319" t="s">
        <v>705</v>
      </c>
      <c r="B542" s="341"/>
      <c r="C542" s="204" t="s">
        <v>704</v>
      </c>
      <c r="D542" s="204" t="s">
        <v>704</v>
      </c>
      <c r="E542" s="204" t="s">
        <v>704</v>
      </c>
      <c r="F542" s="204" t="s">
        <v>704</v>
      </c>
      <c r="G542" s="204" t="s">
        <v>704</v>
      </c>
      <c r="H542" s="204" t="s">
        <v>704</v>
      </c>
      <c r="I542" s="204" t="s">
        <v>704</v>
      </c>
      <c r="J542" s="204" t="s">
        <v>704</v>
      </c>
      <c r="K542" s="204" t="s">
        <v>704</v>
      </c>
      <c r="L542" s="204" t="s">
        <v>704</v>
      </c>
      <c r="M542" s="204" t="s">
        <v>704</v>
      </c>
      <c r="N542" s="204" t="s">
        <v>704</v>
      </c>
      <c r="O542" s="204" t="s">
        <v>704</v>
      </c>
      <c r="P542" s="204" t="s">
        <v>704</v>
      </c>
      <c r="Q542" s="204" t="s">
        <v>704</v>
      </c>
    </row>
    <row r="543" customFormat="false" ht="15" hidden="false" customHeight="false" outlineLevel="0" collapsed="false">
      <c r="A543" s="319" t="s">
        <v>706</v>
      </c>
      <c r="B543" s="341"/>
      <c r="C543" s="204" t="s">
        <v>704</v>
      </c>
      <c r="D543" s="204" t="s">
        <v>704</v>
      </c>
      <c r="E543" s="204" t="s">
        <v>704</v>
      </c>
      <c r="F543" s="204" t="s">
        <v>704</v>
      </c>
      <c r="G543" s="204" t="s">
        <v>704</v>
      </c>
      <c r="H543" s="204" t="s">
        <v>704</v>
      </c>
      <c r="I543" s="204" t="s">
        <v>704</v>
      </c>
      <c r="J543" s="204" t="s">
        <v>704</v>
      </c>
      <c r="K543" s="204" t="s">
        <v>704</v>
      </c>
      <c r="L543" s="204" t="s">
        <v>704</v>
      </c>
      <c r="M543" s="204" t="s">
        <v>704</v>
      </c>
      <c r="N543" s="204" t="s">
        <v>704</v>
      </c>
      <c r="O543" s="204" t="s">
        <v>704</v>
      </c>
      <c r="P543" s="204" t="s">
        <v>704</v>
      </c>
      <c r="Q543" s="204" t="s">
        <v>704</v>
      </c>
    </row>
    <row r="544" customFormat="false" ht="15" hidden="false" customHeight="false" outlineLevel="0" collapsed="false">
      <c r="A544" s="319" t="s">
        <v>707</v>
      </c>
      <c r="B544" s="341"/>
      <c r="C544" s="204" t="s">
        <v>704</v>
      </c>
      <c r="D544" s="204" t="s">
        <v>704</v>
      </c>
      <c r="E544" s="204" t="s">
        <v>704</v>
      </c>
      <c r="F544" s="204" t="s">
        <v>704</v>
      </c>
      <c r="G544" s="204" t="s">
        <v>704</v>
      </c>
      <c r="H544" s="204" t="s">
        <v>704</v>
      </c>
      <c r="I544" s="204" t="s">
        <v>704</v>
      </c>
      <c r="J544" s="204" t="s">
        <v>704</v>
      </c>
      <c r="K544" s="204" t="s">
        <v>704</v>
      </c>
      <c r="L544" s="204" t="s">
        <v>704</v>
      </c>
      <c r="M544" s="204" t="s">
        <v>704</v>
      </c>
      <c r="N544" s="204" t="s">
        <v>704</v>
      </c>
      <c r="O544" s="204" t="s">
        <v>704</v>
      </c>
      <c r="P544" s="204" t="s">
        <v>704</v>
      </c>
      <c r="Q544" s="204" t="s">
        <v>704</v>
      </c>
    </row>
    <row r="545" customFormat="false" ht="15" hidden="false" customHeight="false" outlineLevel="0" collapsed="false">
      <c r="A545" s="326" t="s">
        <v>708</v>
      </c>
      <c r="B545" s="341"/>
      <c r="C545" s="244" t="s">
        <v>704</v>
      </c>
      <c r="D545" s="244" t="s">
        <v>704</v>
      </c>
      <c r="E545" s="244" t="s">
        <v>704</v>
      </c>
      <c r="F545" s="244" t="s">
        <v>704</v>
      </c>
      <c r="G545" s="244" t="s">
        <v>704</v>
      </c>
      <c r="H545" s="244" t="s">
        <v>704</v>
      </c>
      <c r="I545" s="244" t="s">
        <v>704</v>
      </c>
      <c r="J545" s="244" t="s">
        <v>704</v>
      </c>
      <c r="K545" s="244" t="s">
        <v>704</v>
      </c>
      <c r="L545" s="244" t="s">
        <v>704</v>
      </c>
      <c r="M545" s="244" t="s">
        <v>704</v>
      </c>
      <c r="N545" s="244" t="s">
        <v>704</v>
      </c>
      <c r="O545" s="244" t="s">
        <v>704</v>
      </c>
      <c r="P545" s="244" t="s">
        <v>704</v>
      </c>
      <c r="Q545" s="244" t="s">
        <v>704</v>
      </c>
    </row>
  </sheetData>
  <mergeCells count="131">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6"/>
    <mergeCell ref="A127:A131"/>
    <mergeCell ref="A135:H135"/>
    <mergeCell ref="A137:A140"/>
    <mergeCell ref="A141:A144"/>
    <mergeCell ref="A145:A148"/>
    <mergeCell ref="A149:A152"/>
    <mergeCell ref="A153:H153"/>
    <mergeCell ref="A155:A158"/>
    <mergeCell ref="A159:A162"/>
    <mergeCell ref="A163:A166"/>
    <mergeCell ref="A167:A170"/>
    <mergeCell ref="A171:A174"/>
    <mergeCell ref="A177:H177"/>
    <mergeCell ref="A179:A183"/>
    <mergeCell ref="A184:A188"/>
    <mergeCell ref="A189:A193"/>
    <mergeCell ref="A241:E241"/>
    <mergeCell ref="A242:E242"/>
    <mergeCell ref="A244:A246"/>
    <mergeCell ref="C244:C246"/>
    <mergeCell ref="A248:C248"/>
    <mergeCell ref="A251:B251"/>
    <mergeCell ref="A252:B252"/>
    <mergeCell ref="A253:B253"/>
    <mergeCell ref="A254:B254"/>
    <mergeCell ref="A255:B255"/>
    <mergeCell ref="A256:B256"/>
    <mergeCell ref="A257:Q257"/>
    <mergeCell ref="A258:B258"/>
    <mergeCell ref="A259:B259"/>
    <mergeCell ref="A260:B260"/>
    <mergeCell ref="A261:B261"/>
    <mergeCell ref="A262:B262"/>
    <mergeCell ref="A263:Q263"/>
    <mergeCell ref="A264:B264"/>
    <mergeCell ref="A265:B265"/>
    <mergeCell ref="A266:B266"/>
    <mergeCell ref="A267:B267"/>
    <mergeCell ref="A268:B268"/>
    <mergeCell ref="A269:Q269"/>
    <mergeCell ref="A270:B270"/>
    <mergeCell ref="A271:B271"/>
    <mergeCell ref="A272:B272"/>
    <mergeCell ref="A273:B273"/>
    <mergeCell ref="A274:B274"/>
    <mergeCell ref="A275:Q275"/>
    <mergeCell ref="A276:B276"/>
    <mergeCell ref="A277:B277"/>
    <mergeCell ref="A278:B278"/>
    <mergeCell ref="A279:B279"/>
    <mergeCell ref="A280:B280"/>
    <mergeCell ref="A282:C282"/>
    <mergeCell ref="A283:A284"/>
    <mergeCell ref="C283:C284"/>
    <mergeCell ref="A287:Q287"/>
    <mergeCell ref="A288:B288"/>
    <mergeCell ref="A289:B289"/>
    <mergeCell ref="A290:B290"/>
    <mergeCell ref="A291:B291"/>
    <mergeCell ref="A292:B292"/>
    <mergeCell ref="A293:B293"/>
    <mergeCell ref="A294:C294"/>
    <mergeCell ref="A298:C298"/>
    <mergeCell ref="A300:A302"/>
    <mergeCell ref="C300:C302"/>
    <mergeCell ref="A304:A306"/>
    <mergeCell ref="C304:C306"/>
    <mergeCell ref="A311:D311"/>
    <mergeCell ref="A312:D312"/>
    <mergeCell ref="A313:C313"/>
    <mergeCell ref="C315:E315"/>
    <mergeCell ref="A317:A335"/>
    <mergeCell ref="A336:C336"/>
    <mergeCell ref="A342:C342"/>
    <mergeCell ref="A343:C343"/>
    <mergeCell ref="A345:C345"/>
    <mergeCell ref="A346:A349"/>
    <mergeCell ref="C346:C349"/>
    <mergeCell ref="A354:I354"/>
    <mergeCell ref="A457:I457"/>
    <mergeCell ref="A481:H481"/>
    <mergeCell ref="A483:H483"/>
    <mergeCell ref="A485:H485"/>
    <mergeCell ref="A487:H487"/>
    <mergeCell ref="A490:I490"/>
    <mergeCell ref="A498:C498"/>
    <mergeCell ref="A507:C507"/>
    <mergeCell ref="A514:C514"/>
    <mergeCell ref="A520:B520"/>
    <mergeCell ref="B521:B525"/>
    <mergeCell ref="B526:B530"/>
    <mergeCell ref="B531:B535"/>
    <mergeCell ref="B536:B540"/>
    <mergeCell ref="B541:B545"/>
  </mergeCells>
  <conditionalFormatting sqref="C289:AZ293">
    <cfRule type="cellIs" priority="2" operator="lessThan" aboveAverage="0" equalAverage="0" bottom="0" percent="0" rank="0" text="" dxfId="1">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Z509"/>
  <sheetViews>
    <sheetView showFormulas="false" showGridLines="true" showRowColHeaders="true" showZeros="true" rightToLeft="false" tabSelected="false" showOutlineSymbols="true" defaultGridColor="true" view="normal" topLeftCell="C95" colorId="64" zoomScale="85" zoomScaleNormal="85" zoomScalePageLayoutView="100" workbookViewId="0">
      <selection pane="topLeft" activeCell="J134" activeCellId="0" sqref="J134"/>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v>
      </c>
      <c r="N10" s="206"/>
      <c r="O10" s="206"/>
      <c r="P10" s="206"/>
      <c r="Q10" s="206"/>
      <c r="R10" s="206" t="n">
        <v>0.011</v>
      </c>
      <c r="S10" s="206"/>
      <c r="T10" s="206"/>
      <c r="U10" s="206"/>
      <c r="V10" s="206"/>
      <c r="W10" s="206" t="n">
        <v>0.011</v>
      </c>
      <c r="X10" s="206"/>
      <c r="Y10" s="206"/>
      <c r="Z10" s="206"/>
      <c r="AA10" s="206"/>
      <c r="AB10" s="206" t="n">
        <v>0.011</v>
      </c>
      <c r="AC10" s="206"/>
      <c r="AD10" s="206"/>
      <c r="AE10" s="206"/>
      <c r="AF10" s="206"/>
      <c r="AG10" s="206" t="n">
        <v>0.011</v>
      </c>
      <c r="AH10" s="206"/>
      <c r="AI10" s="206"/>
      <c r="AJ10" s="206"/>
      <c r="AK10" s="206"/>
      <c r="AL10" s="206" t="n">
        <v>0.011</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498</v>
      </c>
      <c r="B16" s="202" t="s">
        <v>499</v>
      </c>
      <c r="C16" s="212" t="n">
        <v>0.117609721833719</v>
      </c>
      <c r="D16" s="212" t="n">
        <v>0.126664781007908</v>
      </c>
      <c r="E16" s="212" t="n">
        <v>0.1268050283133</v>
      </c>
      <c r="F16" s="212" t="n">
        <v>0.135126859489025</v>
      </c>
      <c r="G16" s="212" t="n">
        <v>0.140282729162163</v>
      </c>
      <c r="H16" s="212" t="n">
        <v>0.146916832301251</v>
      </c>
      <c r="I16" s="213" t="n">
        <v>0.148630915135189</v>
      </c>
      <c r="J16" s="81"/>
      <c r="K16" s="160"/>
      <c r="L16" s="81"/>
    </row>
    <row r="17" customFormat="false" ht="1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5" hidden="false" customHeight="false" outlineLevel="0" collapsed="false">
      <c r="A18" s="211" t="s">
        <v>501</v>
      </c>
      <c r="B18" s="202" t="s">
        <v>499</v>
      </c>
      <c r="C18" s="212" t="n">
        <v>0.0374522</v>
      </c>
      <c r="D18" s="212" t="n">
        <v>0.043388</v>
      </c>
      <c r="E18" s="212" t="n">
        <v>0.06069115</v>
      </c>
      <c r="F18" s="214" t="n">
        <v>0.08975165</v>
      </c>
      <c r="G18" s="214" t="n">
        <v>0.12725</v>
      </c>
      <c r="H18" s="214" t="n">
        <v>0.1769065</v>
      </c>
      <c r="I18" s="213" t="n">
        <v>0.2118585</v>
      </c>
      <c r="J18" s="81"/>
      <c r="K18" s="81"/>
      <c r="L18" s="81"/>
    </row>
    <row r="19" customFormat="false" ht="15" hidden="false" customHeight="false" outlineLevel="0" collapsed="false">
      <c r="A19" s="211" t="s">
        <v>502</v>
      </c>
      <c r="B19" s="202" t="s">
        <v>499</v>
      </c>
      <c r="C19" s="212" t="n">
        <v>0.0008299085</v>
      </c>
      <c r="D19" s="212" t="n">
        <v>0.00444725</v>
      </c>
      <c r="E19" s="212" t="n">
        <v>0.014096475</v>
      </c>
      <c r="F19" s="214" t="n">
        <v>0.02532925</v>
      </c>
      <c r="G19" s="214" t="n">
        <v>0.03581605</v>
      </c>
      <c r="H19" s="214" t="n">
        <v>0.04635715</v>
      </c>
      <c r="I19" s="213" t="n">
        <v>0.05620975</v>
      </c>
      <c r="J19" s="160"/>
      <c r="K19" s="81"/>
      <c r="L19" s="81"/>
    </row>
    <row r="20" customFormat="false" ht="15" hidden="false" customHeight="false" outlineLevel="0" collapsed="false">
      <c r="A20" s="211" t="s">
        <v>503</v>
      </c>
      <c r="B20" s="202" t="s">
        <v>499</v>
      </c>
      <c r="C20" s="212" t="n">
        <v>0.146914125126844</v>
      </c>
      <c r="D20" s="212" t="n">
        <v>0.252394063397019</v>
      </c>
      <c r="E20" s="212" t="n">
        <v>0.359162426436101</v>
      </c>
      <c r="F20" s="214" t="n">
        <v>0.526015222710319</v>
      </c>
      <c r="G20" s="214" t="n">
        <v>0.6707412377823</v>
      </c>
      <c r="H20" s="214" t="n">
        <v>0.895000988463177</v>
      </c>
      <c r="I20" s="213" t="n">
        <v>1.01362210322222</v>
      </c>
    </row>
    <row r="21" customFormat="false" ht="15" hidden="false" customHeight="false" outlineLevel="0" collapsed="false">
      <c r="A21" s="211" t="s">
        <v>504</v>
      </c>
      <c r="B21" s="202" t="s">
        <v>499</v>
      </c>
      <c r="C21" s="212" t="n">
        <v>0.0121029772625668</v>
      </c>
      <c r="D21" s="212" t="n">
        <v>0.0294920972654814</v>
      </c>
      <c r="E21" s="212" t="n">
        <v>0.0638937271994091</v>
      </c>
      <c r="F21" s="214" t="n">
        <v>0.105000218961605</v>
      </c>
      <c r="G21" s="214" t="n">
        <v>0.186851022344914</v>
      </c>
      <c r="H21" s="214" t="n">
        <v>0.324965157175987</v>
      </c>
      <c r="I21" s="213" t="n">
        <v>0.362987208788995</v>
      </c>
      <c r="K21" s="81"/>
      <c r="L21" s="81"/>
    </row>
    <row r="22" customFormat="false" ht="15" hidden="false" customHeight="false" outlineLevel="0" collapsed="false">
      <c r="A22" s="211" t="s">
        <v>505</v>
      </c>
      <c r="B22" s="202" t="s">
        <v>499</v>
      </c>
      <c r="C22" s="212" t="n">
        <v>0.125671151626567</v>
      </c>
      <c r="D22" s="212" t="n">
        <v>0.243542844662369</v>
      </c>
      <c r="E22" s="212" t="n">
        <v>0.389285836686693</v>
      </c>
      <c r="F22" s="214" t="n">
        <v>0.545212013431527</v>
      </c>
      <c r="G22" s="214" t="n">
        <v>0.755351384766724</v>
      </c>
      <c r="H22" s="214" t="n">
        <v>0.97004701873674</v>
      </c>
      <c r="I22" s="213" t="n">
        <v>1.15086859750692</v>
      </c>
      <c r="K22" s="81"/>
      <c r="L22" s="81"/>
    </row>
    <row r="23" customFormat="false" ht="1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710</v>
      </c>
      <c r="B27" s="200"/>
      <c r="C27" s="200"/>
      <c r="D27" s="200"/>
      <c r="E27" s="200"/>
      <c r="F27" s="200"/>
      <c r="G27" s="200"/>
      <c r="H27" s="200"/>
      <c r="I27" s="200"/>
    </row>
    <row r="28" customFormat="false" ht="15" hidden="false" customHeight="false" outlineLevel="0" collapsed="false">
      <c r="A28" s="218" t="s">
        <v>510</v>
      </c>
      <c r="B28" s="219" t="s">
        <v>146</v>
      </c>
      <c r="C28" s="220" t="n">
        <v>0</v>
      </c>
      <c r="D28" s="220" t="n">
        <v>0</v>
      </c>
      <c r="E28" s="220" t="n">
        <v>0</v>
      </c>
      <c r="F28" s="220" t="n">
        <v>0</v>
      </c>
      <c r="G28" s="220" t="n">
        <v>0</v>
      </c>
      <c r="H28" s="220" t="n">
        <v>0</v>
      </c>
      <c r="I28" s="220" t="n">
        <v>0</v>
      </c>
    </row>
    <row r="29" customFormat="false" ht="1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511</v>
      </c>
      <c r="B31" s="222"/>
      <c r="C31" s="222"/>
      <c r="E31" s="81"/>
      <c r="F31" s="81"/>
      <c r="G31" s="81"/>
      <c r="H31" s="160"/>
      <c r="I31" s="81"/>
      <c r="L31" s="75"/>
    </row>
    <row r="32" customFormat="false" ht="15" hidden="false" customHeight="false" outlineLevel="0" collapsed="false">
      <c r="A32" s="211" t="s">
        <v>512</v>
      </c>
      <c r="B32" s="202" t="s">
        <v>513</v>
      </c>
      <c r="C32" s="226" t="n">
        <v>0.1</v>
      </c>
      <c r="H32" s="160"/>
      <c r="K32" s="45"/>
      <c r="M32" s="81"/>
    </row>
    <row r="33" customFormat="false" ht="15" hidden="false" customHeight="false" outlineLevel="0" collapsed="false">
      <c r="A33" s="211" t="s">
        <v>514</v>
      </c>
      <c r="B33" s="202" t="s">
        <v>36</v>
      </c>
      <c r="C33" s="204" t="n">
        <v>2035</v>
      </c>
      <c r="E33" s="81"/>
      <c r="F33" s="81"/>
      <c r="G33" s="81"/>
      <c r="H33" s="160"/>
      <c r="I33" s="81"/>
      <c r="J33" s="62"/>
    </row>
    <row r="34" customFormat="false" ht="15" hidden="false" customHeight="false" outlineLevel="0" collapsed="false">
      <c r="A34" s="211" t="s">
        <v>515</v>
      </c>
      <c r="B34" s="202" t="s">
        <v>513</v>
      </c>
      <c r="C34" s="227"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516</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517</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518</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519</v>
      </c>
      <c r="B38" s="202" t="s">
        <v>513</v>
      </c>
      <c r="C38" s="227"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520</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521</v>
      </c>
      <c r="B40" s="202" t="s">
        <v>513</v>
      </c>
      <c r="C40" s="227"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16" t="s">
        <v>522</v>
      </c>
      <c r="B42" s="205" t="s">
        <v>513</v>
      </c>
      <c r="C42" s="228"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16" t="s">
        <v>523</v>
      </c>
      <c r="B45" s="205" t="s">
        <v>513</v>
      </c>
      <c r="C45" s="228"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524</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525</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526</v>
      </c>
      <c r="B50" s="202" t="s">
        <v>513</v>
      </c>
      <c r="C50" s="227"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527</v>
      </c>
      <c r="B51" s="202" t="s">
        <v>513</v>
      </c>
      <c r="C51" s="227"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6" t="s">
        <v>528</v>
      </c>
      <c r="B52" s="205" t="s">
        <v>513</v>
      </c>
      <c r="C52" s="229" t="n">
        <v>0.01</v>
      </c>
      <c r="D52" s="229"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s="81" customFormat="true" ht="17.35" hidden="false" customHeight="false" outlineLevel="0" collapsed="false">
      <c r="A53" s="200" t="s">
        <v>529</v>
      </c>
      <c r="B53" s="200"/>
      <c r="C53" s="200"/>
    </row>
    <row r="54" s="81" customFormat="true" ht="15" hidden="false" customHeight="false" outlineLevel="0" collapsed="false">
      <c r="A54" s="230" t="s">
        <v>530</v>
      </c>
      <c r="B54" s="202" t="s">
        <v>36</v>
      </c>
      <c r="C54" s="203" t="n">
        <v>2050</v>
      </c>
    </row>
    <row r="55" s="81" customFormat="true" ht="15" hidden="false" customHeight="false" outlineLevel="0" collapsed="false">
      <c r="A55" s="230" t="s">
        <v>531</v>
      </c>
      <c r="B55" s="202" t="s">
        <v>532</v>
      </c>
      <c r="C55" s="231" t="n">
        <v>0</v>
      </c>
    </row>
    <row r="56" s="81" customFormat="true" ht="15" hidden="false" customHeight="false" outlineLevel="0" collapsed="false">
      <c r="A56" s="230" t="s">
        <v>533</v>
      </c>
      <c r="B56" s="202" t="s">
        <v>532</v>
      </c>
      <c r="C56" s="231" t="n">
        <v>0</v>
      </c>
    </row>
    <row r="57" s="81" customFormat="true" ht="15" hidden="false" customHeight="false" outlineLevel="0" collapsed="false">
      <c r="A57" s="230" t="s">
        <v>534</v>
      </c>
      <c r="B57" s="202" t="s">
        <v>532</v>
      </c>
      <c r="C57" s="231" t="n">
        <v>0.1</v>
      </c>
    </row>
    <row r="58" s="81" customFormat="true" ht="15" hidden="false" customHeight="false" outlineLevel="0" collapsed="false">
      <c r="A58" s="230" t="s">
        <v>535</v>
      </c>
      <c r="B58" s="202" t="s">
        <v>532</v>
      </c>
      <c r="C58" s="231" t="n">
        <v>0.5</v>
      </c>
    </row>
    <row r="59" s="81" customFormat="true" ht="15" hidden="false" customHeight="false" outlineLevel="0" collapsed="false"/>
    <row r="60" customFormat="false" ht="17.35" hidden="false" customHeight="false" outlineLevel="0" collapsed="false">
      <c r="A60" s="200" t="s">
        <v>536</v>
      </c>
      <c r="B60" s="200"/>
      <c r="C60" s="200"/>
      <c r="D60" s="200"/>
      <c r="E60" s="200"/>
      <c r="F60" s="200"/>
      <c r="G60" s="200"/>
      <c r="H60" s="200"/>
      <c r="I60" s="200"/>
    </row>
    <row r="61" customFormat="false" ht="15" hidden="false" customHeight="false" outlineLevel="0" collapsed="false">
      <c r="A61" s="230" t="s">
        <v>36</v>
      </c>
      <c r="B61" s="202" t="s">
        <v>36</v>
      </c>
      <c r="C61" s="232" t="n">
        <v>2020</v>
      </c>
      <c r="D61" s="232" t="n">
        <v>2025</v>
      </c>
      <c r="E61" s="232" t="n">
        <v>2030</v>
      </c>
      <c r="F61" s="232" t="n">
        <v>2035</v>
      </c>
      <c r="G61" s="232" t="n">
        <v>2040</v>
      </c>
      <c r="H61" s="232" t="n">
        <v>2045</v>
      </c>
      <c r="I61" s="233" t="n">
        <v>2050</v>
      </c>
    </row>
    <row r="62" customFormat="false" ht="15" hidden="false" customHeight="false" outlineLevel="0" collapsed="false">
      <c r="A62" s="230" t="s">
        <v>537</v>
      </c>
      <c r="B62" s="202" t="s">
        <v>146</v>
      </c>
      <c r="C62" s="234" t="n">
        <v>0</v>
      </c>
      <c r="D62" s="234" t="n">
        <v>0</v>
      </c>
      <c r="E62" s="234" t="n">
        <v>0</v>
      </c>
      <c r="F62" s="234" t="n">
        <v>0</v>
      </c>
      <c r="G62" s="234" t="n">
        <v>0</v>
      </c>
      <c r="H62" s="234" t="n">
        <v>0</v>
      </c>
      <c r="I62" s="234" t="n">
        <v>0</v>
      </c>
      <c r="J62" s="221"/>
      <c r="K62" s="221"/>
    </row>
    <row r="63" customFormat="false" ht="15" hidden="false" customHeight="false" outlineLevel="0" collapsed="false">
      <c r="A63" s="230" t="s">
        <v>538</v>
      </c>
      <c r="B63" s="202" t="s">
        <v>146</v>
      </c>
      <c r="C63" s="234" t="n">
        <v>0</v>
      </c>
      <c r="D63" s="234" t="n">
        <v>0</v>
      </c>
      <c r="E63" s="234" t="n">
        <v>0.00189148985353949</v>
      </c>
      <c r="F63" s="234" t="n">
        <v>0.482964256198595</v>
      </c>
      <c r="G63" s="234" t="n">
        <v>1.23853129255308</v>
      </c>
      <c r="H63" s="234" t="n">
        <v>2.86141754184028</v>
      </c>
      <c r="I63" s="234" t="n">
        <v>2.81340799792693</v>
      </c>
      <c r="J63" s="221"/>
      <c r="K63" s="221"/>
    </row>
    <row r="64" customFormat="false" ht="15" hidden="false" customHeight="false" outlineLevel="0" collapsed="false">
      <c r="A64" s="230" t="s">
        <v>539</v>
      </c>
      <c r="B64" s="202" t="s">
        <v>146</v>
      </c>
      <c r="C64" s="234" t="n">
        <v>4.41217077793692E-005</v>
      </c>
      <c r="D64" s="234" t="n">
        <v>0.000751828466159761</v>
      </c>
      <c r="E64" s="234" t="n">
        <v>0.0152316875119172</v>
      </c>
      <c r="F64" s="234" t="n">
        <v>0.138807762777472</v>
      </c>
      <c r="G64" s="234" t="n">
        <v>0.868480719185939</v>
      </c>
      <c r="H64" s="234" t="n">
        <v>1.87867682957348</v>
      </c>
      <c r="I64" s="234" t="n">
        <v>2.78389156693196</v>
      </c>
    </row>
    <row r="65" customFormat="false" ht="15" hidden="false" customHeight="false" outlineLevel="0" collapsed="false">
      <c r="A65" s="230" t="s">
        <v>540</v>
      </c>
      <c r="B65" s="202" t="s">
        <v>146</v>
      </c>
      <c r="C65" s="234" t="n">
        <v>0</v>
      </c>
      <c r="D65" s="234" t="n">
        <v>0</v>
      </c>
      <c r="E65" s="234" t="n">
        <v>0</v>
      </c>
      <c r="F65" s="234" t="n">
        <v>0</v>
      </c>
      <c r="G65" s="234" t="n">
        <v>0</v>
      </c>
      <c r="H65" s="234" t="n">
        <v>0</v>
      </c>
      <c r="I65" s="234" t="n">
        <v>0</v>
      </c>
    </row>
    <row r="66" s="81" customFormat="true" ht="15" hidden="false" customHeight="false" outlineLevel="0" collapsed="false"/>
    <row r="67" s="81" customFormat="true" ht="15" hidden="false" customHeight="false" outlineLevel="0" collapsed="false"/>
    <row r="68" customFormat="false" ht="24.45" hidden="false" customHeight="false" outlineLevel="0" collapsed="false">
      <c r="A68" s="199" t="s">
        <v>541</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5" t="s">
        <v>168</v>
      </c>
      <c r="B69" s="236"/>
      <c r="C69" s="237"/>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8"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38"/>
      <c r="B71" s="205" t="s">
        <v>542</v>
      </c>
      <c r="C71" s="229"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s="81" customFormat="true" ht="15" hidden="false" customHeight="false" outlineLevel="0" collapsed="false"/>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8"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38"/>
      <c r="B75" s="205" t="s">
        <v>543</v>
      </c>
      <c r="C75" s="229"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9" t="s">
        <v>228</v>
      </c>
      <c r="B77" s="239"/>
      <c r="C77" s="239"/>
      <c r="D77" s="240" t="s">
        <v>544</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545</v>
      </c>
      <c r="B78" s="202" t="s">
        <v>546</v>
      </c>
      <c r="C78" s="231"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1" t="s">
        <v>230</v>
      </c>
      <c r="B79" s="241"/>
      <c r="C79" s="241"/>
      <c r="D79" s="242" t="s">
        <v>547</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548</v>
      </c>
      <c r="B80" s="205" t="s">
        <v>546</v>
      </c>
      <c r="C80" s="243" t="n">
        <v>0.2</v>
      </c>
      <c r="D80" s="244"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s="81" customFormat="true" ht="15" hidden="false" customHeight="false" outlineLevel="0" collapsed="false"/>
    <row r="82" customFormat="false" ht="17.35" hidden="false" customHeight="false" outlineLevel="0" collapsed="false">
      <c r="A82" s="200" t="s">
        <v>236</v>
      </c>
      <c r="B82" s="200"/>
      <c r="C82" s="200"/>
    </row>
    <row r="83" customFormat="false" ht="15" hidden="false" customHeight="false" outlineLevel="0" collapsed="false">
      <c r="A83" s="245" t="s">
        <v>549</v>
      </c>
      <c r="B83" s="202" t="s">
        <v>550</v>
      </c>
      <c r="C83" s="246" t="n">
        <v>0</v>
      </c>
    </row>
    <row r="84" customFormat="false" ht="15" hidden="false" customHeight="false" outlineLevel="0" collapsed="false">
      <c r="A84" s="245"/>
      <c r="B84" s="202" t="s">
        <v>551</v>
      </c>
      <c r="C84" s="246" t="n">
        <v>2023</v>
      </c>
    </row>
    <row r="85" customFormat="false" ht="15" hidden="false" customHeight="false" outlineLevel="0" collapsed="false">
      <c r="A85" s="245" t="s">
        <v>237</v>
      </c>
      <c r="B85" s="202" t="s">
        <v>238</v>
      </c>
      <c r="C85" s="246"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45"/>
      <c r="B86" s="202" t="s">
        <v>241</v>
      </c>
      <c r="C86" s="247"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45" t="s">
        <v>243</v>
      </c>
      <c r="B87" s="202" t="s">
        <v>238</v>
      </c>
      <c r="C87" s="246" t="n">
        <v>2015</v>
      </c>
    </row>
    <row r="88" customFormat="false" ht="15" hidden="false" customHeight="false" outlineLevel="0" collapsed="false">
      <c r="A88" s="245"/>
      <c r="B88" s="202" t="s">
        <v>241</v>
      </c>
      <c r="C88" s="247" t="n">
        <v>0</v>
      </c>
    </row>
    <row r="89" customFormat="false" ht="15" hidden="false" customHeight="false" outlineLevel="0" collapsed="false">
      <c r="A89" s="245" t="s">
        <v>244</v>
      </c>
      <c r="B89" s="202" t="s">
        <v>238</v>
      </c>
      <c r="C89" s="246" t="n">
        <v>2023</v>
      </c>
    </row>
    <row r="90" customFormat="false" ht="15" hidden="false" customHeight="false" outlineLevel="0" collapsed="false">
      <c r="A90" s="245"/>
      <c r="B90" s="202" t="s">
        <v>241</v>
      </c>
      <c r="C90" s="247" t="n">
        <v>0</v>
      </c>
    </row>
    <row r="91" customFormat="false" ht="15" hidden="false" customHeight="false" outlineLevel="0" collapsed="false">
      <c r="A91" s="245" t="s">
        <v>246</v>
      </c>
      <c r="B91" s="202" t="s">
        <v>238</v>
      </c>
      <c r="C91" s="246" t="n">
        <v>2023</v>
      </c>
      <c r="G91" s="138"/>
      <c r="I91" s="125"/>
      <c r="J91" s="125"/>
      <c r="K91" s="125"/>
      <c r="L91" s="125"/>
      <c r="M91" s="125"/>
      <c r="N91" s="125"/>
      <c r="O91" s="125"/>
      <c r="P91" s="125"/>
      <c r="Q91" s="125"/>
      <c r="R91" s="125"/>
      <c r="S91" s="125"/>
      <c r="T91" s="125"/>
    </row>
    <row r="92" customFormat="false" ht="15" hidden="false" customHeight="false" outlineLevel="0" collapsed="false">
      <c r="A92" s="245"/>
      <c r="B92" s="202" t="s">
        <v>241</v>
      </c>
      <c r="C92" s="247" t="n">
        <v>0</v>
      </c>
    </row>
    <row r="93" customFormat="false" ht="15" hidden="false" customHeight="false" outlineLevel="0" collapsed="false">
      <c r="A93" s="245" t="s">
        <v>211</v>
      </c>
      <c r="B93" s="202" t="s">
        <v>238</v>
      </c>
      <c r="C93" s="246" t="n">
        <v>2023</v>
      </c>
    </row>
    <row r="94" customFormat="false" ht="15" hidden="false" customHeight="false" outlineLevel="0" collapsed="false">
      <c r="A94" s="245"/>
      <c r="B94" s="202" t="s">
        <v>241</v>
      </c>
      <c r="C94" s="247" t="n">
        <v>0.97</v>
      </c>
    </row>
    <row r="95" customFormat="false" ht="15" hidden="false" customHeight="false" outlineLevel="0" collapsed="false">
      <c r="A95" s="245" t="s">
        <v>240</v>
      </c>
      <c r="B95" s="202" t="s">
        <v>238</v>
      </c>
      <c r="C95" s="246" t="n">
        <v>2023</v>
      </c>
    </row>
    <row r="96" customFormat="false" ht="15" hidden="false" customHeight="false" outlineLevel="0" collapsed="false">
      <c r="A96" s="245"/>
      <c r="B96" s="202" t="s">
        <v>241</v>
      </c>
      <c r="C96" s="247" t="n">
        <v>0.74</v>
      </c>
    </row>
    <row r="97" customFormat="false" ht="15" hidden="false" customHeight="false" outlineLevel="0" collapsed="false">
      <c r="A97" s="238" t="s">
        <v>245</v>
      </c>
      <c r="B97" s="202" t="s">
        <v>238</v>
      </c>
      <c r="C97" s="246" t="n">
        <v>2023</v>
      </c>
    </row>
    <row r="98" customFormat="false" ht="15" hidden="false" customHeight="false" outlineLevel="0" collapsed="false">
      <c r="A98" s="238"/>
      <c r="B98" s="205" t="s">
        <v>241</v>
      </c>
      <c r="C98" s="248" t="n">
        <v>0.87</v>
      </c>
    </row>
    <row r="99" customFormat="false" ht="15" hidden="false" customHeight="false" outlineLevel="0" collapsed="false">
      <c r="A99" s="139" t="s">
        <v>247</v>
      </c>
    </row>
    <row r="100" customFormat="false" ht="15" hidden="false" customHeight="false" outlineLevel="0" collapsed="false">
      <c r="K100" s="1"/>
      <c r="M100" s="1"/>
    </row>
    <row r="101" customFormat="false" ht="14.25" hidden="false" customHeight="true" outlineLevel="0" collapsed="false">
      <c r="A101" s="200" t="s">
        <v>248</v>
      </c>
      <c r="B101" s="200"/>
      <c r="C101" s="200"/>
      <c r="G101" s="79"/>
      <c r="H101" s="79"/>
      <c r="I101" s="79"/>
      <c r="J101" s="79"/>
      <c r="K101" s="79"/>
      <c r="L101" s="79"/>
      <c r="M101" s="79"/>
    </row>
    <row r="102" customFormat="false" ht="15" hidden="false" customHeight="false" outlineLevel="0" collapsed="false">
      <c r="A102" s="211" t="s">
        <v>249</v>
      </c>
      <c r="B102" s="202" t="s">
        <v>28</v>
      </c>
      <c r="C102" s="246" t="n">
        <v>1</v>
      </c>
      <c r="G102" s="79"/>
      <c r="H102" s="79"/>
      <c r="I102" s="79"/>
      <c r="J102" s="79"/>
      <c r="K102" s="79"/>
      <c r="L102" s="79"/>
      <c r="M102" s="79"/>
    </row>
    <row r="103" customFormat="false" ht="15" hidden="false" customHeight="false" outlineLevel="0" collapsed="false">
      <c r="A103" s="211" t="s">
        <v>256</v>
      </c>
      <c r="B103" s="202" t="s">
        <v>28</v>
      </c>
      <c r="C103" s="246" t="n">
        <v>1</v>
      </c>
      <c r="G103" s="79"/>
      <c r="H103" s="79"/>
      <c r="I103" s="79"/>
      <c r="J103" s="79"/>
      <c r="K103" s="79"/>
      <c r="L103" s="79"/>
      <c r="M103" s="79"/>
    </row>
    <row r="104" customFormat="false" ht="15" hidden="false" customHeight="false" outlineLevel="0" collapsed="false">
      <c r="A104" s="211" t="s">
        <v>552</v>
      </c>
      <c r="B104" s="202" t="s">
        <v>36</v>
      </c>
      <c r="C104" s="246" t="n">
        <v>2020</v>
      </c>
      <c r="G104" s="79"/>
      <c r="H104" s="79"/>
      <c r="I104" s="79"/>
      <c r="J104" s="79"/>
      <c r="K104" s="79"/>
      <c r="L104" s="79"/>
      <c r="M104" s="79"/>
    </row>
    <row r="105" customFormat="false" ht="15" hidden="false" customHeight="false" outlineLevel="0" collapsed="false">
      <c r="A105" s="211" t="s">
        <v>553</v>
      </c>
      <c r="B105" s="202" t="s">
        <v>36</v>
      </c>
      <c r="C105" s="246" t="n">
        <v>2025</v>
      </c>
      <c r="G105" s="79"/>
      <c r="H105" s="79"/>
      <c r="I105" s="79"/>
      <c r="J105" s="79"/>
      <c r="K105" s="79"/>
      <c r="L105" s="79"/>
      <c r="M105" s="79"/>
    </row>
    <row r="106" customFormat="false" ht="15" hidden="false" customHeight="false" outlineLevel="0" collapsed="false">
      <c r="A106" s="211" t="s">
        <v>554</v>
      </c>
      <c r="B106" s="202" t="s">
        <v>36</v>
      </c>
      <c r="C106" s="246" t="n">
        <v>2035</v>
      </c>
    </row>
    <row r="107" customFormat="false" ht="15" hidden="false" customHeight="false" outlineLevel="0" collapsed="false">
      <c r="A107" s="211" t="s">
        <v>555</v>
      </c>
      <c r="B107" s="202" t="s">
        <v>36</v>
      </c>
      <c r="C107" s="246" t="n">
        <v>2050</v>
      </c>
    </row>
    <row r="108" customFormat="false" ht="15" hidden="false" customHeight="false" outlineLevel="0" collapsed="false">
      <c r="A108" s="211" t="s">
        <v>255</v>
      </c>
      <c r="B108" s="202" t="s">
        <v>28</v>
      </c>
      <c r="C108" s="246" t="n">
        <v>0</v>
      </c>
      <c r="G108" s="249"/>
      <c r="H108" s="249"/>
      <c r="I108" s="249"/>
      <c r="J108" s="249"/>
      <c r="K108" s="249"/>
      <c r="L108" s="249"/>
    </row>
    <row r="109" customFormat="false" ht="15" hidden="false" customHeight="false" outlineLevel="0" collapsed="false">
      <c r="A109" s="211" t="s">
        <v>261</v>
      </c>
      <c r="B109" s="202" t="s">
        <v>28</v>
      </c>
      <c r="C109" s="246" t="n">
        <v>0</v>
      </c>
      <c r="G109" s="249"/>
      <c r="H109" s="249"/>
      <c r="I109" s="249"/>
      <c r="J109" s="249"/>
      <c r="K109" s="249"/>
      <c r="L109" s="249"/>
    </row>
    <row r="110" customFormat="false" ht="15" hidden="false" customHeight="false" outlineLevel="0" collapsed="false">
      <c r="A110" s="211" t="s">
        <v>556</v>
      </c>
      <c r="B110" s="202"/>
      <c r="C110" s="204" t="n">
        <v>2050</v>
      </c>
      <c r="G110" s="249"/>
      <c r="H110" s="249"/>
      <c r="I110" s="249"/>
      <c r="J110" s="249"/>
      <c r="K110" s="249"/>
      <c r="L110" s="249"/>
    </row>
    <row r="111" customFormat="false" ht="15" hidden="false" customHeight="false" outlineLevel="0" collapsed="false">
      <c r="A111" s="216" t="s">
        <v>557</v>
      </c>
      <c r="B111" s="205" t="s">
        <v>28</v>
      </c>
      <c r="C111" s="244" t="n">
        <v>0.8</v>
      </c>
      <c r="G111" s="249"/>
      <c r="H111" s="249"/>
      <c r="I111" s="249"/>
      <c r="J111" s="249"/>
      <c r="K111" s="249"/>
      <c r="L111" s="249"/>
    </row>
    <row r="112" customFormat="false" ht="14.25" hidden="false" customHeight="true" outlineLevel="0" collapsed="false"/>
    <row r="113" customFormat="false" ht="14.25" hidden="false" customHeight="true" outlineLevel="0" collapsed="false">
      <c r="A113" s="200" t="s">
        <v>58</v>
      </c>
      <c r="B113" s="200"/>
      <c r="C113" s="200"/>
      <c r="D113" s="200"/>
      <c r="E113" s="200"/>
      <c r="G113" s="249"/>
      <c r="H113" s="249"/>
      <c r="I113" s="249"/>
      <c r="J113" s="249"/>
      <c r="K113" s="249"/>
      <c r="L113" s="249"/>
    </row>
    <row r="114" customFormat="false" ht="14.25" hidden="false" customHeight="true" outlineLevel="0" collapsed="false">
      <c r="A114" s="238" t="s">
        <v>59</v>
      </c>
      <c r="B114" s="250" t="n">
        <v>4</v>
      </c>
      <c r="C114" s="230" t="s">
        <v>60</v>
      </c>
      <c r="D114" s="202" t="s">
        <v>65</v>
      </c>
      <c r="E114" s="227" t="n">
        <v>-0.012</v>
      </c>
      <c r="G114" s="249"/>
      <c r="H114" s="249"/>
      <c r="I114" s="249"/>
      <c r="J114" s="249"/>
      <c r="K114" s="249"/>
      <c r="L114" s="249"/>
    </row>
    <row r="115" customFormat="false" ht="14.25" hidden="false" customHeight="true" outlineLevel="0" collapsed="false">
      <c r="A115" s="238"/>
      <c r="B115" s="250"/>
      <c r="C115" s="230" t="s">
        <v>62</v>
      </c>
      <c r="D115" s="202" t="s">
        <v>559</v>
      </c>
      <c r="E115" s="204" t="n">
        <v>2017</v>
      </c>
      <c r="G115" s="249"/>
      <c r="H115" s="249"/>
      <c r="I115" s="249"/>
      <c r="J115" s="249"/>
      <c r="K115" s="249"/>
      <c r="L115" s="249"/>
    </row>
    <row r="116" customFormat="false" ht="14.25" hidden="false" customHeight="true" outlineLevel="0" collapsed="false">
      <c r="A116" s="238"/>
      <c r="B116" s="250"/>
      <c r="C116" s="230" t="s">
        <v>63</v>
      </c>
      <c r="D116" s="252"/>
      <c r="E116" s="252"/>
      <c r="F116" s="253"/>
      <c r="G116" s="249"/>
      <c r="H116" s="249"/>
      <c r="I116" s="249"/>
      <c r="J116" s="249"/>
      <c r="K116" s="249"/>
      <c r="L116" s="249"/>
    </row>
    <row r="117" customFormat="false" ht="14.25" hidden="false" customHeight="true" outlineLevel="0" collapsed="false">
      <c r="A117" s="238"/>
      <c r="B117" s="250"/>
      <c r="C117" s="255" t="s">
        <v>64</v>
      </c>
      <c r="D117" s="252"/>
      <c r="E117" s="252"/>
    </row>
    <row r="118" customFormat="false" ht="14.25" hidden="false" customHeight="true" outlineLevel="0" collapsed="false"/>
    <row r="119" customFormat="false" ht="14.25" hidden="false" customHeight="true" outlineLevel="0" collapsed="false">
      <c r="D119" s="79"/>
      <c r="E119" s="79"/>
    </row>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56" t="s">
        <v>562</v>
      </c>
      <c r="B123" s="203" t="s">
        <v>563</v>
      </c>
      <c r="C123" s="202" t="s">
        <v>28</v>
      </c>
      <c r="D123" s="257" t="n">
        <v>0.7196</v>
      </c>
      <c r="E123" s="257" t="n">
        <v>0.726</v>
      </c>
      <c r="F123" s="257" t="n">
        <v>0.5808</v>
      </c>
      <c r="G123" s="257" t="n">
        <v>0.4356</v>
      </c>
      <c r="H123" s="257" t="n">
        <v>0.2904</v>
      </c>
      <c r="I123" s="257" t="n">
        <v>0.1452</v>
      </c>
      <c r="J123" s="258" t="n">
        <v>0</v>
      </c>
    </row>
    <row r="124" customFormat="false" ht="15" hidden="false" customHeight="false" outlineLevel="0" collapsed="false">
      <c r="A124" s="256"/>
      <c r="B124" s="203" t="s">
        <v>564</v>
      </c>
      <c r="C124" s="202" t="s">
        <v>28</v>
      </c>
      <c r="D124" s="257" t="n">
        <v>0.0361</v>
      </c>
      <c r="E124" s="257" t="n">
        <v>0.0415</v>
      </c>
      <c r="F124" s="257" t="n">
        <v>0.0406</v>
      </c>
      <c r="G124" s="257" t="n">
        <v>0.0397</v>
      </c>
      <c r="H124" s="257" t="n">
        <v>0.0388</v>
      </c>
      <c r="I124" s="257" t="n">
        <v>0.0379</v>
      </c>
      <c r="J124" s="258" t="n">
        <v>0.037</v>
      </c>
    </row>
    <row r="125" customFormat="false" ht="15" hidden="false" customHeight="false" outlineLevel="0" collapsed="false">
      <c r="A125" s="256"/>
      <c r="B125" s="203" t="s">
        <v>565</v>
      </c>
      <c r="C125" s="202" t="s">
        <v>28</v>
      </c>
      <c r="D125" s="257" t="n">
        <v>0.1582</v>
      </c>
      <c r="E125" s="257" t="n">
        <v>0.156</v>
      </c>
      <c r="F125" s="257" t="n">
        <v>0.3002</v>
      </c>
      <c r="G125" s="257" t="n">
        <v>0.4444</v>
      </c>
      <c r="H125" s="257" t="n">
        <v>0.5885</v>
      </c>
      <c r="I125" s="257" t="n">
        <v>0.7327</v>
      </c>
      <c r="J125" s="258" t="n">
        <v>0.8769</v>
      </c>
    </row>
    <row r="126" customFormat="false" ht="15" hidden="false" customHeight="false" outlineLevel="0" collapsed="false">
      <c r="A126" s="256"/>
      <c r="B126" s="203" t="s">
        <v>566</v>
      </c>
      <c r="C126" s="202" t="s">
        <v>28</v>
      </c>
      <c r="D126" s="257" t="n">
        <v>0.0861</v>
      </c>
      <c r="E126" s="257" t="n">
        <v>0.0765</v>
      </c>
      <c r="F126" s="257" t="n">
        <v>0.0784</v>
      </c>
      <c r="G126" s="257" t="n">
        <v>0.0803</v>
      </c>
      <c r="H126" s="257" t="n">
        <v>0.0823</v>
      </c>
      <c r="I126" s="257" t="n">
        <v>0.0842</v>
      </c>
      <c r="J126" s="258" t="n">
        <v>0.0861</v>
      </c>
    </row>
    <row r="127" customFormat="false" ht="15" hidden="false" customHeight="false" outlineLevel="0" collapsed="false">
      <c r="A127" s="256"/>
      <c r="B127" s="203" t="s">
        <v>567</v>
      </c>
      <c r="C127" s="202" t="s">
        <v>28</v>
      </c>
      <c r="D127" s="259" t="n">
        <v>9.48371043676489E-005</v>
      </c>
      <c r="E127" s="259" t="n">
        <v>0</v>
      </c>
      <c r="F127" s="259" t="n">
        <v>0</v>
      </c>
      <c r="G127" s="259" t="n">
        <v>0</v>
      </c>
      <c r="H127" s="259" t="n">
        <v>0</v>
      </c>
      <c r="I127" s="259" t="n">
        <v>0</v>
      </c>
      <c r="J127" s="226" t="n">
        <v>0</v>
      </c>
    </row>
    <row r="128" customFormat="false" ht="15" hidden="false" customHeight="false" outlineLevel="0" collapsed="false">
      <c r="A128" s="256" t="s">
        <v>568</v>
      </c>
      <c r="B128" s="203" t="s">
        <v>569</v>
      </c>
      <c r="C128" s="202" t="s">
        <v>28</v>
      </c>
      <c r="D128" s="259" t="n">
        <v>0.0687</v>
      </c>
      <c r="E128" s="259" t="n">
        <v>0.079</v>
      </c>
      <c r="F128" s="259" t="n">
        <v>0.0832</v>
      </c>
      <c r="G128" s="259" t="n">
        <v>0.0874</v>
      </c>
      <c r="H128" s="259" t="n">
        <v>0.0916</v>
      </c>
      <c r="I128" s="259" t="n">
        <v>0.0958</v>
      </c>
      <c r="J128" s="226" t="n">
        <v>0.1</v>
      </c>
    </row>
    <row r="129" customFormat="false" ht="15" hidden="false" customHeight="false" outlineLevel="0" collapsed="false">
      <c r="A129" s="256"/>
      <c r="B129" s="260" t="s">
        <v>570</v>
      </c>
      <c r="C129" s="202" t="s">
        <v>28</v>
      </c>
      <c r="D129" s="259" t="n">
        <v>0.8552</v>
      </c>
      <c r="E129" s="259" t="n">
        <v>0.803</v>
      </c>
      <c r="F129" s="259" t="n">
        <v>0.7024</v>
      </c>
      <c r="G129" s="259" t="n">
        <v>0.6018</v>
      </c>
      <c r="H129" s="259" t="n">
        <v>0.5012</v>
      </c>
      <c r="I129" s="259" t="n">
        <v>0.4006</v>
      </c>
      <c r="J129" s="226" t="n">
        <v>0.3</v>
      </c>
    </row>
    <row r="130" customFormat="false" ht="15" hidden="false" customHeight="false" outlineLevel="0" collapsed="false">
      <c r="A130" s="256"/>
      <c r="B130" s="203" t="s">
        <v>565</v>
      </c>
      <c r="C130" s="202" t="s">
        <v>28</v>
      </c>
      <c r="D130" s="259" t="n">
        <v>0.0651</v>
      </c>
      <c r="E130" s="259" t="n">
        <v>0.0975</v>
      </c>
      <c r="F130" s="259" t="n">
        <v>0.198</v>
      </c>
      <c r="G130" s="259" t="n">
        <v>0.2985</v>
      </c>
      <c r="H130" s="259" t="n">
        <v>0.399</v>
      </c>
      <c r="I130" s="259" t="n">
        <v>0.4995</v>
      </c>
      <c r="J130" s="226" t="n">
        <v>0.6</v>
      </c>
    </row>
    <row r="131" customFormat="false" ht="15" hidden="false" customHeight="false" outlineLevel="0" collapsed="false">
      <c r="A131" s="256"/>
      <c r="B131" s="203" t="s">
        <v>566</v>
      </c>
      <c r="C131" s="202" t="s">
        <v>28</v>
      </c>
      <c r="D131" s="259" t="n">
        <v>0</v>
      </c>
      <c r="E131" s="259" t="n">
        <v>0</v>
      </c>
      <c r="F131" s="259" t="n">
        <v>0</v>
      </c>
      <c r="G131" s="259" t="n">
        <v>0</v>
      </c>
      <c r="H131" s="259" t="n">
        <v>0</v>
      </c>
      <c r="I131" s="259" t="n">
        <v>0</v>
      </c>
      <c r="J131" s="226" t="n">
        <v>0</v>
      </c>
    </row>
    <row r="132" customFormat="false" ht="15" hidden="false" customHeight="false" outlineLevel="0" collapsed="false">
      <c r="A132" s="256"/>
      <c r="B132" s="203" t="s">
        <v>567</v>
      </c>
      <c r="C132" s="202" t="s">
        <v>28</v>
      </c>
      <c r="D132" s="259" t="n">
        <v>0.011</v>
      </c>
      <c r="E132" s="259" t="n">
        <v>0.0205</v>
      </c>
      <c r="F132" s="259" t="n">
        <v>0.0164</v>
      </c>
      <c r="G132" s="259" t="n">
        <v>0.0123</v>
      </c>
      <c r="H132" s="259" t="n">
        <v>0.0082</v>
      </c>
      <c r="I132" s="259" t="n">
        <v>0.0041</v>
      </c>
      <c r="J132" s="226" t="n">
        <v>0</v>
      </c>
    </row>
    <row r="133" customFormat="false" ht="15" hidden="false" customHeight="false" outlineLevel="0" collapsed="false">
      <c r="A133" s="208" t="s">
        <v>571</v>
      </c>
      <c r="B133" s="261"/>
      <c r="C133" s="202" t="s">
        <v>572</v>
      </c>
      <c r="D133" s="262" t="n">
        <f aca="false">SUM(D123:D127)</f>
        <v>1.00009483710437</v>
      </c>
      <c r="E133" s="262" t="n">
        <f aca="false">SUM(E123:E127)</f>
        <v>1</v>
      </c>
      <c r="F133" s="262" t="n">
        <f aca="false">SUM(F123:F127)</f>
        <v>1</v>
      </c>
      <c r="G133" s="262" t="n">
        <f aca="false">SUM(G123:G127)</f>
        <v>1</v>
      </c>
      <c r="H133" s="262" t="n">
        <f aca="false">SUM(H123:H127)</f>
        <v>1</v>
      </c>
      <c r="I133" s="262" t="n">
        <f aca="false">SUM(I123:I127)</f>
        <v>1</v>
      </c>
      <c r="J133" s="262" t="n">
        <f aca="false">SUM(J123:J127)</f>
        <v>1</v>
      </c>
    </row>
    <row r="134" customFormat="false" ht="15" hidden="false" customHeight="false" outlineLevel="0" collapsed="false">
      <c r="A134" s="263" t="s">
        <v>573</v>
      </c>
      <c r="B134" s="261"/>
      <c r="C134" s="205" t="s">
        <v>572</v>
      </c>
      <c r="D134" s="262" t="n">
        <f aca="false">SUM(D128:D132)</f>
        <v>1</v>
      </c>
      <c r="E134" s="262" t="n">
        <f aca="false">SUM(E128:E132)</f>
        <v>1</v>
      </c>
      <c r="F134" s="262" t="n">
        <f aca="false">SUM(F128:F132)</f>
        <v>1</v>
      </c>
      <c r="G134" s="262" t="n">
        <f aca="false">SUM(G128:G132)</f>
        <v>1</v>
      </c>
      <c r="H134" s="262" t="n">
        <f aca="false">SUM(H128:H132)</f>
        <v>1</v>
      </c>
      <c r="I134" s="262" t="n">
        <f aca="false">SUM(I128:I132)</f>
        <v>1</v>
      </c>
      <c r="J134" s="262" t="n">
        <f aca="false">SUM(J128:J132)</f>
        <v>1</v>
      </c>
    </row>
    <row r="136" customFormat="false" ht="17.35" hidden="false" customHeight="false" outlineLevel="0" collapsed="false">
      <c r="A136" s="200" t="s">
        <v>574</v>
      </c>
      <c r="B136" s="200"/>
      <c r="C136" s="200"/>
      <c r="D136" s="200"/>
      <c r="E136" s="200"/>
      <c r="F136" s="200"/>
      <c r="G136" s="200"/>
      <c r="H136" s="200"/>
    </row>
    <row r="137" customFormat="false" ht="15" hidden="false" customHeight="false" outlineLevel="0" collapsed="false">
      <c r="A137" s="208" t="s">
        <v>36</v>
      </c>
      <c r="B137" s="202" t="s">
        <v>36</v>
      </c>
      <c r="C137" s="345" t="n">
        <v>2025</v>
      </c>
      <c r="D137" s="345" t="n">
        <v>2030</v>
      </c>
      <c r="E137" s="345" t="n">
        <v>2035</v>
      </c>
      <c r="F137" s="345" t="n">
        <v>2040</v>
      </c>
      <c r="G137" s="345" t="n">
        <v>2045</v>
      </c>
      <c r="H137" s="346" t="n">
        <v>2050</v>
      </c>
    </row>
    <row r="138" customFormat="false" ht="15" hidden="false" customHeight="false" outlineLevel="0" collapsed="false">
      <c r="A138" s="264" t="s">
        <v>565</v>
      </c>
      <c r="B138" s="202" t="s">
        <v>575</v>
      </c>
      <c r="C138" s="347" t="n">
        <v>0.2826</v>
      </c>
      <c r="D138" s="347" t="n">
        <v>0.2261</v>
      </c>
      <c r="E138" s="347" t="n">
        <v>0.1695</v>
      </c>
      <c r="F138" s="347" t="n">
        <v>0.113</v>
      </c>
      <c r="G138" s="347" t="n">
        <v>0.0565</v>
      </c>
      <c r="H138" s="347" t="n">
        <v>0</v>
      </c>
    </row>
    <row r="139" customFormat="false" ht="15" hidden="false" customHeight="false" outlineLevel="0" collapsed="false">
      <c r="A139" s="264"/>
      <c r="B139" s="202" t="s">
        <v>192</v>
      </c>
      <c r="C139" s="347" t="n">
        <v>0</v>
      </c>
      <c r="D139" s="347" t="n">
        <v>0</v>
      </c>
      <c r="E139" s="347" t="n">
        <v>0</v>
      </c>
      <c r="F139" s="347" t="n">
        <v>0</v>
      </c>
      <c r="G139" s="347" t="n">
        <v>0</v>
      </c>
      <c r="H139" s="347" t="n">
        <v>0</v>
      </c>
    </row>
    <row r="140" customFormat="false" ht="15" hidden="false" customHeight="false" outlineLevel="0" collapsed="false">
      <c r="A140" s="264"/>
      <c r="B140" s="202" t="s">
        <v>374</v>
      </c>
      <c r="C140" s="347" t="n">
        <v>0.7174</v>
      </c>
      <c r="D140" s="347" t="n">
        <v>0.7739</v>
      </c>
      <c r="E140" s="347" t="n">
        <v>0.8305</v>
      </c>
      <c r="F140" s="347" t="n">
        <v>0.887</v>
      </c>
      <c r="G140" s="347" t="n">
        <v>0.9435</v>
      </c>
      <c r="H140" s="347" t="n">
        <v>1</v>
      </c>
    </row>
    <row r="141" customFormat="false" ht="15" hidden="false" customHeight="false" outlineLevel="0" collapsed="false">
      <c r="A141" s="264"/>
      <c r="B141" s="202" t="s">
        <v>576</v>
      </c>
      <c r="C141" s="347" t="n">
        <v>0</v>
      </c>
      <c r="D141" s="347" t="n">
        <v>0</v>
      </c>
      <c r="E141" s="347" t="n">
        <v>0</v>
      </c>
      <c r="F141" s="347" t="n">
        <v>0</v>
      </c>
      <c r="G141" s="347" t="n">
        <v>0</v>
      </c>
      <c r="H141" s="347" t="n">
        <v>0</v>
      </c>
    </row>
    <row r="142" customFormat="false" ht="15" hidden="false" customHeight="false" outlineLevel="0" collapsed="false">
      <c r="A142" s="264" t="s">
        <v>563</v>
      </c>
      <c r="B142" s="202" t="s">
        <v>575</v>
      </c>
      <c r="C142" s="348" t="n">
        <v>0.9407</v>
      </c>
      <c r="D142" s="348" t="n">
        <v>0.7926</v>
      </c>
      <c r="E142" s="348" t="n">
        <v>0.6444</v>
      </c>
      <c r="F142" s="348" t="n">
        <v>0.4963</v>
      </c>
      <c r="G142" s="348" t="n">
        <v>0.3481</v>
      </c>
      <c r="H142" s="347" t="n">
        <v>0.2</v>
      </c>
    </row>
    <row r="143" customFormat="false" ht="15" hidden="false" customHeight="false" outlineLevel="0" collapsed="false">
      <c r="A143" s="264"/>
      <c r="B143" s="202" t="s">
        <v>192</v>
      </c>
      <c r="C143" s="348" t="n">
        <v>0.0111</v>
      </c>
      <c r="D143" s="348" t="n">
        <v>0.0389</v>
      </c>
      <c r="E143" s="348" t="n">
        <v>0.0667</v>
      </c>
      <c r="F143" s="348" t="n">
        <v>0.0944</v>
      </c>
      <c r="G143" s="348" t="n">
        <v>0.1222</v>
      </c>
      <c r="H143" s="347" t="n">
        <v>0.15</v>
      </c>
    </row>
    <row r="144" customFormat="false" ht="15" hidden="false" customHeight="false" outlineLevel="0" collapsed="false">
      <c r="A144" s="264"/>
      <c r="B144" s="202" t="s">
        <v>374</v>
      </c>
      <c r="C144" s="348" t="n">
        <v>0.0482</v>
      </c>
      <c r="D144" s="348" t="n">
        <v>0.1685</v>
      </c>
      <c r="E144" s="348" t="n">
        <v>0.2889</v>
      </c>
      <c r="F144" s="348" t="n">
        <v>0.4093</v>
      </c>
      <c r="G144" s="348" t="n">
        <v>0.5297</v>
      </c>
      <c r="H144" s="347" t="n">
        <v>0.65</v>
      </c>
    </row>
    <row r="145" customFormat="false" ht="15" hidden="false" customHeight="false" outlineLevel="0" collapsed="false">
      <c r="A145" s="264"/>
      <c r="B145" s="202" t="s">
        <v>576</v>
      </c>
      <c r="C145" s="348" t="n">
        <v>0</v>
      </c>
      <c r="D145" s="348" t="n">
        <v>0</v>
      </c>
      <c r="E145" s="348" t="n">
        <v>0</v>
      </c>
      <c r="F145" s="348" t="n">
        <v>0</v>
      </c>
      <c r="G145" s="348" t="n">
        <v>0</v>
      </c>
      <c r="H145" s="347" t="n">
        <v>0</v>
      </c>
    </row>
    <row r="146" customFormat="false" ht="15" hidden="false" customHeight="false" outlineLevel="0" collapsed="false">
      <c r="A146" s="256" t="s">
        <v>564</v>
      </c>
      <c r="B146" s="202" t="s">
        <v>575</v>
      </c>
      <c r="C146" s="348" t="n">
        <v>0.9221</v>
      </c>
      <c r="D146" s="348" t="n">
        <v>0.7477</v>
      </c>
      <c r="E146" s="348" t="n">
        <v>0.5733</v>
      </c>
      <c r="F146" s="348" t="n">
        <v>0.3988</v>
      </c>
      <c r="G146" s="348" t="n">
        <v>0.2244</v>
      </c>
      <c r="H146" s="347" t="n">
        <v>0.05</v>
      </c>
    </row>
    <row r="147" customFormat="false" ht="15" hidden="false" customHeight="false" outlineLevel="0" collapsed="false">
      <c r="A147" s="256"/>
      <c r="B147" s="202" t="s">
        <v>192</v>
      </c>
      <c r="C147" s="348" t="n">
        <v>0.009</v>
      </c>
      <c r="D147" s="348" t="n">
        <v>0.0172</v>
      </c>
      <c r="E147" s="348" t="n">
        <v>0.0254</v>
      </c>
      <c r="F147" s="348" t="n">
        <v>0.0336</v>
      </c>
      <c r="G147" s="348" t="n">
        <v>0.0418</v>
      </c>
      <c r="H147" s="347" t="n">
        <v>0.05</v>
      </c>
    </row>
    <row r="148" customFormat="false" ht="15" hidden="false" customHeight="false" outlineLevel="0" collapsed="false">
      <c r="A148" s="256"/>
      <c r="B148" s="202" t="s">
        <v>374</v>
      </c>
      <c r="C148" s="348" t="n">
        <v>0.0689</v>
      </c>
      <c r="D148" s="348" t="n">
        <v>0.2351</v>
      </c>
      <c r="E148" s="348" t="n">
        <v>0.4013</v>
      </c>
      <c r="F148" s="348" t="n">
        <v>0.5676</v>
      </c>
      <c r="G148" s="348" t="n">
        <v>0.7338</v>
      </c>
      <c r="H148" s="347" t="n">
        <v>0.9</v>
      </c>
    </row>
    <row r="149" customFormat="false" ht="15" hidden="false" customHeight="false" outlineLevel="0" collapsed="false">
      <c r="A149" s="256"/>
      <c r="B149" s="202" t="s">
        <v>576</v>
      </c>
      <c r="C149" s="348" t="n">
        <v>0</v>
      </c>
      <c r="D149" s="348" t="n">
        <v>0</v>
      </c>
      <c r="E149" s="348" t="n">
        <v>0</v>
      </c>
      <c r="F149" s="348" t="n">
        <v>0</v>
      </c>
      <c r="G149" s="348" t="n">
        <v>0</v>
      </c>
      <c r="H149" s="347" t="n">
        <v>0</v>
      </c>
    </row>
    <row r="150" customFormat="false" ht="15" hidden="false" customHeight="false" outlineLevel="0" collapsed="false">
      <c r="A150" s="256" t="s">
        <v>566</v>
      </c>
      <c r="B150" s="202" t="s">
        <v>575</v>
      </c>
      <c r="C150" s="348" t="n">
        <v>0.98</v>
      </c>
      <c r="D150" s="348" t="n">
        <v>0.93</v>
      </c>
      <c r="E150" s="348" t="n">
        <v>0.88</v>
      </c>
      <c r="F150" s="348" t="n">
        <v>0.83</v>
      </c>
      <c r="G150" s="348" t="n">
        <v>0.78</v>
      </c>
      <c r="H150" s="347" t="n">
        <v>0.73</v>
      </c>
    </row>
    <row r="151" customFormat="false" ht="15" hidden="false" customHeight="false" outlineLevel="0" collapsed="false">
      <c r="A151" s="256"/>
      <c r="B151" s="202" t="s">
        <v>192</v>
      </c>
      <c r="C151" s="348" t="n">
        <v>0.02</v>
      </c>
      <c r="D151" s="348" t="n">
        <v>0.07</v>
      </c>
      <c r="E151" s="348" t="n">
        <v>0.12</v>
      </c>
      <c r="F151" s="348" t="n">
        <v>0.17</v>
      </c>
      <c r="G151" s="348" t="n">
        <v>0.22</v>
      </c>
      <c r="H151" s="347" t="n">
        <v>0.27</v>
      </c>
    </row>
    <row r="152" customFormat="false" ht="15" hidden="false" customHeight="false" outlineLevel="0" collapsed="false">
      <c r="A152" s="256"/>
      <c r="B152" s="202" t="s">
        <v>374</v>
      </c>
      <c r="C152" s="348" t="n">
        <v>0</v>
      </c>
      <c r="D152" s="348" t="n">
        <v>0</v>
      </c>
      <c r="E152" s="348" t="n">
        <v>0</v>
      </c>
      <c r="F152" s="348" t="n">
        <v>0</v>
      </c>
      <c r="G152" s="348" t="n">
        <v>0</v>
      </c>
      <c r="H152" s="347" t="n">
        <v>0</v>
      </c>
    </row>
    <row r="153" customFormat="false" ht="15" hidden="false" customHeight="false" outlineLevel="0" collapsed="false">
      <c r="A153" s="256"/>
      <c r="B153" s="202" t="s">
        <v>576</v>
      </c>
      <c r="C153" s="348" t="n">
        <v>0</v>
      </c>
      <c r="D153" s="348" t="n">
        <v>0</v>
      </c>
      <c r="E153" s="348" t="n">
        <v>0</v>
      </c>
      <c r="F153" s="348" t="n">
        <v>0</v>
      </c>
      <c r="G153" s="348" t="n">
        <v>0</v>
      </c>
      <c r="H153" s="347" t="n">
        <v>0</v>
      </c>
    </row>
    <row r="154" customFormat="false" ht="15" hidden="false" customHeight="false" outlineLevel="0" collapsed="false">
      <c r="A154" s="256" t="s">
        <v>567</v>
      </c>
      <c r="B154" s="202" t="s">
        <v>575</v>
      </c>
      <c r="C154" s="348" t="n">
        <v>1</v>
      </c>
      <c r="D154" s="348" t="n">
        <v>1</v>
      </c>
      <c r="E154" s="348" t="n">
        <v>1</v>
      </c>
      <c r="F154" s="348" t="n">
        <v>1</v>
      </c>
      <c r="G154" s="348" t="n">
        <v>1</v>
      </c>
      <c r="H154" s="348" t="n">
        <v>1</v>
      </c>
    </row>
    <row r="155" customFormat="false" ht="15" hidden="false" customHeight="false" outlineLevel="0" collapsed="false">
      <c r="A155" s="256"/>
      <c r="B155" s="202" t="s">
        <v>192</v>
      </c>
      <c r="C155" s="348" t="n">
        <v>0</v>
      </c>
      <c r="D155" s="348" t="n">
        <v>0</v>
      </c>
      <c r="E155" s="348" t="n">
        <v>0</v>
      </c>
      <c r="F155" s="348" t="n">
        <v>0</v>
      </c>
      <c r="G155" s="348" t="n">
        <v>0</v>
      </c>
      <c r="H155" s="347" t="n">
        <v>0</v>
      </c>
    </row>
    <row r="156" customFormat="false" ht="15" hidden="false" customHeight="false" outlineLevel="0" collapsed="false">
      <c r="A156" s="256"/>
      <c r="B156" s="202" t="s">
        <v>374</v>
      </c>
      <c r="C156" s="348" t="n">
        <v>0</v>
      </c>
      <c r="D156" s="348" t="n">
        <v>0</v>
      </c>
      <c r="E156" s="348" t="n">
        <v>0</v>
      </c>
      <c r="F156" s="348" t="n">
        <v>0</v>
      </c>
      <c r="G156" s="348" t="n">
        <v>0</v>
      </c>
      <c r="H156" s="347" t="n">
        <v>0</v>
      </c>
    </row>
    <row r="157" customFormat="false" ht="15" hidden="false" customHeight="false" outlineLevel="0" collapsed="false">
      <c r="A157" s="256"/>
      <c r="B157" s="202" t="s">
        <v>576</v>
      </c>
      <c r="C157" s="348" t="n">
        <v>0</v>
      </c>
      <c r="D157" s="348" t="n">
        <v>0</v>
      </c>
      <c r="E157" s="348" t="n">
        <v>0</v>
      </c>
      <c r="F157" s="348" t="n">
        <v>0</v>
      </c>
      <c r="G157" s="348" t="n">
        <v>0</v>
      </c>
      <c r="H157" s="347" t="n">
        <v>0</v>
      </c>
    </row>
    <row r="158" customFormat="false" ht="17.35" hidden="false" customHeight="false" outlineLevel="0" collapsed="false">
      <c r="A158" s="265" t="s">
        <v>578</v>
      </c>
      <c r="B158" s="265"/>
      <c r="C158" s="265"/>
      <c r="D158" s="265"/>
      <c r="E158" s="265"/>
      <c r="F158" s="265"/>
      <c r="G158" s="265"/>
      <c r="H158" s="265"/>
    </row>
    <row r="159" customFormat="false" ht="15" hidden="false" customHeight="false" outlineLevel="0" collapsed="false">
      <c r="A159" s="208" t="s">
        <v>36</v>
      </c>
      <c r="B159" s="202" t="s">
        <v>36</v>
      </c>
      <c r="C159" s="203" t="n">
        <v>2025</v>
      </c>
      <c r="D159" s="203" t="n">
        <v>2030</v>
      </c>
      <c r="E159" s="203" t="n">
        <v>2035</v>
      </c>
      <c r="F159" s="203" t="n">
        <v>2040</v>
      </c>
      <c r="G159" s="203" t="n">
        <v>2045</v>
      </c>
      <c r="H159" s="204" t="n">
        <v>2050</v>
      </c>
    </row>
    <row r="160" customFormat="false" ht="15" hidden="false" customHeight="false" outlineLevel="0" collapsed="false">
      <c r="A160" s="256" t="s">
        <v>565</v>
      </c>
      <c r="B160" s="202" t="s">
        <v>575</v>
      </c>
      <c r="C160" s="259" t="n">
        <v>0.1596</v>
      </c>
      <c r="D160" s="259" t="n">
        <v>0.1277</v>
      </c>
      <c r="E160" s="259" t="n">
        <v>0.0958</v>
      </c>
      <c r="F160" s="259" t="n">
        <v>0.0638</v>
      </c>
      <c r="G160" s="259" t="n">
        <v>0.0319</v>
      </c>
      <c r="H160" s="259" t="n">
        <v>0</v>
      </c>
    </row>
    <row r="161" customFormat="false" ht="15" hidden="false" customHeight="false" outlineLevel="0" collapsed="false">
      <c r="A161" s="256"/>
      <c r="B161" s="202" t="s">
        <v>192</v>
      </c>
      <c r="C161" s="259" t="n">
        <v>0</v>
      </c>
      <c r="D161" s="259" t="n">
        <v>0</v>
      </c>
      <c r="E161" s="259" t="n">
        <v>0</v>
      </c>
      <c r="F161" s="259" t="n">
        <v>0</v>
      </c>
      <c r="G161" s="259" t="n">
        <v>0</v>
      </c>
      <c r="H161" s="259" t="n">
        <v>0</v>
      </c>
    </row>
    <row r="162" customFormat="false" ht="15" hidden="false" customHeight="false" outlineLevel="0" collapsed="false">
      <c r="A162" s="256"/>
      <c r="B162" s="202" t="s">
        <v>374</v>
      </c>
      <c r="C162" s="259" t="n">
        <v>0.8404</v>
      </c>
      <c r="D162" s="259" t="n">
        <v>0.8723</v>
      </c>
      <c r="E162" s="259" t="n">
        <v>0.9042</v>
      </c>
      <c r="F162" s="259" t="n">
        <v>0.9362</v>
      </c>
      <c r="G162" s="259" t="n">
        <v>0.9681</v>
      </c>
      <c r="H162" s="259" t="n">
        <v>1</v>
      </c>
    </row>
    <row r="163" customFormat="false" ht="15" hidden="false" customHeight="false" outlineLevel="0" collapsed="false">
      <c r="A163" s="256"/>
      <c r="B163" s="202" t="s">
        <v>576</v>
      </c>
      <c r="C163" s="259" t="n">
        <v>0</v>
      </c>
      <c r="D163" s="259" t="n">
        <v>0</v>
      </c>
      <c r="E163" s="259" t="n">
        <v>0</v>
      </c>
      <c r="F163" s="259" t="n">
        <v>0</v>
      </c>
      <c r="G163" s="259" t="n">
        <v>0</v>
      </c>
      <c r="H163" s="259" t="n">
        <v>0</v>
      </c>
    </row>
    <row r="164" customFormat="false" ht="15" hidden="false" customHeight="false" outlineLevel="0" collapsed="false">
      <c r="A164" s="256" t="s">
        <v>733</v>
      </c>
      <c r="B164" s="202" t="s">
        <v>575</v>
      </c>
      <c r="C164" s="259" t="n">
        <v>0.8339</v>
      </c>
      <c r="D164" s="259" t="n">
        <v>0.6671</v>
      </c>
      <c r="E164" s="259" t="n">
        <v>0.5003</v>
      </c>
      <c r="F164" s="259" t="n">
        <v>0.3335</v>
      </c>
      <c r="G164" s="259" t="n">
        <v>0.1668</v>
      </c>
      <c r="H164" s="226" t="n">
        <v>0</v>
      </c>
    </row>
    <row r="165" customFormat="false" ht="15" hidden="false" customHeight="false" outlineLevel="0" collapsed="false">
      <c r="A165" s="256"/>
      <c r="B165" s="202" t="s">
        <v>192</v>
      </c>
      <c r="C165" s="259" t="n">
        <v>0.09</v>
      </c>
      <c r="D165" s="259" t="n">
        <v>0.104</v>
      </c>
      <c r="E165" s="259" t="n">
        <v>0.118</v>
      </c>
      <c r="F165" s="259" t="n">
        <v>0.132</v>
      </c>
      <c r="G165" s="259" t="n">
        <v>0.146</v>
      </c>
      <c r="H165" s="226" t="n">
        <v>0.16</v>
      </c>
    </row>
    <row r="166" customFormat="false" ht="15" hidden="false" customHeight="false" outlineLevel="0" collapsed="false">
      <c r="A166" s="256"/>
      <c r="B166" s="202" t="s">
        <v>374</v>
      </c>
      <c r="C166" s="259" t="n">
        <v>0.0761</v>
      </c>
      <c r="D166" s="259" t="n">
        <v>0.2289</v>
      </c>
      <c r="E166" s="259" t="n">
        <v>0.3817</v>
      </c>
      <c r="F166" s="259" t="n">
        <v>0.5345</v>
      </c>
      <c r="G166" s="259" t="n">
        <v>0.6872</v>
      </c>
      <c r="H166" s="226" t="n">
        <v>0.84</v>
      </c>
    </row>
    <row r="167" customFormat="false" ht="15" hidden="false" customHeight="false" outlineLevel="0" collapsed="false">
      <c r="A167" s="256"/>
      <c r="B167" s="202" t="s">
        <v>576</v>
      </c>
      <c r="C167" s="259" t="n">
        <v>0.0071</v>
      </c>
      <c r="D167" s="259" t="n">
        <v>0.005</v>
      </c>
      <c r="E167" s="259" t="n">
        <v>0.005</v>
      </c>
      <c r="F167" s="259" t="n">
        <v>0.005</v>
      </c>
      <c r="G167" s="259" t="n">
        <v>0</v>
      </c>
      <c r="H167" s="226" t="n">
        <v>0</v>
      </c>
    </row>
    <row r="168" customFormat="false" ht="15" hidden="false" customHeight="false" outlineLevel="0" collapsed="false">
      <c r="A168" s="256" t="s">
        <v>566</v>
      </c>
      <c r="B168" s="202" t="s">
        <v>575</v>
      </c>
      <c r="C168" s="259" t="n">
        <v>0.98</v>
      </c>
      <c r="D168" s="259" t="n">
        <v>0.93</v>
      </c>
      <c r="E168" s="259" t="n">
        <v>0.88</v>
      </c>
      <c r="F168" s="259" t="n">
        <v>0.83</v>
      </c>
      <c r="G168" s="259" t="n">
        <v>0.78</v>
      </c>
      <c r="H168" s="226" t="n">
        <v>0.73</v>
      </c>
    </row>
    <row r="169" customFormat="false" ht="15" hidden="false" customHeight="false" outlineLevel="0" collapsed="false">
      <c r="A169" s="256"/>
      <c r="B169" s="202" t="s">
        <v>192</v>
      </c>
      <c r="C169" s="259" t="n">
        <v>0.02</v>
      </c>
      <c r="D169" s="259" t="n">
        <v>0.07</v>
      </c>
      <c r="E169" s="259" t="n">
        <v>0.12</v>
      </c>
      <c r="F169" s="259" t="n">
        <v>0.17</v>
      </c>
      <c r="G169" s="259" t="n">
        <v>0.22</v>
      </c>
      <c r="H169" s="226" t="n">
        <v>0.27</v>
      </c>
    </row>
    <row r="170" customFormat="false" ht="15" hidden="false" customHeight="false" outlineLevel="0" collapsed="false">
      <c r="A170" s="256"/>
      <c r="B170" s="202" t="s">
        <v>374</v>
      </c>
      <c r="C170" s="259" t="n">
        <v>0</v>
      </c>
      <c r="D170" s="259" t="n">
        <v>0</v>
      </c>
      <c r="E170" s="259" t="n">
        <v>0</v>
      </c>
      <c r="F170" s="259" t="n">
        <v>0</v>
      </c>
      <c r="G170" s="259" t="n">
        <v>0</v>
      </c>
      <c r="H170" s="226" t="n">
        <v>0</v>
      </c>
    </row>
    <row r="171" customFormat="false" ht="15" hidden="false" customHeight="false" outlineLevel="0" collapsed="false">
      <c r="A171" s="256"/>
      <c r="B171" s="202" t="s">
        <v>576</v>
      </c>
      <c r="C171" s="259" t="n">
        <v>0</v>
      </c>
      <c r="D171" s="259" t="n">
        <v>0</v>
      </c>
      <c r="E171" s="259" t="n">
        <v>0</v>
      </c>
      <c r="F171" s="259" t="n">
        <v>0</v>
      </c>
      <c r="G171" s="259" t="n">
        <v>0</v>
      </c>
      <c r="H171" s="226" t="n">
        <v>0</v>
      </c>
    </row>
    <row r="172" customFormat="false" ht="15" hidden="false" customHeight="false" outlineLevel="0" collapsed="false">
      <c r="A172" s="256" t="s">
        <v>567</v>
      </c>
      <c r="B172" s="202" t="s">
        <v>575</v>
      </c>
      <c r="C172" s="259" t="n">
        <v>0.994397759103642</v>
      </c>
      <c r="D172" s="259" t="n">
        <v>0.991596638655462</v>
      </c>
      <c r="E172" s="259" t="n">
        <v>0.988795518207283</v>
      </c>
      <c r="F172" s="259" t="n">
        <v>0.985994397759104</v>
      </c>
      <c r="G172" s="259" t="n">
        <v>0.983193277310924</v>
      </c>
      <c r="H172" s="226" t="n">
        <v>0.980392156862745</v>
      </c>
    </row>
    <row r="173" customFormat="false" ht="15" hidden="false" customHeight="false" outlineLevel="0" collapsed="false">
      <c r="A173" s="256"/>
      <c r="B173" s="202" t="s">
        <v>192</v>
      </c>
      <c r="C173" s="259" t="n">
        <v>0</v>
      </c>
      <c r="D173" s="259" t="n">
        <v>0</v>
      </c>
      <c r="E173" s="259" t="n">
        <v>0</v>
      </c>
      <c r="F173" s="259" t="n">
        <v>0</v>
      </c>
      <c r="G173" s="259" t="n">
        <v>0</v>
      </c>
      <c r="H173" s="226" t="n">
        <v>0</v>
      </c>
    </row>
    <row r="174" customFormat="false" ht="15" hidden="false" customHeight="false" outlineLevel="0" collapsed="false">
      <c r="A174" s="256"/>
      <c r="B174" s="202" t="s">
        <v>374</v>
      </c>
      <c r="C174" s="259" t="n">
        <v>0.00560224089635854</v>
      </c>
      <c r="D174" s="259" t="n">
        <v>0.00840336134453782</v>
      </c>
      <c r="E174" s="259" t="n">
        <v>0.0112044817927171</v>
      </c>
      <c r="F174" s="259" t="n">
        <v>0.0140056022408964</v>
      </c>
      <c r="G174" s="259" t="n">
        <v>0.0168067226890756</v>
      </c>
      <c r="H174" s="226" t="n">
        <v>0.0196078431372549</v>
      </c>
    </row>
    <row r="175" customFormat="false" ht="15" hidden="false" customHeight="false" outlineLevel="0" collapsed="false">
      <c r="A175" s="256"/>
      <c r="B175" s="202" t="s">
        <v>576</v>
      </c>
      <c r="C175" s="259" t="n">
        <v>0</v>
      </c>
      <c r="D175" s="259" t="n">
        <v>0</v>
      </c>
      <c r="E175" s="259" t="n">
        <v>0</v>
      </c>
      <c r="F175" s="259" t="n">
        <v>0</v>
      </c>
      <c r="G175" s="259" t="n">
        <v>0</v>
      </c>
      <c r="H175" s="226" t="n">
        <v>0</v>
      </c>
    </row>
    <row r="176" customFormat="false" ht="15" hidden="false" customHeight="false" outlineLevel="0" collapsed="false">
      <c r="A176" s="201" t="s">
        <v>580</v>
      </c>
      <c r="B176" s="202" t="s">
        <v>575</v>
      </c>
      <c r="C176" s="259" t="n">
        <v>0.9122</v>
      </c>
      <c r="D176" s="259" t="n">
        <v>0.7297</v>
      </c>
      <c r="E176" s="259" t="n">
        <v>0.5473</v>
      </c>
      <c r="F176" s="259" t="n">
        <v>0.3649</v>
      </c>
      <c r="G176" s="259" t="n">
        <v>0.1824</v>
      </c>
      <c r="H176" s="226" t="n">
        <v>0</v>
      </c>
    </row>
    <row r="177" customFormat="false" ht="15" hidden="false" customHeight="false" outlineLevel="0" collapsed="false">
      <c r="A177" s="201"/>
      <c r="B177" s="202" t="s">
        <v>192</v>
      </c>
      <c r="C177" s="259" t="n">
        <v>0.0584</v>
      </c>
      <c r="D177" s="259" t="n">
        <v>0.0767</v>
      </c>
      <c r="E177" s="259" t="n">
        <v>0.095</v>
      </c>
      <c r="F177" s="259" t="n">
        <v>0.1134</v>
      </c>
      <c r="G177" s="259" t="n">
        <v>0.1317</v>
      </c>
      <c r="H177" s="226" t="n">
        <v>0.15</v>
      </c>
    </row>
    <row r="178" customFormat="false" ht="15" hidden="false" customHeight="false" outlineLevel="0" collapsed="false">
      <c r="A178" s="201"/>
      <c r="B178" s="202" t="s">
        <v>374</v>
      </c>
      <c r="C178" s="259" t="n">
        <v>0.0294</v>
      </c>
      <c r="D178" s="259" t="n">
        <v>0.1936</v>
      </c>
      <c r="E178" s="259" t="n">
        <v>0.3577</v>
      </c>
      <c r="F178" s="259" t="n">
        <v>0.5217</v>
      </c>
      <c r="G178" s="259" t="n">
        <v>0.6859</v>
      </c>
      <c r="H178" s="226" t="n">
        <v>0.85</v>
      </c>
    </row>
    <row r="179" customFormat="false" ht="15" hidden="false" customHeight="false" outlineLevel="0" collapsed="false">
      <c r="A179" s="201"/>
      <c r="B179" s="205" t="s">
        <v>576</v>
      </c>
      <c r="C179" s="206" t="n">
        <v>0.0056</v>
      </c>
      <c r="D179" s="206" t="n">
        <v>0.005</v>
      </c>
      <c r="E179" s="206" t="n">
        <v>0.005</v>
      </c>
      <c r="F179" s="206" t="n">
        <v>0.005</v>
      </c>
      <c r="G179" s="206" t="n">
        <v>0</v>
      </c>
      <c r="H179" s="207" t="n">
        <v>0</v>
      </c>
    </row>
    <row r="180" s="266" customFormat="true" ht="15" hidden="false" customHeight="false" outlineLevel="0" collapsed="false"/>
    <row r="181" s="266" customFormat="true" ht="17.35" hidden="false" customHeight="false" outlineLevel="0" collapsed="false">
      <c r="A181" s="265" t="s">
        <v>581</v>
      </c>
      <c r="B181" s="265"/>
      <c r="C181" s="265"/>
      <c r="D181" s="265"/>
      <c r="E181" s="265"/>
      <c r="F181" s="265"/>
      <c r="G181" s="265"/>
      <c r="H181" s="265"/>
    </row>
    <row r="182" customFormat="false" ht="15" hidden="false" customHeight="false" outlineLevel="0" collapsed="false">
      <c r="A182" s="208" t="s">
        <v>36</v>
      </c>
      <c r="B182" s="202" t="s">
        <v>36</v>
      </c>
      <c r="C182" s="203" t="n">
        <v>2025</v>
      </c>
      <c r="D182" s="203" t="n">
        <v>2030</v>
      </c>
      <c r="E182" s="203" t="n">
        <v>2035</v>
      </c>
      <c r="F182" s="203" t="n">
        <v>2040</v>
      </c>
      <c r="G182" s="203" t="n">
        <v>2045</v>
      </c>
      <c r="H182" s="204" t="n">
        <v>2050</v>
      </c>
    </row>
    <row r="183" s="266" customFormat="true" ht="15" hidden="false" customHeight="false" outlineLevel="0" collapsed="false">
      <c r="A183" s="267" t="s">
        <v>582</v>
      </c>
      <c r="B183" s="202" t="s">
        <v>583</v>
      </c>
      <c r="C183" s="259" t="n">
        <v>0</v>
      </c>
      <c r="D183" s="259" t="n">
        <v>0</v>
      </c>
      <c r="E183" s="259" t="n">
        <v>0</v>
      </c>
      <c r="F183" s="259" t="n">
        <v>0</v>
      </c>
      <c r="G183" s="259" t="n">
        <v>0</v>
      </c>
      <c r="H183" s="259" t="n">
        <v>0</v>
      </c>
    </row>
    <row r="184" s="266" customFormat="true" ht="15" hidden="false" customHeight="false" outlineLevel="0" collapsed="false">
      <c r="A184" s="267"/>
      <c r="B184" s="202" t="s">
        <v>584</v>
      </c>
      <c r="C184" s="259" t="n">
        <v>0.35</v>
      </c>
      <c r="D184" s="259" t="n">
        <v>0.45</v>
      </c>
      <c r="E184" s="259" t="n">
        <v>0.5</v>
      </c>
      <c r="F184" s="259" t="n">
        <v>0.55</v>
      </c>
      <c r="G184" s="259" t="n">
        <v>0.58</v>
      </c>
      <c r="H184" s="259" t="n">
        <v>0.6</v>
      </c>
    </row>
    <row r="185" s="266" customFormat="true" ht="15" hidden="false" customHeight="false" outlineLevel="0" collapsed="false">
      <c r="A185" s="267"/>
      <c r="B185" s="202" t="s">
        <v>585</v>
      </c>
      <c r="C185" s="259" t="n">
        <v>0.15</v>
      </c>
      <c r="D185" s="259" t="n">
        <v>0.05</v>
      </c>
      <c r="E185" s="259" t="n">
        <v>0</v>
      </c>
      <c r="F185" s="259" t="n">
        <v>0</v>
      </c>
      <c r="G185" s="259" t="n">
        <v>0</v>
      </c>
      <c r="H185" s="259" t="n">
        <v>0</v>
      </c>
    </row>
    <row r="186" s="266" customFormat="true" ht="15" hidden="false" customHeight="false" outlineLevel="0" collapsed="false">
      <c r="A186" s="267"/>
      <c r="B186" s="202" t="s">
        <v>586</v>
      </c>
      <c r="C186" s="259" t="n">
        <v>0.4</v>
      </c>
      <c r="D186" s="259" t="n">
        <v>0.45</v>
      </c>
      <c r="E186" s="259" t="n">
        <v>0.45</v>
      </c>
      <c r="F186" s="259" t="n">
        <v>0.4</v>
      </c>
      <c r="G186" s="259" t="n">
        <v>0.37</v>
      </c>
      <c r="H186" s="259" t="n">
        <v>0.35</v>
      </c>
    </row>
    <row r="187" s="266" customFormat="true" ht="15" hidden="false" customHeight="false" outlineLevel="0" collapsed="false">
      <c r="A187" s="267"/>
      <c r="B187" s="202" t="s">
        <v>587</v>
      </c>
      <c r="C187" s="259" t="n">
        <v>0.1</v>
      </c>
      <c r="D187" s="259" t="n">
        <v>0.05</v>
      </c>
      <c r="E187" s="259" t="n">
        <v>0.05</v>
      </c>
      <c r="F187" s="259" t="n">
        <v>0.05</v>
      </c>
      <c r="G187" s="259" t="n">
        <v>0.05</v>
      </c>
      <c r="H187" s="259" t="n">
        <v>0.05</v>
      </c>
    </row>
    <row r="188" s="266" customFormat="true" ht="15" hidden="false" customHeight="false" outlineLevel="0" collapsed="false">
      <c r="A188" s="267" t="s">
        <v>579</v>
      </c>
      <c r="B188" s="202" t="s">
        <v>583</v>
      </c>
      <c r="C188" s="259" t="n">
        <v>0</v>
      </c>
      <c r="D188" s="259" t="n">
        <v>0</v>
      </c>
      <c r="E188" s="259" t="n">
        <v>0</v>
      </c>
      <c r="F188" s="259" t="n">
        <v>0</v>
      </c>
      <c r="G188" s="259" t="n">
        <v>0</v>
      </c>
      <c r="H188" s="259" t="n">
        <v>0</v>
      </c>
    </row>
    <row r="189" s="266" customFormat="true" ht="15" hidden="false" customHeight="false" outlineLevel="0" collapsed="false">
      <c r="A189" s="267"/>
      <c r="B189" s="202" t="s">
        <v>584</v>
      </c>
      <c r="C189" s="259" t="n">
        <v>0.65</v>
      </c>
      <c r="D189" s="259" t="n">
        <v>0.85</v>
      </c>
      <c r="E189" s="259" t="n">
        <v>0.95</v>
      </c>
      <c r="F189" s="259" t="n">
        <v>0.95</v>
      </c>
      <c r="G189" s="259" t="n">
        <v>0.95</v>
      </c>
      <c r="H189" s="259" t="n">
        <v>0.95</v>
      </c>
    </row>
    <row r="190" s="266" customFormat="true" ht="15" hidden="false" customHeight="false" outlineLevel="0" collapsed="false">
      <c r="A190" s="267"/>
      <c r="B190" s="202" t="s">
        <v>585</v>
      </c>
      <c r="C190" s="259" t="n">
        <v>0.25</v>
      </c>
      <c r="D190" s="259" t="n">
        <v>0.15</v>
      </c>
      <c r="E190" s="259" t="n">
        <v>0.05</v>
      </c>
      <c r="F190" s="259" t="n">
        <v>0.05</v>
      </c>
      <c r="G190" s="259" t="n">
        <v>0.05</v>
      </c>
      <c r="H190" s="259" t="n">
        <v>0.05</v>
      </c>
    </row>
    <row r="191" s="266" customFormat="true" ht="15" hidden="false" customHeight="false" outlineLevel="0" collapsed="false">
      <c r="A191" s="267"/>
      <c r="B191" s="202" t="s">
        <v>586</v>
      </c>
      <c r="C191" s="259" t="n">
        <v>0.1</v>
      </c>
      <c r="D191" s="259" t="n">
        <v>0</v>
      </c>
      <c r="E191" s="259" t="n">
        <v>0</v>
      </c>
      <c r="F191" s="259" t="n">
        <v>0</v>
      </c>
      <c r="G191" s="259" t="n">
        <v>0</v>
      </c>
      <c r="H191" s="259" t="n">
        <v>0</v>
      </c>
    </row>
    <row r="192" s="266" customFormat="true" ht="15" hidden="false" customHeight="false" outlineLevel="0" collapsed="false">
      <c r="A192" s="267"/>
      <c r="B192" s="202" t="s">
        <v>587</v>
      </c>
      <c r="C192" s="259" t="n">
        <v>0</v>
      </c>
      <c r="D192" s="259" t="n">
        <v>0</v>
      </c>
      <c r="E192" s="259" t="n">
        <v>0</v>
      </c>
      <c r="F192" s="259" t="n">
        <v>0</v>
      </c>
      <c r="G192" s="259" t="n">
        <v>0</v>
      </c>
      <c r="H192" s="259" t="n">
        <v>0</v>
      </c>
    </row>
    <row r="193" s="266" customFormat="true" ht="15" hidden="false" customHeight="false" outlineLevel="0" collapsed="false">
      <c r="A193" s="267" t="s">
        <v>588</v>
      </c>
      <c r="B193" s="202" t="s">
        <v>583</v>
      </c>
      <c r="C193" s="259" t="n">
        <v>0</v>
      </c>
      <c r="D193" s="259" t="n">
        <v>0</v>
      </c>
      <c r="E193" s="259" t="n">
        <v>0</v>
      </c>
      <c r="F193" s="259" t="n">
        <v>0</v>
      </c>
      <c r="G193" s="259" t="n">
        <v>0</v>
      </c>
      <c r="H193" s="259" t="n">
        <v>0</v>
      </c>
    </row>
    <row r="194" s="266" customFormat="true" ht="15" hidden="false" customHeight="false" outlineLevel="0" collapsed="false">
      <c r="A194" s="267"/>
      <c r="B194" s="202" t="s">
        <v>584</v>
      </c>
      <c r="C194" s="259" t="n">
        <v>0.2</v>
      </c>
      <c r="D194" s="259" t="n">
        <v>0.35</v>
      </c>
      <c r="E194" s="259" t="n">
        <v>0.45</v>
      </c>
      <c r="F194" s="259" t="n">
        <v>0.5</v>
      </c>
      <c r="G194" s="259" t="n">
        <v>0.52</v>
      </c>
      <c r="H194" s="259" t="n">
        <v>0.55</v>
      </c>
    </row>
    <row r="195" s="266" customFormat="true" ht="15" hidden="false" customHeight="false" outlineLevel="0" collapsed="false">
      <c r="A195" s="267"/>
      <c r="B195" s="202" t="s">
        <v>585</v>
      </c>
      <c r="C195" s="259" t="n">
        <v>0.65</v>
      </c>
      <c r="D195" s="259" t="n">
        <v>0.65</v>
      </c>
      <c r="E195" s="259" t="n">
        <v>0.55</v>
      </c>
      <c r="F195" s="259" t="n">
        <v>0.5</v>
      </c>
      <c r="G195" s="259" t="n">
        <v>0.48</v>
      </c>
      <c r="H195" s="259" t="n">
        <v>0.45</v>
      </c>
    </row>
    <row r="196" s="266" customFormat="true" ht="15" hidden="false" customHeight="false" outlineLevel="0" collapsed="false">
      <c r="A196" s="267"/>
      <c r="B196" s="202" t="s">
        <v>586</v>
      </c>
      <c r="C196" s="259" t="n">
        <v>0.15</v>
      </c>
      <c r="D196" s="259" t="n">
        <v>0</v>
      </c>
      <c r="E196" s="259" t="n">
        <v>0</v>
      </c>
      <c r="F196" s="259" t="n">
        <v>0</v>
      </c>
      <c r="G196" s="259" t="n">
        <v>0</v>
      </c>
      <c r="H196" s="259" t="n">
        <v>0</v>
      </c>
    </row>
    <row r="197" s="266" customFormat="true" ht="15" hidden="false" customHeight="false" outlineLevel="0" collapsed="false">
      <c r="A197" s="267"/>
      <c r="B197" s="202" t="s">
        <v>587</v>
      </c>
      <c r="C197" s="259" t="n">
        <v>0</v>
      </c>
      <c r="D197" s="259" t="n">
        <v>0</v>
      </c>
      <c r="E197" s="259" t="n">
        <v>0</v>
      </c>
      <c r="F197" s="259" t="n">
        <v>0</v>
      </c>
      <c r="G197" s="259" t="n">
        <v>0</v>
      </c>
      <c r="H197" s="259" t="n">
        <v>0</v>
      </c>
    </row>
    <row r="198" s="266" customFormat="true" ht="15" hidden="false" customHeight="false" outlineLevel="0" collapsed="false">
      <c r="A198" s="267" t="s">
        <v>589</v>
      </c>
      <c r="B198" s="202" t="s">
        <v>583</v>
      </c>
      <c r="C198" s="259" t="n">
        <v>0</v>
      </c>
      <c r="D198" s="259" t="n">
        <v>0</v>
      </c>
      <c r="E198" s="259" t="n">
        <v>0</v>
      </c>
      <c r="F198" s="259" t="n">
        <v>0</v>
      </c>
      <c r="G198" s="259" t="n">
        <v>0</v>
      </c>
      <c r="H198" s="259" t="n">
        <v>0</v>
      </c>
    </row>
    <row r="199" s="266" customFormat="true" ht="15" hidden="false" customHeight="false" outlineLevel="0" collapsed="false">
      <c r="A199" s="267"/>
      <c r="B199" s="202" t="s">
        <v>584</v>
      </c>
      <c r="C199" s="259" t="n">
        <v>0.15</v>
      </c>
      <c r="D199" s="259" t="n">
        <v>0.25</v>
      </c>
      <c r="E199" s="259" t="n">
        <v>0.3</v>
      </c>
      <c r="F199" s="259" t="n">
        <v>0.35</v>
      </c>
      <c r="G199" s="259" t="n">
        <v>0.38</v>
      </c>
      <c r="H199" s="259" t="n">
        <v>0.4</v>
      </c>
    </row>
    <row r="200" s="266" customFormat="true" ht="15" hidden="false" customHeight="false" outlineLevel="0" collapsed="false">
      <c r="A200" s="267"/>
      <c r="B200" s="202" t="s">
        <v>585</v>
      </c>
      <c r="C200" s="259" t="n">
        <v>0.7</v>
      </c>
      <c r="D200" s="259" t="n">
        <v>0.75</v>
      </c>
      <c r="E200" s="259" t="n">
        <v>0.7</v>
      </c>
      <c r="F200" s="259" t="n">
        <v>0.65</v>
      </c>
      <c r="G200" s="259" t="n">
        <v>0.62</v>
      </c>
      <c r="H200" s="259" t="n">
        <v>0.6</v>
      </c>
    </row>
    <row r="201" s="266" customFormat="true" ht="15" hidden="false" customHeight="false" outlineLevel="0" collapsed="false">
      <c r="A201" s="267"/>
      <c r="B201" s="202" t="s">
        <v>586</v>
      </c>
      <c r="C201" s="259" t="n">
        <v>0.15</v>
      </c>
      <c r="D201" s="259" t="n">
        <v>0</v>
      </c>
      <c r="E201" s="259" t="n">
        <v>0</v>
      </c>
      <c r="F201" s="259" t="n">
        <v>0</v>
      </c>
      <c r="G201" s="259" t="n">
        <v>0</v>
      </c>
      <c r="H201" s="259" t="n">
        <v>0</v>
      </c>
    </row>
    <row r="202" s="266" customFormat="true" ht="15" hidden="false" customHeight="false" outlineLevel="0" collapsed="false">
      <c r="A202" s="267"/>
      <c r="B202" s="202" t="s">
        <v>587</v>
      </c>
      <c r="C202" s="259" t="n">
        <v>0</v>
      </c>
      <c r="D202" s="259" t="n">
        <v>0</v>
      </c>
      <c r="E202" s="259" t="n">
        <v>0</v>
      </c>
      <c r="F202" s="259" t="n">
        <v>0</v>
      </c>
      <c r="G202" s="259" t="n">
        <v>0</v>
      </c>
      <c r="H202" s="259" t="n">
        <v>0</v>
      </c>
    </row>
    <row r="203" customFormat="false" ht="15" hidden="false" customHeight="true" outlineLevel="0" collapsed="false"/>
    <row r="204" customFormat="false" ht="21.75" hidden="false" customHeight="true" outlineLevel="0" collapsed="false">
      <c r="A204" s="199" t="s">
        <v>590</v>
      </c>
    </row>
    <row r="205" customFormat="false" ht="17.35" hidden="false" customHeight="false" outlineLevel="0" collapsed="false">
      <c r="A205" s="200" t="s">
        <v>317</v>
      </c>
      <c r="B205" s="200"/>
      <c r="C205" s="200"/>
      <c r="D205" s="200"/>
      <c r="E205" s="200"/>
    </row>
    <row r="206" customFormat="false" ht="85.5" hidden="false" customHeight="true" outlineLevel="0" collapsed="false">
      <c r="A206" s="268" t="s">
        <v>318</v>
      </c>
      <c r="B206" s="268"/>
      <c r="C206" s="268"/>
      <c r="D206" s="268"/>
      <c r="E206" s="268"/>
    </row>
    <row r="207" s="78" customFormat="true" ht="15" hidden="false" customHeight="true" outlineLevel="0" collapsed="false">
      <c r="G207" s="78" t="s">
        <v>591</v>
      </c>
      <c r="H207" s="78" t="n">
        <v>2025</v>
      </c>
      <c r="I207" s="78" t="n">
        <v>2030</v>
      </c>
      <c r="J207" s="78" t="n">
        <v>2035</v>
      </c>
      <c r="K207" s="78" t="n">
        <v>2040</v>
      </c>
      <c r="L207" s="78" t="n">
        <v>2045</v>
      </c>
      <c r="M207" s="78" t="n">
        <v>2050</v>
      </c>
    </row>
    <row r="208" customFormat="false" ht="13.5" hidden="false" customHeight="true" outlineLevel="0" collapsed="false">
      <c r="A208" s="269" t="s">
        <v>319</v>
      </c>
      <c r="B208" s="270" t="s">
        <v>320</v>
      </c>
      <c r="C208" s="271" t="n">
        <v>3</v>
      </c>
      <c r="D208" s="78"/>
      <c r="F208" s="78"/>
      <c r="G208" s="78" t="s">
        <v>592</v>
      </c>
      <c r="H208" s="78" t="n">
        <v>0.11765198</v>
      </c>
      <c r="I208" s="78" t="n">
        <v>0.09412158</v>
      </c>
      <c r="J208" s="78" t="n">
        <v>0.07059119</v>
      </c>
      <c r="K208" s="149" t="n">
        <v>0.04706079</v>
      </c>
      <c r="L208" s="149" t="n">
        <v>0.02353039</v>
      </c>
      <c r="M208" s="78" t="n">
        <v>0</v>
      </c>
      <c r="N208" s="78"/>
    </row>
    <row r="209" customFormat="false" ht="15.75" hidden="false" customHeight="false" outlineLevel="0" collapsed="false">
      <c r="A209" s="269"/>
      <c r="B209" s="202" t="s">
        <v>321</v>
      </c>
      <c r="C209" s="271"/>
      <c r="D209" s="151"/>
      <c r="E209" s="151"/>
      <c r="F209" s="151"/>
      <c r="G209" s="151" t="s">
        <v>593</v>
      </c>
      <c r="H209" s="151" t="n">
        <v>0</v>
      </c>
      <c r="I209" s="151" t="n">
        <v>0</v>
      </c>
      <c r="J209" s="151" t="n">
        <v>0</v>
      </c>
      <c r="K209" s="151" t="n">
        <v>0</v>
      </c>
      <c r="L209" s="151" t="n">
        <v>0</v>
      </c>
      <c r="M209" s="151" t="n">
        <v>0</v>
      </c>
      <c r="N209" s="151"/>
    </row>
    <row r="210" customFormat="false" ht="28.5" hidden="false" customHeight="true" outlineLevel="0" collapsed="false">
      <c r="A210" s="269"/>
      <c r="B210" s="205" t="s">
        <v>322</v>
      </c>
      <c r="C210" s="271"/>
      <c r="D210" s="78"/>
      <c r="E210" s="78"/>
      <c r="F210" s="78"/>
      <c r="G210" s="78" t="s">
        <v>594</v>
      </c>
      <c r="H210" s="78" t="n">
        <v>0.88234802</v>
      </c>
      <c r="I210" s="78" t="n">
        <v>0.90587842</v>
      </c>
      <c r="J210" s="78" t="n">
        <v>0.92940881</v>
      </c>
      <c r="K210" s="78" t="n">
        <v>0.95293921</v>
      </c>
      <c r="L210" s="78" t="n">
        <v>0.97646961</v>
      </c>
      <c r="M210" s="78" t="n">
        <v>1</v>
      </c>
      <c r="N210" s="78"/>
    </row>
    <row r="211" customFormat="false" ht="15" hidden="false" customHeight="false" outlineLevel="0" collapsed="false">
      <c r="G211" s="1" t="s">
        <v>595</v>
      </c>
      <c r="H211" s="1" t="n">
        <v>0</v>
      </c>
      <c r="I211" s="1" t="n">
        <v>0</v>
      </c>
      <c r="J211" s="1" t="n">
        <v>0</v>
      </c>
      <c r="K211" s="1" t="n">
        <v>0</v>
      </c>
      <c r="L211" s="1" t="n">
        <v>0</v>
      </c>
      <c r="M211" s="1" t="n">
        <v>0</v>
      </c>
    </row>
    <row r="212" customFormat="false" ht="15.75" hidden="false" customHeight="true" outlineLevel="0" collapsed="false">
      <c r="A212" s="200" t="s">
        <v>323</v>
      </c>
      <c r="B212" s="200"/>
      <c r="C212" s="200"/>
    </row>
    <row r="213" customFormat="false" ht="15" hidden="false" customHeight="false" outlineLevel="0" collapsed="false">
      <c r="A213" s="208" t="s">
        <v>324</v>
      </c>
      <c r="B213" s="202" t="s">
        <v>28</v>
      </c>
      <c r="C213" s="204" t="n">
        <v>0.3</v>
      </c>
    </row>
    <row r="214" customFormat="false" ht="30.75" hidden="false" customHeight="false" outlineLevel="0" collapsed="false">
      <c r="A214" s="272" t="s">
        <v>326</v>
      </c>
      <c r="B214" s="205" t="s">
        <v>327</v>
      </c>
      <c r="C214" s="248" t="n">
        <v>0.031</v>
      </c>
    </row>
    <row r="215" customFormat="false" ht="15.75" hidden="false" customHeight="true" outlineLevel="0" collapsed="false">
      <c r="A215" s="239" t="s">
        <v>596</v>
      </c>
      <c r="B215" s="239"/>
      <c r="C215" s="273" t="s">
        <v>580</v>
      </c>
      <c r="D215" s="273" t="s">
        <v>597</v>
      </c>
      <c r="E215" s="273" t="s">
        <v>598</v>
      </c>
      <c r="F215" s="273" t="s">
        <v>599</v>
      </c>
      <c r="G215" s="273" t="s">
        <v>600</v>
      </c>
      <c r="H215" s="273" t="s">
        <v>601</v>
      </c>
      <c r="I215" s="273" t="s">
        <v>602</v>
      </c>
      <c r="J215" s="273" t="s">
        <v>603</v>
      </c>
      <c r="K215" s="273" t="s">
        <v>354</v>
      </c>
      <c r="L215" s="273" t="s">
        <v>369</v>
      </c>
      <c r="M215" s="273" t="s">
        <v>604</v>
      </c>
      <c r="N215" s="273" t="s">
        <v>605</v>
      </c>
      <c r="O215" s="273" t="s">
        <v>606</v>
      </c>
      <c r="P215" s="273" t="s">
        <v>607</v>
      </c>
      <c r="Q215" s="274" t="s">
        <v>608</v>
      </c>
      <c r="R215" s="274" t="s">
        <v>609</v>
      </c>
      <c r="S215" s="274" t="s">
        <v>610</v>
      </c>
      <c r="T215" s="274" t="s">
        <v>611</v>
      </c>
      <c r="U215" s="274" t="s">
        <v>612</v>
      </c>
      <c r="V215" s="274" t="s">
        <v>613</v>
      </c>
      <c r="W215" s="274" t="s">
        <v>614</v>
      </c>
      <c r="X215" s="274" t="s">
        <v>615</v>
      </c>
      <c r="Y215" s="274" t="s">
        <v>616</v>
      </c>
      <c r="Z215" s="274" t="s">
        <v>617</v>
      </c>
      <c r="AA215" s="274" t="s">
        <v>618</v>
      </c>
      <c r="AB215" s="274" t="s">
        <v>619</v>
      </c>
      <c r="AC215" s="274" t="s">
        <v>620</v>
      </c>
      <c r="AD215" s="274" t="s">
        <v>621</v>
      </c>
      <c r="AE215" s="1" t="s">
        <v>622</v>
      </c>
      <c r="AF215" s="1" t="s">
        <v>623</v>
      </c>
      <c r="AG215" s="1" t="s">
        <v>624</v>
      </c>
      <c r="AH215" s="1" t="s">
        <v>625</v>
      </c>
      <c r="AI215" s="1" t="s">
        <v>626</v>
      </c>
      <c r="AJ215" s="1" t="s">
        <v>627</v>
      </c>
      <c r="AK215" s="1" t="s">
        <v>628</v>
      </c>
      <c r="AL215" s="1" t="s">
        <v>629</v>
      </c>
      <c r="AM215" s="1" t="s">
        <v>630</v>
      </c>
      <c r="AN215" s="1" t="s">
        <v>631</v>
      </c>
      <c r="AO215" s="1" t="s">
        <v>632</v>
      </c>
      <c r="AP215" s="1" t="s">
        <v>633</v>
      </c>
      <c r="AQ215" s="1" t="s">
        <v>634</v>
      </c>
      <c r="AR215" s="1" t="s">
        <v>635</v>
      </c>
      <c r="AS215" s="1" t="s">
        <v>636</v>
      </c>
      <c r="AT215" s="1" t="s">
        <v>637</v>
      </c>
      <c r="AU215" s="1" t="s">
        <v>638</v>
      </c>
      <c r="AV215" s="1" t="s">
        <v>639</v>
      </c>
      <c r="AW215" s="1" t="s">
        <v>640</v>
      </c>
      <c r="AX215" s="1" t="s">
        <v>641</v>
      </c>
      <c r="AY215" s="1" t="s">
        <v>642</v>
      </c>
      <c r="AZ215" s="1" t="s">
        <v>643</v>
      </c>
    </row>
    <row r="216" customFormat="false" ht="15" hidden="false" customHeight="false" outlineLevel="0" collapsed="false">
      <c r="A216" s="275" t="s">
        <v>374</v>
      </c>
      <c r="B216" s="275"/>
      <c r="C216" s="276" t="n">
        <v>2030</v>
      </c>
      <c r="D216" s="276" t="n">
        <v>2030</v>
      </c>
      <c r="E216" s="276" t="n">
        <v>2030</v>
      </c>
      <c r="F216" s="276" t="n">
        <v>2030</v>
      </c>
      <c r="G216" s="276" t="n">
        <v>2030</v>
      </c>
      <c r="H216" s="276" t="n">
        <v>2030</v>
      </c>
      <c r="I216" s="276" t="n">
        <v>2030</v>
      </c>
      <c r="J216" s="276" t="n">
        <v>2030</v>
      </c>
      <c r="K216" s="276" t="n">
        <v>2030</v>
      </c>
      <c r="L216" s="276" t="n">
        <v>2030</v>
      </c>
      <c r="M216" s="276" t="n">
        <v>2030</v>
      </c>
      <c r="N216" s="276" t="n">
        <v>2030</v>
      </c>
      <c r="O216" s="276" t="n">
        <v>2030</v>
      </c>
      <c r="P216" s="276" t="n">
        <v>2030</v>
      </c>
      <c r="Q216" s="277" t="n">
        <v>2030</v>
      </c>
      <c r="R216" s="277" t="n">
        <v>2030</v>
      </c>
      <c r="S216" s="277" t="n">
        <v>2030</v>
      </c>
      <c r="T216" s="277" t="n">
        <v>2030</v>
      </c>
      <c r="U216" s="277" t="n">
        <v>2030</v>
      </c>
      <c r="V216" s="277" t="n">
        <v>2030</v>
      </c>
      <c r="W216" s="277" t="n">
        <v>2030</v>
      </c>
      <c r="X216" s="277" t="n">
        <v>2030</v>
      </c>
      <c r="Y216" s="277" t="n">
        <v>2030</v>
      </c>
      <c r="Z216" s="277" t="n">
        <v>2030</v>
      </c>
      <c r="AA216" s="277" t="n">
        <v>2030</v>
      </c>
      <c r="AB216" s="277" t="n">
        <v>2030</v>
      </c>
      <c r="AC216" s="277" t="n">
        <v>2030</v>
      </c>
      <c r="AD216" s="277" t="n">
        <v>2030</v>
      </c>
      <c r="AE216" s="277" t="n">
        <v>2030</v>
      </c>
      <c r="AF216" s="277" t="n">
        <v>2030</v>
      </c>
      <c r="AG216" s="277" t="n">
        <v>2030</v>
      </c>
      <c r="AH216" s="277" t="n">
        <v>2030</v>
      </c>
      <c r="AI216" s="277" t="n">
        <v>2030</v>
      </c>
      <c r="AJ216" s="277" t="n">
        <v>2030</v>
      </c>
      <c r="AK216" s="277" t="n">
        <v>2030</v>
      </c>
      <c r="AL216" s="277" t="n">
        <v>2030</v>
      </c>
      <c r="AM216" s="277" t="n">
        <v>2030</v>
      </c>
      <c r="AN216" s="277" t="n">
        <v>2030</v>
      </c>
      <c r="AO216" s="277" t="n">
        <v>2030</v>
      </c>
      <c r="AP216" s="277" t="n">
        <v>2030</v>
      </c>
      <c r="AQ216" s="277" t="n">
        <v>2030</v>
      </c>
      <c r="AR216" s="277" t="n">
        <v>2030</v>
      </c>
      <c r="AS216" s="277" t="n">
        <v>2030</v>
      </c>
      <c r="AT216" s="277" t="n">
        <v>2030</v>
      </c>
      <c r="AU216" s="277" t="n">
        <v>2030</v>
      </c>
      <c r="AV216" s="277" t="n">
        <v>2030</v>
      </c>
      <c r="AW216" s="277" t="n">
        <v>2030</v>
      </c>
      <c r="AX216" s="277" t="n">
        <v>2030</v>
      </c>
      <c r="AY216" s="277" t="n">
        <v>2030</v>
      </c>
      <c r="AZ216" s="277" t="n">
        <v>2030</v>
      </c>
    </row>
    <row r="217" customFormat="false" ht="15" hidden="false" customHeight="false" outlineLevel="0" collapsed="false">
      <c r="A217" s="275" t="s">
        <v>375</v>
      </c>
      <c r="B217" s="275"/>
      <c r="C217" s="276" t="n">
        <v>2030</v>
      </c>
      <c r="D217" s="276" t="n">
        <v>2030</v>
      </c>
      <c r="E217" s="276" t="n">
        <v>2030</v>
      </c>
      <c r="F217" s="276" t="n">
        <v>2030</v>
      </c>
      <c r="G217" s="276" t="n">
        <v>2030</v>
      </c>
      <c r="H217" s="276" t="n">
        <v>2030</v>
      </c>
      <c r="I217" s="276" t="n">
        <v>2030</v>
      </c>
      <c r="J217" s="276" t="n">
        <v>2030</v>
      </c>
      <c r="K217" s="276" t="n">
        <v>2030</v>
      </c>
      <c r="L217" s="276" t="n">
        <v>2030</v>
      </c>
      <c r="M217" s="276" t="n">
        <v>2030</v>
      </c>
      <c r="N217" s="276" t="n">
        <v>2030</v>
      </c>
      <c r="O217" s="276" t="n">
        <v>2030</v>
      </c>
      <c r="P217" s="276" t="n">
        <v>2030</v>
      </c>
      <c r="Q217" s="277" t="n">
        <v>2030</v>
      </c>
      <c r="R217" s="277" t="n">
        <v>2030</v>
      </c>
      <c r="S217" s="277" t="n">
        <v>2030</v>
      </c>
      <c r="T217" s="277" t="n">
        <v>2030</v>
      </c>
      <c r="U217" s="277" t="n">
        <v>2030</v>
      </c>
      <c r="V217" s="277" t="n">
        <v>2030</v>
      </c>
      <c r="W217" s="277" t="n">
        <v>2030</v>
      </c>
      <c r="X217" s="277" t="n">
        <v>2030</v>
      </c>
      <c r="Y217" s="277" t="n">
        <v>2030</v>
      </c>
      <c r="Z217" s="277" t="n">
        <v>2030</v>
      </c>
      <c r="AA217" s="277" t="n">
        <v>2030</v>
      </c>
      <c r="AB217" s="277" t="n">
        <v>2030</v>
      </c>
      <c r="AC217" s="277" t="n">
        <v>2030</v>
      </c>
      <c r="AD217" s="277" t="n">
        <v>2030</v>
      </c>
      <c r="AE217" s="277" t="n">
        <v>2030</v>
      </c>
      <c r="AF217" s="277" t="n">
        <v>2030</v>
      </c>
      <c r="AG217" s="277" t="n">
        <v>2030</v>
      </c>
      <c r="AH217" s="277" t="n">
        <v>2030</v>
      </c>
      <c r="AI217" s="277" t="n">
        <v>2030</v>
      </c>
      <c r="AJ217" s="277" t="n">
        <v>2030</v>
      </c>
      <c r="AK217" s="277" t="n">
        <v>2030</v>
      </c>
      <c r="AL217" s="277" t="n">
        <v>2030</v>
      </c>
      <c r="AM217" s="277" t="n">
        <v>2030</v>
      </c>
      <c r="AN217" s="277" t="n">
        <v>2030</v>
      </c>
      <c r="AO217" s="277" t="n">
        <v>2030</v>
      </c>
      <c r="AP217" s="277" t="n">
        <v>2030</v>
      </c>
      <c r="AQ217" s="277" t="n">
        <v>2030</v>
      </c>
      <c r="AR217" s="277" t="n">
        <v>2030</v>
      </c>
      <c r="AS217" s="277" t="n">
        <v>2030</v>
      </c>
      <c r="AT217" s="277" t="n">
        <v>2030</v>
      </c>
      <c r="AU217" s="277" t="n">
        <v>2030</v>
      </c>
      <c r="AV217" s="277" t="n">
        <v>2030</v>
      </c>
      <c r="AW217" s="277" t="n">
        <v>2030</v>
      </c>
      <c r="AX217" s="277" t="n">
        <v>2030</v>
      </c>
      <c r="AY217" s="277" t="n">
        <v>2030</v>
      </c>
      <c r="AZ217" s="277" t="n">
        <v>2030</v>
      </c>
    </row>
    <row r="218" customFormat="false" ht="15" hidden="false" customHeight="false" outlineLevel="0" collapsed="false">
      <c r="A218" s="275" t="s">
        <v>376</v>
      </c>
      <c r="B218" s="275"/>
      <c r="C218" s="276" t="n">
        <v>2030</v>
      </c>
      <c r="D218" s="276" t="n">
        <v>2030</v>
      </c>
      <c r="E218" s="276" t="n">
        <v>2030</v>
      </c>
      <c r="F218" s="276" t="n">
        <v>2030</v>
      </c>
      <c r="G218" s="276" t="n">
        <v>2030</v>
      </c>
      <c r="H218" s="276" t="n">
        <v>2030</v>
      </c>
      <c r="I218" s="276" t="n">
        <v>2030</v>
      </c>
      <c r="J218" s="276" t="n">
        <v>2030</v>
      </c>
      <c r="K218" s="276" t="n">
        <v>2030</v>
      </c>
      <c r="L218" s="276" t="n">
        <v>2030</v>
      </c>
      <c r="M218" s="276" t="n">
        <v>2030</v>
      </c>
      <c r="N218" s="276" t="n">
        <v>2030</v>
      </c>
      <c r="O218" s="276" t="n">
        <v>2030</v>
      </c>
      <c r="P218" s="276" t="n">
        <v>2030</v>
      </c>
      <c r="Q218" s="277" t="n">
        <v>2030</v>
      </c>
      <c r="R218" s="277" t="n">
        <v>2030</v>
      </c>
      <c r="S218" s="277" t="n">
        <v>2030</v>
      </c>
      <c r="T218" s="277" t="n">
        <v>2030</v>
      </c>
      <c r="U218" s="277" t="n">
        <v>2030</v>
      </c>
      <c r="V218" s="277" t="n">
        <v>2030</v>
      </c>
      <c r="W218" s="277" t="n">
        <v>2030</v>
      </c>
      <c r="X218" s="277" t="n">
        <v>2030</v>
      </c>
      <c r="Y218" s="277" t="n">
        <v>2030</v>
      </c>
      <c r="Z218" s="277" t="n">
        <v>2030</v>
      </c>
      <c r="AA218" s="277" t="n">
        <v>2030</v>
      </c>
      <c r="AB218" s="277" t="n">
        <v>2030</v>
      </c>
      <c r="AC218" s="277" t="n">
        <v>2030</v>
      </c>
      <c r="AD218" s="277" t="n">
        <v>2030</v>
      </c>
      <c r="AE218" s="277" t="n">
        <v>2030</v>
      </c>
      <c r="AF218" s="277" t="n">
        <v>2030</v>
      </c>
      <c r="AG218" s="277" t="n">
        <v>2030</v>
      </c>
      <c r="AH218" s="277" t="n">
        <v>2030</v>
      </c>
      <c r="AI218" s="277" t="n">
        <v>2030</v>
      </c>
      <c r="AJ218" s="277" t="n">
        <v>2030</v>
      </c>
      <c r="AK218" s="277" t="n">
        <v>2030</v>
      </c>
      <c r="AL218" s="277" t="n">
        <v>2030</v>
      </c>
      <c r="AM218" s="277" t="n">
        <v>2030</v>
      </c>
      <c r="AN218" s="277" t="n">
        <v>2030</v>
      </c>
      <c r="AO218" s="277" t="n">
        <v>2030</v>
      </c>
      <c r="AP218" s="277" t="n">
        <v>2030</v>
      </c>
      <c r="AQ218" s="277" t="n">
        <v>2030</v>
      </c>
      <c r="AR218" s="277" t="n">
        <v>2030</v>
      </c>
      <c r="AS218" s="277" t="n">
        <v>2030</v>
      </c>
      <c r="AT218" s="277" t="n">
        <v>2030</v>
      </c>
      <c r="AU218" s="277" t="n">
        <v>2030</v>
      </c>
      <c r="AV218" s="277" t="n">
        <v>2030</v>
      </c>
      <c r="AW218" s="277" t="n">
        <v>2030</v>
      </c>
      <c r="AX218" s="277" t="n">
        <v>2030</v>
      </c>
      <c r="AY218" s="277" t="n">
        <v>2030</v>
      </c>
      <c r="AZ218" s="277" t="n">
        <v>2030</v>
      </c>
    </row>
    <row r="219" customFormat="false" ht="15" hidden="false" customHeight="false" outlineLevel="0" collapsed="false">
      <c r="A219" s="275" t="s">
        <v>377</v>
      </c>
      <c r="B219" s="275"/>
      <c r="C219" s="276" t="n">
        <v>2030</v>
      </c>
      <c r="D219" s="276" t="n">
        <v>2030</v>
      </c>
      <c r="E219" s="276" t="n">
        <v>2030</v>
      </c>
      <c r="F219" s="276" t="n">
        <v>2030</v>
      </c>
      <c r="G219" s="276" t="n">
        <v>2030</v>
      </c>
      <c r="H219" s="276" t="n">
        <v>2030</v>
      </c>
      <c r="I219" s="276" t="n">
        <v>2030</v>
      </c>
      <c r="J219" s="276" t="n">
        <v>2030</v>
      </c>
      <c r="K219" s="276" t="n">
        <v>2030</v>
      </c>
      <c r="L219" s="276" t="n">
        <v>2030</v>
      </c>
      <c r="M219" s="276" t="n">
        <v>2030</v>
      </c>
      <c r="N219" s="276" t="n">
        <v>2030</v>
      </c>
      <c r="O219" s="276" t="n">
        <v>2030</v>
      </c>
      <c r="P219" s="276" t="n">
        <v>2030</v>
      </c>
      <c r="Q219" s="277" t="n">
        <v>2030</v>
      </c>
      <c r="R219" s="277" t="n">
        <v>2030</v>
      </c>
      <c r="S219" s="277" t="n">
        <v>2030</v>
      </c>
      <c r="T219" s="277" t="n">
        <v>2030</v>
      </c>
      <c r="U219" s="277" t="n">
        <v>2030</v>
      </c>
      <c r="V219" s="277" t="n">
        <v>2030</v>
      </c>
      <c r="W219" s="277" t="n">
        <v>2030</v>
      </c>
      <c r="X219" s="277" t="n">
        <v>2030</v>
      </c>
      <c r="Y219" s="277" t="n">
        <v>2030</v>
      </c>
      <c r="Z219" s="277" t="n">
        <v>2030</v>
      </c>
      <c r="AA219" s="277" t="n">
        <v>2030</v>
      </c>
      <c r="AB219" s="277" t="n">
        <v>2030</v>
      </c>
      <c r="AC219" s="277" t="n">
        <v>2030</v>
      </c>
      <c r="AD219" s="277" t="n">
        <v>2030</v>
      </c>
      <c r="AE219" s="277" t="n">
        <v>2030</v>
      </c>
      <c r="AF219" s="277" t="n">
        <v>2030</v>
      </c>
      <c r="AG219" s="277" t="n">
        <v>2030</v>
      </c>
      <c r="AH219" s="277" t="n">
        <v>2030</v>
      </c>
      <c r="AI219" s="277" t="n">
        <v>2030</v>
      </c>
      <c r="AJ219" s="277" t="n">
        <v>2030</v>
      </c>
      <c r="AK219" s="277" t="n">
        <v>2030</v>
      </c>
      <c r="AL219" s="277" t="n">
        <v>2030</v>
      </c>
      <c r="AM219" s="277" t="n">
        <v>2030</v>
      </c>
      <c r="AN219" s="277" t="n">
        <v>2030</v>
      </c>
      <c r="AO219" s="277" t="n">
        <v>2030</v>
      </c>
      <c r="AP219" s="277" t="n">
        <v>2030</v>
      </c>
      <c r="AQ219" s="277" t="n">
        <v>2030</v>
      </c>
      <c r="AR219" s="277" t="n">
        <v>2030</v>
      </c>
      <c r="AS219" s="277" t="n">
        <v>2030</v>
      </c>
      <c r="AT219" s="277" t="n">
        <v>2030</v>
      </c>
      <c r="AU219" s="277" t="n">
        <v>2030</v>
      </c>
      <c r="AV219" s="277" t="n">
        <v>2030</v>
      </c>
      <c r="AW219" s="277" t="n">
        <v>2030</v>
      </c>
      <c r="AX219" s="277" t="n">
        <v>2030</v>
      </c>
      <c r="AY219" s="277" t="n">
        <v>2030</v>
      </c>
      <c r="AZ219" s="277" t="n">
        <v>2030</v>
      </c>
    </row>
    <row r="220" customFormat="false" ht="15" hidden="false" customHeight="false" outlineLevel="0" collapsed="false">
      <c r="A220" s="275" t="s">
        <v>378</v>
      </c>
      <c r="B220" s="275"/>
      <c r="C220" s="276" t="n">
        <v>2030</v>
      </c>
      <c r="D220" s="276" t="n">
        <v>2030</v>
      </c>
      <c r="E220" s="276" t="n">
        <v>2030</v>
      </c>
      <c r="F220" s="276" t="n">
        <v>2030</v>
      </c>
      <c r="G220" s="276" t="n">
        <v>2030</v>
      </c>
      <c r="H220" s="276" t="n">
        <v>2030</v>
      </c>
      <c r="I220" s="276" t="n">
        <v>2030</v>
      </c>
      <c r="J220" s="276" t="n">
        <v>2030</v>
      </c>
      <c r="K220" s="276" t="n">
        <v>2030</v>
      </c>
      <c r="L220" s="276" t="n">
        <v>2030</v>
      </c>
      <c r="M220" s="276" t="n">
        <v>2030</v>
      </c>
      <c r="N220" s="276" t="n">
        <v>2030</v>
      </c>
      <c r="O220" s="276" t="n">
        <v>2030</v>
      </c>
      <c r="P220" s="276" t="n">
        <v>2030</v>
      </c>
      <c r="Q220" s="277" t="n">
        <v>2030</v>
      </c>
      <c r="R220" s="277" t="n">
        <v>2030</v>
      </c>
      <c r="S220" s="277" t="n">
        <v>2030</v>
      </c>
      <c r="T220" s="277" t="n">
        <v>2030</v>
      </c>
      <c r="U220" s="277" t="n">
        <v>2030</v>
      </c>
      <c r="V220" s="277" t="n">
        <v>2030</v>
      </c>
      <c r="W220" s="277" t="n">
        <v>2030</v>
      </c>
      <c r="X220" s="277" t="n">
        <v>2030</v>
      </c>
      <c r="Y220" s="277" t="n">
        <v>2030</v>
      </c>
      <c r="Z220" s="277" t="n">
        <v>2030</v>
      </c>
      <c r="AA220" s="277" t="n">
        <v>2030</v>
      </c>
      <c r="AB220" s="277" t="n">
        <v>2030</v>
      </c>
      <c r="AC220" s="277" t="n">
        <v>2030</v>
      </c>
      <c r="AD220" s="277" t="n">
        <v>2030</v>
      </c>
      <c r="AE220" s="277" t="n">
        <v>2030</v>
      </c>
      <c r="AF220" s="277" t="n">
        <v>2030</v>
      </c>
      <c r="AG220" s="277" t="n">
        <v>2030</v>
      </c>
      <c r="AH220" s="277" t="n">
        <v>2030</v>
      </c>
      <c r="AI220" s="277" t="n">
        <v>2030</v>
      </c>
      <c r="AJ220" s="277" t="n">
        <v>2030</v>
      </c>
      <c r="AK220" s="277" t="n">
        <v>2030</v>
      </c>
      <c r="AL220" s="277" t="n">
        <v>2030</v>
      </c>
      <c r="AM220" s="277" t="n">
        <v>2030</v>
      </c>
      <c r="AN220" s="277" t="n">
        <v>2030</v>
      </c>
      <c r="AO220" s="277" t="n">
        <v>2030</v>
      </c>
      <c r="AP220" s="277" t="n">
        <v>2030</v>
      </c>
      <c r="AQ220" s="277" t="n">
        <v>2030</v>
      </c>
      <c r="AR220" s="277" t="n">
        <v>2030</v>
      </c>
      <c r="AS220" s="277" t="n">
        <v>2030</v>
      </c>
      <c r="AT220" s="277" t="n">
        <v>2030</v>
      </c>
      <c r="AU220" s="277" t="n">
        <v>2030</v>
      </c>
      <c r="AV220" s="277" t="n">
        <v>2030</v>
      </c>
      <c r="AW220" s="277" t="n">
        <v>2030</v>
      </c>
      <c r="AX220" s="277" t="n">
        <v>2030</v>
      </c>
      <c r="AY220" s="277" t="n">
        <v>2030</v>
      </c>
      <c r="AZ220" s="277" t="n">
        <v>2030</v>
      </c>
    </row>
    <row r="221" customFormat="false" ht="15.75" hidden="false" customHeight="true" outlineLevel="0" collapsed="false">
      <c r="A221" s="200" t="s">
        <v>644</v>
      </c>
      <c r="B221" s="200"/>
      <c r="C221" s="200"/>
      <c r="D221" s="200"/>
      <c r="E221" s="200"/>
      <c r="F221" s="200"/>
      <c r="G221" s="200"/>
      <c r="H221" s="200"/>
      <c r="I221" s="200"/>
      <c r="J221" s="200"/>
      <c r="K221" s="200"/>
      <c r="L221" s="200"/>
      <c r="M221" s="200"/>
      <c r="N221" s="200"/>
      <c r="O221" s="200"/>
      <c r="P221" s="200"/>
      <c r="Q221" s="200"/>
    </row>
    <row r="222" customFormat="false" ht="15" hidden="false" customHeight="false" outlineLevel="0" collapsed="false">
      <c r="A222" s="275" t="s">
        <v>374</v>
      </c>
      <c r="B222" s="275"/>
      <c r="C222" s="276" t="n">
        <v>1</v>
      </c>
      <c r="D222" s="276" t="n">
        <v>1</v>
      </c>
      <c r="E222" s="276" t="n">
        <v>1</v>
      </c>
      <c r="F222" s="276" t="n">
        <v>1</v>
      </c>
      <c r="G222" s="276" t="n">
        <v>1</v>
      </c>
      <c r="H222" s="276" t="n">
        <v>1</v>
      </c>
      <c r="I222" s="276" t="n">
        <v>1</v>
      </c>
      <c r="J222" s="276" t="n">
        <v>1</v>
      </c>
      <c r="K222" s="276" t="n">
        <v>1</v>
      </c>
      <c r="L222" s="276" t="n">
        <v>1</v>
      </c>
      <c r="M222" s="276" t="n">
        <v>1</v>
      </c>
      <c r="N222" s="276" t="n">
        <v>1</v>
      </c>
      <c r="O222" s="276" t="n">
        <v>1</v>
      </c>
      <c r="P222" s="276" t="n">
        <v>1</v>
      </c>
      <c r="Q222" s="277" t="n">
        <v>1</v>
      </c>
      <c r="R222" s="277" t="n">
        <v>1</v>
      </c>
      <c r="S222" s="277" t="n">
        <v>1</v>
      </c>
      <c r="T222" s="277" t="n">
        <v>1</v>
      </c>
      <c r="U222" s="277" t="n">
        <v>1</v>
      </c>
      <c r="V222" s="277" t="n">
        <v>1</v>
      </c>
      <c r="W222" s="277" t="n">
        <v>1</v>
      </c>
      <c r="X222" s="277" t="n">
        <v>1</v>
      </c>
      <c r="Y222" s="277" t="n">
        <v>1</v>
      </c>
      <c r="Z222" s="277" t="n">
        <v>1</v>
      </c>
      <c r="AA222" s="277" t="n">
        <v>1</v>
      </c>
      <c r="AB222" s="277" t="n">
        <v>1</v>
      </c>
      <c r="AC222" s="277" t="n">
        <v>1</v>
      </c>
      <c r="AD222" s="277" t="n">
        <v>1</v>
      </c>
      <c r="AE222" s="277" t="n">
        <v>1</v>
      </c>
      <c r="AF222" s="277" t="n">
        <v>1</v>
      </c>
      <c r="AG222" s="277" t="n">
        <v>1</v>
      </c>
      <c r="AH222" s="277" t="n">
        <v>1</v>
      </c>
      <c r="AI222" s="277" t="n">
        <v>1</v>
      </c>
      <c r="AJ222" s="277" t="n">
        <v>1</v>
      </c>
      <c r="AK222" s="277" t="n">
        <v>1</v>
      </c>
      <c r="AL222" s="277" t="n">
        <v>1</v>
      </c>
      <c r="AM222" s="277" t="n">
        <v>1</v>
      </c>
      <c r="AN222" s="277" t="n">
        <v>1</v>
      </c>
      <c r="AO222" s="277" t="n">
        <v>1</v>
      </c>
      <c r="AP222" s="277" t="n">
        <v>1</v>
      </c>
      <c r="AQ222" s="277" t="n">
        <v>1</v>
      </c>
      <c r="AR222" s="277" t="n">
        <v>1</v>
      </c>
      <c r="AS222" s="277" t="n">
        <v>1</v>
      </c>
      <c r="AT222" s="277" t="n">
        <v>1</v>
      </c>
      <c r="AU222" s="277" t="n">
        <v>1</v>
      </c>
      <c r="AV222" s="277" t="n">
        <v>1</v>
      </c>
      <c r="AW222" s="277" t="n">
        <v>1</v>
      </c>
      <c r="AX222" s="277" t="n">
        <v>1</v>
      </c>
      <c r="AY222" s="277" t="n">
        <v>1</v>
      </c>
      <c r="AZ222" s="277" t="n">
        <v>1</v>
      </c>
    </row>
    <row r="223" customFormat="false" ht="15" hidden="false" customHeight="false" outlineLevel="0" collapsed="false">
      <c r="A223" s="275" t="s">
        <v>375</v>
      </c>
      <c r="B223" s="275"/>
      <c r="C223" s="276" t="n">
        <v>1</v>
      </c>
      <c r="D223" s="276" t="n">
        <v>1</v>
      </c>
      <c r="E223" s="276" t="n">
        <v>1</v>
      </c>
      <c r="F223" s="276" t="n">
        <v>1</v>
      </c>
      <c r="G223" s="276" t="n">
        <v>1</v>
      </c>
      <c r="H223" s="276" t="n">
        <v>1</v>
      </c>
      <c r="I223" s="276" t="n">
        <v>1</v>
      </c>
      <c r="J223" s="276" t="n">
        <v>1</v>
      </c>
      <c r="K223" s="276" t="n">
        <v>1</v>
      </c>
      <c r="L223" s="276" t="n">
        <v>1</v>
      </c>
      <c r="M223" s="276" t="n">
        <v>1</v>
      </c>
      <c r="N223" s="276" t="n">
        <v>1</v>
      </c>
      <c r="O223" s="276" t="n">
        <v>1</v>
      </c>
      <c r="P223" s="276" t="n">
        <v>1</v>
      </c>
      <c r="Q223" s="277" t="n">
        <v>1</v>
      </c>
      <c r="R223" s="277" t="n">
        <v>1</v>
      </c>
      <c r="S223" s="277" t="n">
        <v>1</v>
      </c>
      <c r="T223" s="277" t="n">
        <v>1</v>
      </c>
      <c r="U223" s="277" t="n">
        <v>1</v>
      </c>
      <c r="V223" s="277" t="n">
        <v>1</v>
      </c>
      <c r="W223" s="277" t="n">
        <v>1</v>
      </c>
      <c r="X223" s="277" t="n">
        <v>1</v>
      </c>
      <c r="Y223" s="277" t="n">
        <v>1</v>
      </c>
      <c r="Z223" s="277" t="n">
        <v>1</v>
      </c>
      <c r="AA223" s="277" t="n">
        <v>1</v>
      </c>
      <c r="AB223" s="277" t="n">
        <v>1</v>
      </c>
      <c r="AC223" s="277" t="n">
        <v>1</v>
      </c>
      <c r="AD223" s="277" t="n">
        <v>1</v>
      </c>
      <c r="AE223" s="277" t="n">
        <v>1</v>
      </c>
      <c r="AF223" s="277" t="n">
        <v>1</v>
      </c>
      <c r="AG223" s="277" t="n">
        <v>1</v>
      </c>
      <c r="AH223" s="277" t="n">
        <v>1</v>
      </c>
      <c r="AI223" s="277" t="n">
        <v>1</v>
      </c>
      <c r="AJ223" s="277" t="n">
        <v>1</v>
      </c>
      <c r="AK223" s="277" t="n">
        <v>1</v>
      </c>
      <c r="AL223" s="277" t="n">
        <v>1</v>
      </c>
      <c r="AM223" s="277" t="n">
        <v>1</v>
      </c>
      <c r="AN223" s="277" t="n">
        <v>1</v>
      </c>
      <c r="AO223" s="277" t="n">
        <v>1</v>
      </c>
      <c r="AP223" s="277" t="n">
        <v>1</v>
      </c>
      <c r="AQ223" s="277" t="n">
        <v>1</v>
      </c>
      <c r="AR223" s="277" t="n">
        <v>1</v>
      </c>
      <c r="AS223" s="277" t="n">
        <v>1</v>
      </c>
      <c r="AT223" s="277" t="n">
        <v>1</v>
      </c>
      <c r="AU223" s="277" t="n">
        <v>1</v>
      </c>
      <c r="AV223" s="277" t="n">
        <v>1</v>
      </c>
      <c r="AW223" s="277" t="n">
        <v>1</v>
      </c>
      <c r="AX223" s="277" t="n">
        <v>1</v>
      </c>
      <c r="AY223" s="277" t="n">
        <v>1</v>
      </c>
      <c r="AZ223" s="277" t="n">
        <v>1</v>
      </c>
    </row>
    <row r="224" customFormat="false" ht="15" hidden="false" customHeight="false" outlineLevel="0" collapsed="false">
      <c r="A224" s="275" t="s">
        <v>376</v>
      </c>
      <c r="B224" s="275"/>
      <c r="C224" s="276" t="n">
        <v>1</v>
      </c>
      <c r="D224" s="276" t="n">
        <v>1</v>
      </c>
      <c r="E224" s="276" t="n">
        <v>1</v>
      </c>
      <c r="F224" s="276" t="n">
        <v>1</v>
      </c>
      <c r="G224" s="276" t="n">
        <v>1</v>
      </c>
      <c r="H224" s="276" t="n">
        <v>1</v>
      </c>
      <c r="I224" s="276" t="n">
        <v>1</v>
      </c>
      <c r="J224" s="276" t="n">
        <v>1</v>
      </c>
      <c r="K224" s="276" t="n">
        <v>1</v>
      </c>
      <c r="L224" s="276" t="n">
        <v>1</v>
      </c>
      <c r="M224" s="276" t="n">
        <v>1</v>
      </c>
      <c r="N224" s="276" t="n">
        <v>1</v>
      </c>
      <c r="O224" s="276" t="n">
        <v>1</v>
      </c>
      <c r="P224" s="276" t="n">
        <v>1</v>
      </c>
      <c r="Q224" s="277" t="n">
        <v>1</v>
      </c>
      <c r="R224" s="277" t="n">
        <v>1</v>
      </c>
      <c r="S224" s="277" t="n">
        <v>1</v>
      </c>
      <c r="T224" s="277" t="n">
        <v>1</v>
      </c>
      <c r="U224" s="277" t="n">
        <v>1</v>
      </c>
      <c r="V224" s="277" t="n">
        <v>1</v>
      </c>
      <c r="W224" s="277" t="n">
        <v>1</v>
      </c>
      <c r="X224" s="277" t="n">
        <v>1</v>
      </c>
      <c r="Y224" s="277" t="n">
        <v>1</v>
      </c>
      <c r="Z224" s="277" t="n">
        <v>1</v>
      </c>
      <c r="AA224" s="277" t="n">
        <v>1</v>
      </c>
      <c r="AB224" s="277" t="n">
        <v>1</v>
      </c>
      <c r="AC224" s="277" t="n">
        <v>1</v>
      </c>
      <c r="AD224" s="277" t="n">
        <v>1</v>
      </c>
      <c r="AE224" s="277" t="n">
        <v>1</v>
      </c>
      <c r="AF224" s="277" t="n">
        <v>1</v>
      </c>
      <c r="AG224" s="277" t="n">
        <v>1</v>
      </c>
      <c r="AH224" s="277" t="n">
        <v>1</v>
      </c>
      <c r="AI224" s="277" t="n">
        <v>1</v>
      </c>
      <c r="AJ224" s="277" t="n">
        <v>1</v>
      </c>
      <c r="AK224" s="277" t="n">
        <v>1</v>
      </c>
      <c r="AL224" s="277" t="n">
        <v>1</v>
      </c>
      <c r="AM224" s="277" t="n">
        <v>1</v>
      </c>
      <c r="AN224" s="277" t="n">
        <v>1</v>
      </c>
      <c r="AO224" s="277" t="n">
        <v>1</v>
      </c>
      <c r="AP224" s="277" t="n">
        <v>1</v>
      </c>
      <c r="AQ224" s="277" t="n">
        <v>1</v>
      </c>
      <c r="AR224" s="277" t="n">
        <v>1</v>
      </c>
      <c r="AS224" s="277" t="n">
        <v>1</v>
      </c>
      <c r="AT224" s="277" t="n">
        <v>1</v>
      </c>
      <c r="AU224" s="277" t="n">
        <v>1</v>
      </c>
      <c r="AV224" s="277" t="n">
        <v>1</v>
      </c>
      <c r="AW224" s="277" t="n">
        <v>1</v>
      </c>
      <c r="AX224" s="277" t="n">
        <v>1</v>
      </c>
      <c r="AY224" s="277" t="n">
        <v>1</v>
      </c>
      <c r="AZ224" s="277" t="n">
        <v>1</v>
      </c>
    </row>
    <row r="225" customFormat="false" ht="15" hidden="false" customHeight="false" outlineLevel="0" collapsed="false">
      <c r="A225" s="275" t="s">
        <v>377</v>
      </c>
      <c r="B225" s="275"/>
      <c r="C225" s="276" t="n">
        <v>1</v>
      </c>
      <c r="D225" s="276" t="n">
        <v>1</v>
      </c>
      <c r="E225" s="276" t="n">
        <v>1</v>
      </c>
      <c r="F225" s="276" t="n">
        <v>1</v>
      </c>
      <c r="G225" s="276" t="n">
        <v>1</v>
      </c>
      <c r="H225" s="276" t="n">
        <v>1</v>
      </c>
      <c r="I225" s="276" t="n">
        <v>1</v>
      </c>
      <c r="J225" s="276" t="n">
        <v>1</v>
      </c>
      <c r="K225" s="276" t="n">
        <v>1</v>
      </c>
      <c r="L225" s="276" t="n">
        <v>1</v>
      </c>
      <c r="M225" s="276" t="n">
        <v>1</v>
      </c>
      <c r="N225" s="276" t="n">
        <v>1</v>
      </c>
      <c r="O225" s="276" t="n">
        <v>1</v>
      </c>
      <c r="P225" s="276" t="n">
        <v>1</v>
      </c>
      <c r="Q225" s="277" t="n">
        <v>1</v>
      </c>
      <c r="R225" s="277" t="n">
        <v>1</v>
      </c>
      <c r="S225" s="277" t="n">
        <v>1</v>
      </c>
      <c r="T225" s="277" t="n">
        <v>1</v>
      </c>
      <c r="U225" s="277" t="n">
        <v>1</v>
      </c>
      <c r="V225" s="277" t="n">
        <v>1</v>
      </c>
      <c r="W225" s="277" t="n">
        <v>1</v>
      </c>
      <c r="X225" s="277" t="n">
        <v>1</v>
      </c>
      <c r="Y225" s="277" t="n">
        <v>1</v>
      </c>
      <c r="Z225" s="277" t="n">
        <v>1</v>
      </c>
      <c r="AA225" s="277" t="n">
        <v>1</v>
      </c>
      <c r="AB225" s="277" t="n">
        <v>1</v>
      </c>
      <c r="AC225" s="277" t="n">
        <v>1</v>
      </c>
      <c r="AD225" s="277" t="n">
        <v>1</v>
      </c>
      <c r="AE225" s="277" t="n">
        <v>1</v>
      </c>
      <c r="AF225" s="277" t="n">
        <v>1</v>
      </c>
      <c r="AG225" s="277" t="n">
        <v>1</v>
      </c>
      <c r="AH225" s="277" t="n">
        <v>1</v>
      </c>
      <c r="AI225" s="277" t="n">
        <v>1</v>
      </c>
      <c r="AJ225" s="277" t="n">
        <v>1</v>
      </c>
      <c r="AK225" s="277" t="n">
        <v>1</v>
      </c>
      <c r="AL225" s="277" t="n">
        <v>1</v>
      </c>
      <c r="AM225" s="277" t="n">
        <v>1</v>
      </c>
      <c r="AN225" s="277" t="n">
        <v>1</v>
      </c>
      <c r="AO225" s="277" t="n">
        <v>1</v>
      </c>
      <c r="AP225" s="277" t="n">
        <v>1</v>
      </c>
      <c r="AQ225" s="277" t="n">
        <v>1</v>
      </c>
      <c r="AR225" s="277" t="n">
        <v>1</v>
      </c>
      <c r="AS225" s="277" t="n">
        <v>1</v>
      </c>
      <c r="AT225" s="277" t="n">
        <v>1</v>
      </c>
      <c r="AU225" s="277" t="n">
        <v>1</v>
      </c>
      <c r="AV225" s="277" t="n">
        <v>1</v>
      </c>
      <c r="AW225" s="277" t="n">
        <v>1</v>
      </c>
      <c r="AX225" s="277" t="n">
        <v>1</v>
      </c>
      <c r="AY225" s="277" t="n">
        <v>1</v>
      </c>
      <c r="AZ225" s="277" t="n">
        <v>1</v>
      </c>
    </row>
    <row r="226" customFormat="false" ht="15" hidden="false" customHeight="false" outlineLevel="0" collapsed="false">
      <c r="A226" s="275" t="s">
        <v>378</v>
      </c>
      <c r="B226" s="275"/>
      <c r="C226" s="276" t="n">
        <v>1</v>
      </c>
      <c r="D226" s="276" t="n">
        <v>1</v>
      </c>
      <c r="E226" s="276" t="n">
        <v>1</v>
      </c>
      <c r="F226" s="276" t="n">
        <v>1</v>
      </c>
      <c r="G226" s="276" t="n">
        <v>1</v>
      </c>
      <c r="H226" s="276" t="n">
        <v>1</v>
      </c>
      <c r="I226" s="276" t="n">
        <v>1</v>
      </c>
      <c r="J226" s="276" t="n">
        <v>1</v>
      </c>
      <c r="K226" s="276" t="n">
        <v>1</v>
      </c>
      <c r="L226" s="276" t="n">
        <v>1</v>
      </c>
      <c r="M226" s="276" t="n">
        <v>1</v>
      </c>
      <c r="N226" s="276" t="n">
        <v>1</v>
      </c>
      <c r="O226" s="276" t="n">
        <v>1</v>
      </c>
      <c r="P226" s="276" t="n">
        <v>1</v>
      </c>
      <c r="Q226" s="277" t="n">
        <v>1</v>
      </c>
      <c r="R226" s="277" t="n">
        <v>1</v>
      </c>
      <c r="S226" s="277" t="n">
        <v>1</v>
      </c>
      <c r="T226" s="277" t="n">
        <v>1</v>
      </c>
      <c r="U226" s="277" t="n">
        <v>1</v>
      </c>
      <c r="V226" s="277" t="n">
        <v>1</v>
      </c>
      <c r="W226" s="277" t="n">
        <v>1</v>
      </c>
      <c r="X226" s="277" t="n">
        <v>1</v>
      </c>
      <c r="Y226" s="277" t="n">
        <v>1</v>
      </c>
      <c r="Z226" s="277" t="n">
        <v>1</v>
      </c>
      <c r="AA226" s="277" t="n">
        <v>1</v>
      </c>
      <c r="AB226" s="277" t="n">
        <v>1</v>
      </c>
      <c r="AC226" s="277" t="n">
        <v>1</v>
      </c>
      <c r="AD226" s="277" t="n">
        <v>1</v>
      </c>
      <c r="AE226" s="277" t="n">
        <v>1</v>
      </c>
      <c r="AF226" s="277" t="n">
        <v>1</v>
      </c>
      <c r="AG226" s="277" t="n">
        <v>1</v>
      </c>
      <c r="AH226" s="277" t="n">
        <v>1</v>
      </c>
      <c r="AI226" s="277" t="n">
        <v>1</v>
      </c>
      <c r="AJ226" s="277" t="n">
        <v>1</v>
      </c>
      <c r="AK226" s="277" t="n">
        <v>1</v>
      </c>
      <c r="AL226" s="277" t="n">
        <v>1</v>
      </c>
      <c r="AM226" s="277" t="n">
        <v>1</v>
      </c>
      <c r="AN226" s="277" t="n">
        <v>1</v>
      </c>
      <c r="AO226" s="277" t="n">
        <v>1</v>
      </c>
      <c r="AP226" s="277" t="n">
        <v>1</v>
      </c>
      <c r="AQ226" s="277" t="n">
        <v>1</v>
      </c>
      <c r="AR226" s="277" t="n">
        <v>1</v>
      </c>
      <c r="AS226" s="277" t="n">
        <v>1</v>
      </c>
      <c r="AT226" s="277" t="n">
        <v>1</v>
      </c>
      <c r="AU226" s="277" t="n">
        <v>1</v>
      </c>
      <c r="AV226" s="277" t="n">
        <v>1</v>
      </c>
      <c r="AW226" s="277" t="n">
        <v>1</v>
      </c>
      <c r="AX226" s="277" t="n">
        <v>1</v>
      </c>
      <c r="AY226" s="277" t="n">
        <v>1</v>
      </c>
      <c r="AZ226" s="277" t="n">
        <v>1</v>
      </c>
    </row>
    <row r="227" customFormat="false" ht="15.75" hidden="false" customHeight="true" outlineLevel="0" collapsed="false">
      <c r="A227" s="200" t="s">
        <v>645</v>
      </c>
      <c r="B227" s="200"/>
      <c r="C227" s="200"/>
      <c r="D227" s="200"/>
      <c r="E227" s="200"/>
      <c r="F227" s="200"/>
      <c r="G227" s="200"/>
      <c r="H227" s="200"/>
      <c r="I227" s="200"/>
      <c r="J227" s="200"/>
      <c r="K227" s="200"/>
      <c r="L227" s="200"/>
      <c r="M227" s="200"/>
      <c r="N227" s="200"/>
      <c r="O227" s="200"/>
      <c r="P227" s="200"/>
      <c r="Q227" s="200"/>
    </row>
    <row r="228" customFormat="false" ht="15" hidden="false" customHeight="false" outlineLevel="0" collapsed="false">
      <c r="A228" s="275" t="s">
        <v>374</v>
      </c>
      <c r="B228" s="275"/>
      <c r="C228" s="276" t="n">
        <v>2040</v>
      </c>
      <c r="D228" s="276" t="n">
        <v>2040</v>
      </c>
      <c r="E228" s="276" t="n">
        <v>2040</v>
      </c>
      <c r="F228" s="276" t="n">
        <v>2040</v>
      </c>
      <c r="G228" s="276" t="n">
        <v>2040</v>
      </c>
      <c r="H228" s="276" t="n">
        <v>2040</v>
      </c>
      <c r="I228" s="276" t="n">
        <v>2040</v>
      </c>
      <c r="J228" s="276" t="n">
        <v>2040</v>
      </c>
      <c r="K228" s="276" t="n">
        <v>2040</v>
      </c>
      <c r="L228" s="276" t="n">
        <v>2040</v>
      </c>
      <c r="M228" s="276" t="n">
        <v>2040</v>
      </c>
      <c r="N228" s="276" t="n">
        <v>2040</v>
      </c>
      <c r="O228" s="276" t="n">
        <v>2040</v>
      </c>
      <c r="P228" s="276" t="n">
        <v>2040</v>
      </c>
      <c r="Q228" s="276" t="n">
        <v>2040</v>
      </c>
      <c r="R228" s="276" t="n">
        <v>2040</v>
      </c>
      <c r="S228" s="276" t="n">
        <v>2040</v>
      </c>
      <c r="T228" s="276" t="n">
        <v>2040</v>
      </c>
      <c r="U228" s="276" t="n">
        <v>2040</v>
      </c>
      <c r="V228" s="276" t="n">
        <v>2040</v>
      </c>
      <c r="W228" s="276" t="n">
        <v>2040</v>
      </c>
      <c r="X228" s="276" t="n">
        <v>2040</v>
      </c>
      <c r="Y228" s="276" t="n">
        <v>2040</v>
      </c>
      <c r="Z228" s="276" t="n">
        <v>2040</v>
      </c>
      <c r="AA228" s="276" t="n">
        <v>2040</v>
      </c>
      <c r="AB228" s="276" t="n">
        <v>2040</v>
      </c>
      <c r="AC228" s="276" t="n">
        <v>2040</v>
      </c>
      <c r="AD228" s="276" t="n">
        <v>2040</v>
      </c>
      <c r="AE228" s="276" t="n">
        <v>2040</v>
      </c>
      <c r="AF228" s="276" t="n">
        <v>2040</v>
      </c>
      <c r="AG228" s="276" t="n">
        <v>2040</v>
      </c>
      <c r="AH228" s="276" t="n">
        <v>2040</v>
      </c>
      <c r="AI228" s="276" t="n">
        <v>2040</v>
      </c>
      <c r="AJ228" s="276" t="n">
        <v>2040</v>
      </c>
      <c r="AK228" s="276" t="n">
        <v>2040</v>
      </c>
      <c r="AL228" s="276" t="n">
        <v>2040</v>
      </c>
      <c r="AM228" s="276" t="n">
        <v>2040</v>
      </c>
      <c r="AN228" s="276" t="n">
        <v>2040</v>
      </c>
      <c r="AO228" s="276" t="n">
        <v>2040</v>
      </c>
      <c r="AP228" s="276" t="n">
        <v>2040</v>
      </c>
      <c r="AQ228" s="276" t="n">
        <v>2040</v>
      </c>
      <c r="AR228" s="276" t="n">
        <v>2040</v>
      </c>
      <c r="AS228" s="276" t="n">
        <v>2040</v>
      </c>
      <c r="AT228" s="276" t="n">
        <v>2040</v>
      </c>
      <c r="AU228" s="276" t="n">
        <v>2040</v>
      </c>
      <c r="AV228" s="276" t="n">
        <v>2040</v>
      </c>
      <c r="AW228" s="276" t="n">
        <v>2040</v>
      </c>
      <c r="AX228" s="276" t="n">
        <v>2040</v>
      </c>
      <c r="AY228" s="276" t="n">
        <v>2040</v>
      </c>
      <c r="AZ228" s="276" t="n">
        <v>2040</v>
      </c>
    </row>
    <row r="229" customFormat="false" ht="15" hidden="false" customHeight="false" outlineLevel="0" collapsed="false">
      <c r="A229" s="275" t="s">
        <v>375</v>
      </c>
      <c r="B229" s="275"/>
      <c r="C229" s="276" t="n">
        <v>2040</v>
      </c>
      <c r="D229" s="276" t="n">
        <v>2040</v>
      </c>
      <c r="E229" s="276" t="n">
        <v>2040</v>
      </c>
      <c r="F229" s="276" t="n">
        <v>2040</v>
      </c>
      <c r="G229" s="276" t="n">
        <v>2040</v>
      </c>
      <c r="H229" s="276" t="n">
        <v>2040</v>
      </c>
      <c r="I229" s="276" t="n">
        <v>2040</v>
      </c>
      <c r="J229" s="276" t="n">
        <v>2040</v>
      </c>
      <c r="K229" s="276" t="n">
        <v>2040</v>
      </c>
      <c r="L229" s="276" t="n">
        <v>2040</v>
      </c>
      <c r="M229" s="276" t="n">
        <v>2040</v>
      </c>
      <c r="N229" s="276" t="n">
        <v>2040</v>
      </c>
      <c r="O229" s="276" t="n">
        <v>2040</v>
      </c>
      <c r="P229" s="276" t="n">
        <v>2040</v>
      </c>
      <c r="Q229" s="276" t="n">
        <v>2040</v>
      </c>
      <c r="R229" s="276" t="n">
        <v>2040</v>
      </c>
      <c r="S229" s="276" t="n">
        <v>2040</v>
      </c>
      <c r="T229" s="276" t="n">
        <v>2040</v>
      </c>
      <c r="U229" s="276" t="n">
        <v>2040</v>
      </c>
      <c r="V229" s="276" t="n">
        <v>2040</v>
      </c>
      <c r="W229" s="276" t="n">
        <v>2040</v>
      </c>
      <c r="X229" s="276" t="n">
        <v>2040</v>
      </c>
      <c r="Y229" s="276" t="n">
        <v>2040</v>
      </c>
      <c r="Z229" s="276" t="n">
        <v>2040</v>
      </c>
      <c r="AA229" s="276" t="n">
        <v>2040</v>
      </c>
      <c r="AB229" s="276" t="n">
        <v>2040</v>
      </c>
      <c r="AC229" s="276" t="n">
        <v>2040</v>
      </c>
      <c r="AD229" s="276" t="n">
        <v>2040</v>
      </c>
      <c r="AE229" s="276" t="n">
        <v>2040</v>
      </c>
      <c r="AF229" s="276" t="n">
        <v>2040</v>
      </c>
      <c r="AG229" s="276" t="n">
        <v>2040</v>
      </c>
      <c r="AH229" s="276" t="n">
        <v>2040</v>
      </c>
      <c r="AI229" s="276" t="n">
        <v>2040</v>
      </c>
      <c r="AJ229" s="276" t="n">
        <v>2040</v>
      </c>
      <c r="AK229" s="276" t="n">
        <v>2040</v>
      </c>
      <c r="AL229" s="276" t="n">
        <v>2040</v>
      </c>
      <c r="AM229" s="276" t="n">
        <v>2040</v>
      </c>
      <c r="AN229" s="276" t="n">
        <v>2040</v>
      </c>
      <c r="AO229" s="276" t="n">
        <v>2040</v>
      </c>
      <c r="AP229" s="276" t="n">
        <v>2040</v>
      </c>
      <c r="AQ229" s="276" t="n">
        <v>2040</v>
      </c>
      <c r="AR229" s="276" t="n">
        <v>2040</v>
      </c>
      <c r="AS229" s="276" t="n">
        <v>2040</v>
      </c>
      <c r="AT229" s="276" t="n">
        <v>2040</v>
      </c>
      <c r="AU229" s="276" t="n">
        <v>2040</v>
      </c>
      <c r="AV229" s="276" t="n">
        <v>2040</v>
      </c>
      <c r="AW229" s="276" t="n">
        <v>2040</v>
      </c>
      <c r="AX229" s="276" t="n">
        <v>2040</v>
      </c>
      <c r="AY229" s="276" t="n">
        <v>2040</v>
      </c>
      <c r="AZ229" s="276" t="n">
        <v>2040</v>
      </c>
    </row>
    <row r="230" customFormat="false" ht="15" hidden="false" customHeight="false" outlineLevel="0" collapsed="false">
      <c r="A230" s="275" t="s">
        <v>376</v>
      </c>
      <c r="B230" s="275"/>
      <c r="C230" s="276" t="n">
        <v>2040</v>
      </c>
      <c r="D230" s="276" t="n">
        <v>2040</v>
      </c>
      <c r="E230" s="276" t="n">
        <v>2040</v>
      </c>
      <c r="F230" s="276" t="n">
        <v>2040</v>
      </c>
      <c r="G230" s="276" t="n">
        <v>2040</v>
      </c>
      <c r="H230" s="276" t="n">
        <v>2040</v>
      </c>
      <c r="I230" s="276" t="n">
        <v>2040</v>
      </c>
      <c r="J230" s="276" t="n">
        <v>2040</v>
      </c>
      <c r="K230" s="276" t="n">
        <v>2040</v>
      </c>
      <c r="L230" s="276" t="n">
        <v>2040</v>
      </c>
      <c r="M230" s="276" t="n">
        <v>2040</v>
      </c>
      <c r="N230" s="276" t="n">
        <v>2040</v>
      </c>
      <c r="O230" s="276" t="n">
        <v>2040</v>
      </c>
      <c r="P230" s="276" t="n">
        <v>2040</v>
      </c>
      <c r="Q230" s="276" t="n">
        <v>2040</v>
      </c>
      <c r="R230" s="276" t="n">
        <v>2040</v>
      </c>
      <c r="S230" s="276" t="n">
        <v>2040</v>
      </c>
      <c r="T230" s="276" t="n">
        <v>2040</v>
      </c>
      <c r="U230" s="276" t="n">
        <v>2040</v>
      </c>
      <c r="V230" s="276" t="n">
        <v>2040</v>
      </c>
      <c r="W230" s="276" t="n">
        <v>2040</v>
      </c>
      <c r="X230" s="276" t="n">
        <v>2040</v>
      </c>
      <c r="Y230" s="276" t="n">
        <v>2040</v>
      </c>
      <c r="Z230" s="276" t="n">
        <v>2040</v>
      </c>
      <c r="AA230" s="276" t="n">
        <v>2040</v>
      </c>
      <c r="AB230" s="276" t="n">
        <v>2040</v>
      </c>
      <c r="AC230" s="276" t="n">
        <v>2040</v>
      </c>
      <c r="AD230" s="276" t="n">
        <v>2040</v>
      </c>
      <c r="AE230" s="276" t="n">
        <v>2040</v>
      </c>
      <c r="AF230" s="276" t="n">
        <v>2040</v>
      </c>
      <c r="AG230" s="276" t="n">
        <v>2040</v>
      </c>
      <c r="AH230" s="276" t="n">
        <v>2040</v>
      </c>
      <c r="AI230" s="276" t="n">
        <v>2040</v>
      </c>
      <c r="AJ230" s="276" t="n">
        <v>2040</v>
      </c>
      <c r="AK230" s="276" t="n">
        <v>2040</v>
      </c>
      <c r="AL230" s="276" t="n">
        <v>2040</v>
      </c>
      <c r="AM230" s="276" t="n">
        <v>2040</v>
      </c>
      <c r="AN230" s="276" t="n">
        <v>2040</v>
      </c>
      <c r="AO230" s="276" t="n">
        <v>2040</v>
      </c>
      <c r="AP230" s="276" t="n">
        <v>2040</v>
      </c>
      <c r="AQ230" s="276" t="n">
        <v>2040</v>
      </c>
      <c r="AR230" s="276" t="n">
        <v>2040</v>
      </c>
      <c r="AS230" s="276" t="n">
        <v>2040</v>
      </c>
      <c r="AT230" s="276" t="n">
        <v>2040</v>
      </c>
      <c r="AU230" s="276" t="n">
        <v>2040</v>
      </c>
      <c r="AV230" s="276" t="n">
        <v>2040</v>
      </c>
      <c r="AW230" s="276" t="n">
        <v>2040</v>
      </c>
      <c r="AX230" s="276" t="n">
        <v>2040</v>
      </c>
      <c r="AY230" s="276" t="n">
        <v>2040</v>
      </c>
      <c r="AZ230" s="276" t="n">
        <v>2040</v>
      </c>
    </row>
    <row r="231" customFormat="false" ht="15" hidden="false" customHeight="false" outlineLevel="0" collapsed="false">
      <c r="A231" s="275" t="s">
        <v>377</v>
      </c>
      <c r="B231" s="275"/>
      <c r="C231" s="276" t="n">
        <v>2040</v>
      </c>
      <c r="D231" s="276" t="n">
        <v>2040</v>
      </c>
      <c r="E231" s="276" t="n">
        <v>2040</v>
      </c>
      <c r="F231" s="276" t="n">
        <v>2040</v>
      </c>
      <c r="G231" s="276" t="n">
        <v>2040</v>
      </c>
      <c r="H231" s="276" t="n">
        <v>2040</v>
      </c>
      <c r="I231" s="276" t="n">
        <v>2040</v>
      </c>
      <c r="J231" s="276" t="n">
        <v>2040</v>
      </c>
      <c r="K231" s="276" t="n">
        <v>2040</v>
      </c>
      <c r="L231" s="276" t="n">
        <v>2040</v>
      </c>
      <c r="M231" s="276" t="n">
        <v>2040</v>
      </c>
      <c r="N231" s="276" t="n">
        <v>2040</v>
      </c>
      <c r="O231" s="276" t="n">
        <v>2040</v>
      </c>
      <c r="P231" s="276" t="n">
        <v>2040</v>
      </c>
      <c r="Q231" s="276" t="n">
        <v>2040</v>
      </c>
      <c r="R231" s="276" t="n">
        <v>2040</v>
      </c>
      <c r="S231" s="276" t="n">
        <v>2040</v>
      </c>
      <c r="T231" s="276" t="n">
        <v>2040</v>
      </c>
      <c r="U231" s="276" t="n">
        <v>2040</v>
      </c>
      <c r="V231" s="276" t="n">
        <v>2040</v>
      </c>
      <c r="W231" s="276" t="n">
        <v>2040</v>
      </c>
      <c r="X231" s="276" t="n">
        <v>2040</v>
      </c>
      <c r="Y231" s="276" t="n">
        <v>2040</v>
      </c>
      <c r="Z231" s="276" t="n">
        <v>2040</v>
      </c>
      <c r="AA231" s="276" t="n">
        <v>2040</v>
      </c>
      <c r="AB231" s="276" t="n">
        <v>2040</v>
      </c>
      <c r="AC231" s="276" t="n">
        <v>2040</v>
      </c>
      <c r="AD231" s="276" t="n">
        <v>2040</v>
      </c>
      <c r="AE231" s="276" t="n">
        <v>2040</v>
      </c>
      <c r="AF231" s="276" t="n">
        <v>2040</v>
      </c>
      <c r="AG231" s="276" t="n">
        <v>2040</v>
      </c>
      <c r="AH231" s="276" t="n">
        <v>2040</v>
      </c>
      <c r="AI231" s="276" t="n">
        <v>2040</v>
      </c>
      <c r="AJ231" s="276" t="n">
        <v>2040</v>
      </c>
      <c r="AK231" s="276" t="n">
        <v>2040</v>
      </c>
      <c r="AL231" s="276" t="n">
        <v>2040</v>
      </c>
      <c r="AM231" s="276" t="n">
        <v>2040</v>
      </c>
      <c r="AN231" s="276" t="n">
        <v>2040</v>
      </c>
      <c r="AO231" s="276" t="n">
        <v>2040</v>
      </c>
      <c r="AP231" s="276" t="n">
        <v>2040</v>
      </c>
      <c r="AQ231" s="276" t="n">
        <v>2040</v>
      </c>
      <c r="AR231" s="276" t="n">
        <v>2040</v>
      </c>
      <c r="AS231" s="276" t="n">
        <v>2040</v>
      </c>
      <c r="AT231" s="276" t="n">
        <v>2040</v>
      </c>
      <c r="AU231" s="276" t="n">
        <v>2040</v>
      </c>
      <c r="AV231" s="276" t="n">
        <v>2040</v>
      </c>
      <c r="AW231" s="276" t="n">
        <v>2040</v>
      </c>
      <c r="AX231" s="276" t="n">
        <v>2040</v>
      </c>
      <c r="AY231" s="276" t="n">
        <v>2040</v>
      </c>
      <c r="AZ231" s="276" t="n">
        <v>2040</v>
      </c>
    </row>
    <row r="232" customFormat="false" ht="15" hidden="false" customHeight="false" outlineLevel="0" collapsed="false">
      <c r="A232" s="275" t="s">
        <v>378</v>
      </c>
      <c r="B232" s="275"/>
      <c r="C232" s="276" t="n">
        <v>2040</v>
      </c>
      <c r="D232" s="276" t="n">
        <v>2040</v>
      </c>
      <c r="E232" s="276" t="n">
        <v>2040</v>
      </c>
      <c r="F232" s="276" t="n">
        <v>2040</v>
      </c>
      <c r="G232" s="276" t="n">
        <v>2040</v>
      </c>
      <c r="H232" s="276" t="n">
        <v>2040</v>
      </c>
      <c r="I232" s="276" t="n">
        <v>2040</v>
      </c>
      <c r="J232" s="276" t="n">
        <v>2040</v>
      </c>
      <c r="K232" s="276" t="n">
        <v>2040</v>
      </c>
      <c r="L232" s="276" t="n">
        <v>2040</v>
      </c>
      <c r="M232" s="276" t="n">
        <v>2040</v>
      </c>
      <c r="N232" s="276" t="n">
        <v>2040</v>
      </c>
      <c r="O232" s="276" t="n">
        <v>2040</v>
      </c>
      <c r="P232" s="276" t="n">
        <v>2040</v>
      </c>
      <c r="Q232" s="276" t="n">
        <v>2040</v>
      </c>
      <c r="R232" s="276" t="n">
        <v>2040</v>
      </c>
      <c r="S232" s="276" t="n">
        <v>2040</v>
      </c>
      <c r="T232" s="276" t="n">
        <v>2040</v>
      </c>
      <c r="U232" s="276" t="n">
        <v>2040</v>
      </c>
      <c r="V232" s="276" t="n">
        <v>2040</v>
      </c>
      <c r="W232" s="276" t="n">
        <v>2040</v>
      </c>
      <c r="X232" s="276" t="n">
        <v>2040</v>
      </c>
      <c r="Y232" s="276" t="n">
        <v>2040</v>
      </c>
      <c r="Z232" s="276" t="n">
        <v>2040</v>
      </c>
      <c r="AA232" s="276" t="n">
        <v>2040</v>
      </c>
      <c r="AB232" s="276" t="n">
        <v>2040</v>
      </c>
      <c r="AC232" s="276" t="n">
        <v>2040</v>
      </c>
      <c r="AD232" s="276" t="n">
        <v>2040</v>
      </c>
      <c r="AE232" s="276" t="n">
        <v>2040</v>
      </c>
      <c r="AF232" s="276" t="n">
        <v>2040</v>
      </c>
      <c r="AG232" s="276" t="n">
        <v>2040</v>
      </c>
      <c r="AH232" s="276" t="n">
        <v>2040</v>
      </c>
      <c r="AI232" s="276" t="n">
        <v>2040</v>
      </c>
      <c r="AJ232" s="276" t="n">
        <v>2040</v>
      </c>
      <c r="AK232" s="276" t="n">
        <v>2040</v>
      </c>
      <c r="AL232" s="276" t="n">
        <v>2040</v>
      </c>
      <c r="AM232" s="276" t="n">
        <v>2040</v>
      </c>
      <c r="AN232" s="276" t="n">
        <v>2040</v>
      </c>
      <c r="AO232" s="276" t="n">
        <v>2040</v>
      </c>
      <c r="AP232" s="276" t="n">
        <v>2040</v>
      </c>
      <c r="AQ232" s="276" t="n">
        <v>2040</v>
      </c>
      <c r="AR232" s="276" t="n">
        <v>2040</v>
      </c>
      <c r="AS232" s="276" t="n">
        <v>2040</v>
      </c>
      <c r="AT232" s="276" t="n">
        <v>2040</v>
      </c>
      <c r="AU232" s="276" t="n">
        <v>2040</v>
      </c>
      <c r="AV232" s="276" t="n">
        <v>2040</v>
      </c>
      <c r="AW232" s="276" t="n">
        <v>2040</v>
      </c>
      <c r="AX232" s="276" t="n">
        <v>2040</v>
      </c>
      <c r="AY232" s="276" t="n">
        <v>2040</v>
      </c>
      <c r="AZ232" s="276" t="n">
        <v>2040</v>
      </c>
    </row>
    <row r="233" customFormat="false" ht="15.75" hidden="false" customHeight="true" outlineLevel="0" collapsed="false">
      <c r="A233" s="200" t="s">
        <v>646</v>
      </c>
      <c r="B233" s="200"/>
      <c r="C233" s="200"/>
      <c r="D233" s="200"/>
      <c r="E233" s="200"/>
      <c r="F233" s="200"/>
      <c r="G233" s="200"/>
      <c r="H233" s="200"/>
      <c r="I233" s="200"/>
      <c r="J233" s="200"/>
      <c r="K233" s="200"/>
      <c r="L233" s="200"/>
      <c r="M233" s="200"/>
      <c r="N233" s="200"/>
      <c r="O233" s="200"/>
      <c r="P233" s="200"/>
      <c r="Q233" s="200"/>
    </row>
    <row r="234" customFormat="false" ht="15" hidden="false" customHeight="false" outlineLevel="0" collapsed="false">
      <c r="A234" s="275" t="s">
        <v>374</v>
      </c>
      <c r="B234" s="275"/>
      <c r="C234" s="276" t="n">
        <v>1</v>
      </c>
      <c r="D234" s="276" t="n">
        <v>1</v>
      </c>
      <c r="E234" s="276" t="n">
        <v>1</v>
      </c>
      <c r="F234" s="276" t="n">
        <v>1</v>
      </c>
      <c r="G234" s="276" t="n">
        <v>1</v>
      </c>
      <c r="H234" s="276" t="n">
        <v>1</v>
      </c>
      <c r="I234" s="276" t="n">
        <v>1</v>
      </c>
      <c r="J234" s="276" t="n">
        <v>1</v>
      </c>
      <c r="K234" s="276" t="n">
        <v>1</v>
      </c>
      <c r="L234" s="276" t="n">
        <v>1</v>
      </c>
      <c r="M234" s="276" t="n">
        <v>1</v>
      </c>
      <c r="N234" s="276" t="n">
        <v>1</v>
      </c>
      <c r="O234" s="276" t="n">
        <v>1</v>
      </c>
      <c r="P234" s="276" t="n">
        <v>1</v>
      </c>
      <c r="Q234" s="277" t="n">
        <v>1</v>
      </c>
      <c r="R234" s="277" t="n">
        <v>1</v>
      </c>
      <c r="S234" s="277" t="n">
        <v>1</v>
      </c>
      <c r="T234" s="277" t="n">
        <v>1</v>
      </c>
      <c r="U234" s="277" t="n">
        <v>1</v>
      </c>
      <c r="V234" s="277" t="n">
        <v>1</v>
      </c>
      <c r="W234" s="277" t="n">
        <v>1</v>
      </c>
      <c r="X234" s="277" t="n">
        <v>1</v>
      </c>
      <c r="Y234" s="277" t="n">
        <v>1</v>
      </c>
      <c r="Z234" s="277" t="n">
        <v>1</v>
      </c>
      <c r="AA234" s="277" t="n">
        <v>1</v>
      </c>
      <c r="AB234" s="277" t="n">
        <v>1</v>
      </c>
      <c r="AC234" s="277" t="n">
        <v>1</v>
      </c>
      <c r="AD234" s="277" t="n">
        <v>1</v>
      </c>
      <c r="AE234" s="277" t="n">
        <v>1</v>
      </c>
      <c r="AF234" s="277" t="n">
        <v>1</v>
      </c>
      <c r="AG234" s="277" t="n">
        <v>1</v>
      </c>
      <c r="AH234" s="277" t="n">
        <v>1</v>
      </c>
      <c r="AI234" s="277" t="n">
        <v>1</v>
      </c>
      <c r="AJ234" s="277" t="n">
        <v>1</v>
      </c>
      <c r="AK234" s="277" t="n">
        <v>1</v>
      </c>
      <c r="AL234" s="277" t="n">
        <v>1</v>
      </c>
      <c r="AM234" s="277" t="n">
        <v>1</v>
      </c>
      <c r="AN234" s="277" t="n">
        <v>1</v>
      </c>
      <c r="AO234" s="277" t="n">
        <v>1</v>
      </c>
      <c r="AP234" s="277" t="n">
        <v>1</v>
      </c>
      <c r="AQ234" s="277" t="n">
        <v>1</v>
      </c>
      <c r="AR234" s="277" t="n">
        <v>1</v>
      </c>
      <c r="AS234" s="277" t="n">
        <v>1</v>
      </c>
      <c r="AT234" s="277" t="n">
        <v>1</v>
      </c>
      <c r="AU234" s="277" t="n">
        <v>1</v>
      </c>
      <c r="AV234" s="277" t="n">
        <v>1</v>
      </c>
      <c r="AW234" s="277" t="n">
        <v>1</v>
      </c>
      <c r="AX234" s="277" t="n">
        <v>1</v>
      </c>
      <c r="AY234" s="277" t="n">
        <v>1</v>
      </c>
      <c r="AZ234" s="277" t="n">
        <v>1</v>
      </c>
    </row>
    <row r="235" customFormat="false" ht="15" hidden="false" customHeight="false" outlineLevel="0" collapsed="false">
      <c r="A235" s="275" t="s">
        <v>375</v>
      </c>
      <c r="B235" s="275"/>
      <c r="C235" s="276" t="n">
        <v>1</v>
      </c>
      <c r="D235" s="276" t="n">
        <v>1</v>
      </c>
      <c r="E235" s="276" t="n">
        <v>1</v>
      </c>
      <c r="F235" s="276" t="n">
        <v>1</v>
      </c>
      <c r="G235" s="276" t="n">
        <v>1</v>
      </c>
      <c r="H235" s="276" t="n">
        <v>1</v>
      </c>
      <c r="I235" s="276" t="n">
        <v>1</v>
      </c>
      <c r="J235" s="276" t="n">
        <v>1</v>
      </c>
      <c r="K235" s="276" t="n">
        <v>1</v>
      </c>
      <c r="L235" s="276" t="n">
        <v>1</v>
      </c>
      <c r="M235" s="276" t="n">
        <v>1</v>
      </c>
      <c r="N235" s="276" t="n">
        <v>1</v>
      </c>
      <c r="O235" s="276" t="n">
        <v>1</v>
      </c>
      <c r="P235" s="276" t="n">
        <v>1</v>
      </c>
      <c r="Q235" s="277" t="n">
        <v>1</v>
      </c>
      <c r="R235" s="277" t="n">
        <v>1</v>
      </c>
      <c r="S235" s="277" t="n">
        <v>1</v>
      </c>
      <c r="T235" s="277" t="n">
        <v>1</v>
      </c>
      <c r="U235" s="277" t="n">
        <v>1</v>
      </c>
      <c r="V235" s="277" t="n">
        <v>1</v>
      </c>
      <c r="W235" s="277" t="n">
        <v>1</v>
      </c>
      <c r="X235" s="277" t="n">
        <v>1</v>
      </c>
      <c r="Y235" s="277" t="n">
        <v>1</v>
      </c>
      <c r="Z235" s="277" t="n">
        <v>1</v>
      </c>
      <c r="AA235" s="277" t="n">
        <v>1</v>
      </c>
      <c r="AB235" s="277" t="n">
        <v>1</v>
      </c>
      <c r="AC235" s="277" t="n">
        <v>1</v>
      </c>
      <c r="AD235" s="277" t="n">
        <v>1</v>
      </c>
      <c r="AE235" s="277" t="n">
        <v>1</v>
      </c>
      <c r="AF235" s="277" t="n">
        <v>1</v>
      </c>
      <c r="AG235" s="277" t="n">
        <v>1</v>
      </c>
      <c r="AH235" s="277" t="n">
        <v>1</v>
      </c>
      <c r="AI235" s="277" t="n">
        <v>1</v>
      </c>
      <c r="AJ235" s="277" t="n">
        <v>1</v>
      </c>
      <c r="AK235" s="277" t="n">
        <v>1</v>
      </c>
      <c r="AL235" s="277" t="n">
        <v>1</v>
      </c>
      <c r="AM235" s="277" t="n">
        <v>1</v>
      </c>
      <c r="AN235" s="277" t="n">
        <v>1</v>
      </c>
      <c r="AO235" s="277" t="n">
        <v>1</v>
      </c>
      <c r="AP235" s="277" t="n">
        <v>1</v>
      </c>
      <c r="AQ235" s="277" t="n">
        <v>1</v>
      </c>
      <c r="AR235" s="277" t="n">
        <v>1</v>
      </c>
      <c r="AS235" s="277" t="n">
        <v>1</v>
      </c>
      <c r="AT235" s="277" t="n">
        <v>1</v>
      </c>
      <c r="AU235" s="277" t="n">
        <v>1</v>
      </c>
      <c r="AV235" s="277" t="n">
        <v>1</v>
      </c>
      <c r="AW235" s="277" t="n">
        <v>1</v>
      </c>
      <c r="AX235" s="277" t="n">
        <v>1</v>
      </c>
      <c r="AY235" s="277" t="n">
        <v>1</v>
      </c>
      <c r="AZ235" s="277" t="n">
        <v>1</v>
      </c>
    </row>
    <row r="236" customFormat="false" ht="15" hidden="false" customHeight="false" outlineLevel="0" collapsed="false">
      <c r="A236" s="275" t="s">
        <v>376</v>
      </c>
      <c r="B236" s="275"/>
      <c r="C236" s="276" t="n">
        <v>1</v>
      </c>
      <c r="D236" s="276" t="n">
        <v>1</v>
      </c>
      <c r="E236" s="276" t="n">
        <v>1</v>
      </c>
      <c r="F236" s="276" t="n">
        <v>1</v>
      </c>
      <c r="G236" s="276" t="n">
        <v>1</v>
      </c>
      <c r="H236" s="276" t="n">
        <v>1</v>
      </c>
      <c r="I236" s="276" t="n">
        <v>1</v>
      </c>
      <c r="J236" s="276" t="n">
        <v>1</v>
      </c>
      <c r="K236" s="276" t="n">
        <v>1</v>
      </c>
      <c r="L236" s="276" t="n">
        <v>1</v>
      </c>
      <c r="M236" s="276" t="n">
        <v>1</v>
      </c>
      <c r="N236" s="276" t="n">
        <v>1</v>
      </c>
      <c r="O236" s="276" t="n">
        <v>1</v>
      </c>
      <c r="P236" s="276" t="n">
        <v>1</v>
      </c>
      <c r="Q236" s="277" t="n">
        <v>1</v>
      </c>
      <c r="R236" s="277" t="n">
        <v>1</v>
      </c>
      <c r="S236" s="277" t="n">
        <v>1</v>
      </c>
      <c r="T236" s="277" t="n">
        <v>1</v>
      </c>
      <c r="U236" s="277" t="n">
        <v>1</v>
      </c>
      <c r="V236" s="277" t="n">
        <v>1</v>
      </c>
      <c r="W236" s="277" t="n">
        <v>1</v>
      </c>
      <c r="X236" s="277" t="n">
        <v>1</v>
      </c>
      <c r="Y236" s="277" t="n">
        <v>1</v>
      </c>
      <c r="Z236" s="277" t="n">
        <v>1</v>
      </c>
      <c r="AA236" s="277" t="n">
        <v>1</v>
      </c>
      <c r="AB236" s="277" t="n">
        <v>1</v>
      </c>
      <c r="AC236" s="277" t="n">
        <v>1</v>
      </c>
      <c r="AD236" s="277" t="n">
        <v>1</v>
      </c>
      <c r="AE236" s="277" t="n">
        <v>1</v>
      </c>
      <c r="AF236" s="277" t="n">
        <v>1</v>
      </c>
      <c r="AG236" s="277" t="n">
        <v>1</v>
      </c>
      <c r="AH236" s="277" t="n">
        <v>1</v>
      </c>
      <c r="AI236" s="277" t="n">
        <v>1</v>
      </c>
      <c r="AJ236" s="277" t="n">
        <v>1</v>
      </c>
      <c r="AK236" s="277" t="n">
        <v>1</v>
      </c>
      <c r="AL236" s="277" t="n">
        <v>1</v>
      </c>
      <c r="AM236" s="277" t="n">
        <v>1</v>
      </c>
      <c r="AN236" s="277" t="n">
        <v>1</v>
      </c>
      <c r="AO236" s="277" t="n">
        <v>1</v>
      </c>
      <c r="AP236" s="277" t="n">
        <v>1</v>
      </c>
      <c r="AQ236" s="277" t="n">
        <v>1</v>
      </c>
      <c r="AR236" s="277" t="n">
        <v>1</v>
      </c>
      <c r="AS236" s="277" t="n">
        <v>1</v>
      </c>
      <c r="AT236" s="277" t="n">
        <v>1</v>
      </c>
      <c r="AU236" s="277" t="n">
        <v>1</v>
      </c>
      <c r="AV236" s="277" t="n">
        <v>1</v>
      </c>
      <c r="AW236" s="277" t="n">
        <v>1</v>
      </c>
      <c r="AX236" s="277" t="n">
        <v>1</v>
      </c>
      <c r="AY236" s="277" t="n">
        <v>1</v>
      </c>
      <c r="AZ236" s="277" t="n">
        <v>1</v>
      </c>
    </row>
    <row r="237" customFormat="false" ht="15" hidden="false" customHeight="false" outlineLevel="0" collapsed="false">
      <c r="A237" s="275" t="s">
        <v>377</v>
      </c>
      <c r="B237" s="275"/>
      <c r="C237" s="276" t="n">
        <v>1</v>
      </c>
      <c r="D237" s="276" t="n">
        <v>1</v>
      </c>
      <c r="E237" s="276" t="n">
        <v>1</v>
      </c>
      <c r="F237" s="276" t="n">
        <v>1</v>
      </c>
      <c r="G237" s="276" t="n">
        <v>1</v>
      </c>
      <c r="H237" s="276" t="n">
        <v>1</v>
      </c>
      <c r="I237" s="276" t="n">
        <v>1</v>
      </c>
      <c r="J237" s="276" t="n">
        <v>1</v>
      </c>
      <c r="K237" s="276" t="n">
        <v>1</v>
      </c>
      <c r="L237" s="276" t="n">
        <v>1</v>
      </c>
      <c r="M237" s="276" t="n">
        <v>1</v>
      </c>
      <c r="N237" s="276" t="n">
        <v>1</v>
      </c>
      <c r="O237" s="276" t="n">
        <v>1</v>
      </c>
      <c r="P237" s="276" t="n">
        <v>1</v>
      </c>
      <c r="Q237" s="277" t="n">
        <v>1</v>
      </c>
      <c r="R237" s="277" t="n">
        <v>1</v>
      </c>
      <c r="S237" s="277" t="n">
        <v>1</v>
      </c>
      <c r="T237" s="277" t="n">
        <v>1</v>
      </c>
      <c r="U237" s="277" t="n">
        <v>1</v>
      </c>
      <c r="V237" s="277" t="n">
        <v>1</v>
      </c>
      <c r="W237" s="277" t="n">
        <v>1</v>
      </c>
      <c r="X237" s="277" t="n">
        <v>1</v>
      </c>
      <c r="Y237" s="277" t="n">
        <v>1</v>
      </c>
      <c r="Z237" s="277" t="n">
        <v>1</v>
      </c>
      <c r="AA237" s="277" t="n">
        <v>1</v>
      </c>
      <c r="AB237" s="277" t="n">
        <v>1</v>
      </c>
      <c r="AC237" s="277" t="n">
        <v>1</v>
      </c>
      <c r="AD237" s="277" t="n">
        <v>1</v>
      </c>
      <c r="AE237" s="277" t="n">
        <v>1</v>
      </c>
      <c r="AF237" s="277" t="n">
        <v>1</v>
      </c>
      <c r="AG237" s="277" t="n">
        <v>1</v>
      </c>
      <c r="AH237" s="277" t="n">
        <v>1</v>
      </c>
      <c r="AI237" s="277" t="n">
        <v>1</v>
      </c>
      <c r="AJ237" s="277" t="n">
        <v>1</v>
      </c>
      <c r="AK237" s="277" t="n">
        <v>1</v>
      </c>
      <c r="AL237" s="277" t="n">
        <v>1</v>
      </c>
      <c r="AM237" s="277" t="n">
        <v>1</v>
      </c>
      <c r="AN237" s="277" t="n">
        <v>1</v>
      </c>
      <c r="AO237" s="277" t="n">
        <v>1</v>
      </c>
      <c r="AP237" s="277" t="n">
        <v>1</v>
      </c>
      <c r="AQ237" s="277" t="n">
        <v>1</v>
      </c>
      <c r="AR237" s="277" t="n">
        <v>1</v>
      </c>
      <c r="AS237" s="277" t="n">
        <v>1</v>
      </c>
      <c r="AT237" s="277" t="n">
        <v>1</v>
      </c>
      <c r="AU237" s="277" t="n">
        <v>1</v>
      </c>
      <c r="AV237" s="277" t="n">
        <v>1</v>
      </c>
      <c r="AW237" s="277" t="n">
        <v>1</v>
      </c>
      <c r="AX237" s="277" t="n">
        <v>1</v>
      </c>
      <c r="AY237" s="277" t="n">
        <v>1</v>
      </c>
      <c r="AZ237" s="277" t="n">
        <v>1</v>
      </c>
    </row>
    <row r="238" customFormat="false" ht="15" hidden="false" customHeight="false" outlineLevel="0" collapsed="false">
      <c r="A238" s="275" t="s">
        <v>378</v>
      </c>
      <c r="B238" s="275"/>
      <c r="C238" s="276" t="n">
        <v>1</v>
      </c>
      <c r="D238" s="276" t="n">
        <v>1</v>
      </c>
      <c r="E238" s="276" t="n">
        <v>1</v>
      </c>
      <c r="F238" s="276" t="n">
        <v>1</v>
      </c>
      <c r="G238" s="276" t="n">
        <v>1</v>
      </c>
      <c r="H238" s="276" t="n">
        <v>1</v>
      </c>
      <c r="I238" s="276" t="n">
        <v>1</v>
      </c>
      <c r="J238" s="276" t="n">
        <v>1</v>
      </c>
      <c r="K238" s="276" t="n">
        <v>1</v>
      </c>
      <c r="L238" s="276" t="n">
        <v>1</v>
      </c>
      <c r="M238" s="276" t="n">
        <v>1</v>
      </c>
      <c r="N238" s="276" t="n">
        <v>1</v>
      </c>
      <c r="O238" s="276" t="n">
        <v>1</v>
      </c>
      <c r="P238" s="276" t="n">
        <v>1</v>
      </c>
      <c r="Q238" s="277" t="n">
        <v>1</v>
      </c>
      <c r="R238" s="277" t="n">
        <v>1</v>
      </c>
      <c r="S238" s="277" t="n">
        <v>1</v>
      </c>
      <c r="T238" s="277" t="n">
        <v>1</v>
      </c>
      <c r="U238" s="277" t="n">
        <v>1</v>
      </c>
      <c r="V238" s="277" t="n">
        <v>1</v>
      </c>
      <c r="W238" s="277" t="n">
        <v>1</v>
      </c>
      <c r="X238" s="277" t="n">
        <v>1</v>
      </c>
      <c r="Y238" s="277" t="n">
        <v>1</v>
      </c>
      <c r="Z238" s="277" t="n">
        <v>1</v>
      </c>
      <c r="AA238" s="277" t="n">
        <v>1</v>
      </c>
      <c r="AB238" s="277" t="n">
        <v>1</v>
      </c>
      <c r="AC238" s="277" t="n">
        <v>1</v>
      </c>
      <c r="AD238" s="277" t="n">
        <v>1</v>
      </c>
      <c r="AE238" s="277" t="n">
        <v>1</v>
      </c>
      <c r="AF238" s="277" t="n">
        <v>1</v>
      </c>
      <c r="AG238" s="277" t="n">
        <v>1</v>
      </c>
      <c r="AH238" s="277" t="n">
        <v>1</v>
      </c>
      <c r="AI238" s="277" t="n">
        <v>1</v>
      </c>
      <c r="AJ238" s="277" t="n">
        <v>1</v>
      </c>
      <c r="AK238" s="277" t="n">
        <v>1</v>
      </c>
      <c r="AL238" s="277" t="n">
        <v>1</v>
      </c>
      <c r="AM238" s="277" t="n">
        <v>1</v>
      </c>
      <c r="AN238" s="277" t="n">
        <v>1</v>
      </c>
      <c r="AO238" s="277" t="n">
        <v>1</v>
      </c>
      <c r="AP238" s="277" t="n">
        <v>1</v>
      </c>
      <c r="AQ238" s="277" t="n">
        <v>1</v>
      </c>
      <c r="AR238" s="277" t="n">
        <v>1</v>
      </c>
      <c r="AS238" s="277" t="n">
        <v>1</v>
      </c>
      <c r="AT238" s="277" t="n">
        <v>1</v>
      </c>
      <c r="AU238" s="277" t="n">
        <v>1</v>
      </c>
      <c r="AV238" s="277" t="n">
        <v>1</v>
      </c>
      <c r="AW238" s="277" t="n">
        <v>1</v>
      </c>
      <c r="AX238" s="277" t="n">
        <v>1</v>
      </c>
      <c r="AY238" s="277" t="n">
        <v>1</v>
      </c>
      <c r="AZ238" s="277" t="n">
        <v>1</v>
      </c>
    </row>
    <row r="239" customFormat="false" ht="15.75" hidden="false" customHeight="true" outlineLevel="0" collapsed="false">
      <c r="A239" s="200" t="s">
        <v>647</v>
      </c>
      <c r="B239" s="200"/>
      <c r="C239" s="200"/>
      <c r="D239" s="200"/>
      <c r="E239" s="200"/>
      <c r="F239" s="200"/>
      <c r="G239" s="200"/>
      <c r="H239" s="200"/>
      <c r="I239" s="200"/>
      <c r="J239" s="200"/>
      <c r="K239" s="200"/>
      <c r="L239" s="200"/>
      <c r="M239" s="200"/>
      <c r="N239" s="200"/>
      <c r="O239" s="200"/>
      <c r="P239" s="200"/>
      <c r="Q239" s="200"/>
    </row>
    <row r="240" customFormat="false" ht="15" hidden="false" customHeight="false" outlineLevel="0" collapsed="false">
      <c r="A240" s="275" t="s">
        <v>374</v>
      </c>
      <c r="B240" s="275"/>
      <c r="C240" s="276" t="n">
        <v>2050</v>
      </c>
      <c r="D240" s="276" t="n">
        <v>2050</v>
      </c>
      <c r="E240" s="276" t="n">
        <v>2050</v>
      </c>
      <c r="F240" s="276" t="n">
        <v>2050</v>
      </c>
      <c r="G240" s="276" t="n">
        <v>2050</v>
      </c>
      <c r="H240" s="276" t="n">
        <v>2050</v>
      </c>
      <c r="I240" s="276" t="n">
        <v>2050</v>
      </c>
      <c r="J240" s="276" t="n">
        <v>2050</v>
      </c>
      <c r="K240" s="276" t="n">
        <v>2050</v>
      </c>
      <c r="L240" s="276" t="n">
        <v>2050</v>
      </c>
      <c r="M240" s="276" t="n">
        <v>2050</v>
      </c>
      <c r="N240" s="276" t="n">
        <v>2050</v>
      </c>
      <c r="O240" s="276" t="n">
        <v>2050</v>
      </c>
      <c r="P240" s="276" t="n">
        <v>2050</v>
      </c>
      <c r="Q240" s="277" t="n">
        <v>2050</v>
      </c>
      <c r="R240" s="277" t="n">
        <v>2050</v>
      </c>
      <c r="S240" s="277" t="n">
        <v>2050</v>
      </c>
      <c r="T240" s="277" t="n">
        <v>2050</v>
      </c>
      <c r="U240" s="277" t="n">
        <v>2050</v>
      </c>
      <c r="V240" s="277" t="n">
        <v>2050</v>
      </c>
      <c r="W240" s="277" t="n">
        <v>2050</v>
      </c>
      <c r="X240" s="277" t="n">
        <v>2050</v>
      </c>
      <c r="Y240" s="277" t="n">
        <v>2050</v>
      </c>
      <c r="Z240" s="277" t="n">
        <v>2050</v>
      </c>
      <c r="AA240" s="277" t="n">
        <v>2050</v>
      </c>
      <c r="AB240" s="277" t="n">
        <v>2050</v>
      </c>
      <c r="AC240" s="277" t="n">
        <v>2050</v>
      </c>
      <c r="AD240" s="277" t="n">
        <v>2050</v>
      </c>
      <c r="AE240" s="277" t="n">
        <v>2050</v>
      </c>
      <c r="AF240" s="277" t="n">
        <v>2050</v>
      </c>
      <c r="AG240" s="277" t="n">
        <v>2050</v>
      </c>
      <c r="AH240" s="277" t="n">
        <v>2050</v>
      </c>
      <c r="AI240" s="277" t="n">
        <v>2050</v>
      </c>
      <c r="AJ240" s="277" t="n">
        <v>2050</v>
      </c>
      <c r="AK240" s="277" t="n">
        <v>2050</v>
      </c>
      <c r="AL240" s="277" t="n">
        <v>2050</v>
      </c>
      <c r="AM240" s="277" t="n">
        <v>2050</v>
      </c>
      <c r="AN240" s="277" t="n">
        <v>2050</v>
      </c>
      <c r="AO240" s="277" t="n">
        <v>2050</v>
      </c>
      <c r="AP240" s="277" t="n">
        <v>2050</v>
      </c>
      <c r="AQ240" s="277" t="n">
        <v>2050</v>
      </c>
      <c r="AR240" s="277" t="n">
        <v>2050</v>
      </c>
      <c r="AS240" s="277" t="n">
        <v>2050</v>
      </c>
      <c r="AT240" s="277" t="n">
        <v>2050</v>
      </c>
      <c r="AU240" s="277" t="n">
        <v>2050</v>
      </c>
      <c r="AV240" s="277" t="n">
        <v>2050</v>
      </c>
      <c r="AW240" s="277" t="n">
        <v>2050</v>
      </c>
      <c r="AX240" s="277" t="n">
        <v>2050</v>
      </c>
      <c r="AY240" s="277" t="n">
        <v>2050</v>
      </c>
      <c r="AZ240" s="277" t="n">
        <v>2050</v>
      </c>
    </row>
    <row r="241" customFormat="false" ht="15" hidden="false" customHeight="false" outlineLevel="0" collapsed="false">
      <c r="A241" s="275" t="s">
        <v>375</v>
      </c>
      <c r="B241" s="275"/>
      <c r="C241" s="276" t="n">
        <v>2050</v>
      </c>
      <c r="D241" s="276" t="n">
        <v>2050</v>
      </c>
      <c r="E241" s="276" t="n">
        <v>2050</v>
      </c>
      <c r="F241" s="276" t="n">
        <v>2050</v>
      </c>
      <c r="G241" s="276" t="n">
        <v>2050</v>
      </c>
      <c r="H241" s="276" t="n">
        <v>2050</v>
      </c>
      <c r="I241" s="276" t="n">
        <v>2050</v>
      </c>
      <c r="J241" s="276" t="n">
        <v>2050</v>
      </c>
      <c r="K241" s="276" t="n">
        <v>2050</v>
      </c>
      <c r="L241" s="276" t="n">
        <v>2050</v>
      </c>
      <c r="M241" s="276" t="n">
        <v>2050</v>
      </c>
      <c r="N241" s="276" t="n">
        <v>2050</v>
      </c>
      <c r="O241" s="276" t="n">
        <v>2050</v>
      </c>
      <c r="P241" s="276" t="n">
        <v>2050</v>
      </c>
      <c r="Q241" s="277" t="n">
        <v>2050</v>
      </c>
      <c r="R241" s="277" t="n">
        <v>2050</v>
      </c>
      <c r="S241" s="277" t="n">
        <v>2050</v>
      </c>
      <c r="T241" s="277" t="n">
        <v>2050</v>
      </c>
      <c r="U241" s="277" t="n">
        <v>2050</v>
      </c>
      <c r="V241" s="277" t="n">
        <v>2050</v>
      </c>
      <c r="W241" s="277" t="n">
        <v>2050</v>
      </c>
      <c r="X241" s="277" t="n">
        <v>2050</v>
      </c>
      <c r="Y241" s="277" t="n">
        <v>2050</v>
      </c>
      <c r="Z241" s="277" t="n">
        <v>2050</v>
      </c>
      <c r="AA241" s="277" t="n">
        <v>2050</v>
      </c>
      <c r="AB241" s="277" t="n">
        <v>2050</v>
      </c>
      <c r="AC241" s="277" t="n">
        <v>2050</v>
      </c>
      <c r="AD241" s="277" t="n">
        <v>2050</v>
      </c>
      <c r="AE241" s="277" t="n">
        <v>2050</v>
      </c>
      <c r="AF241" s="277" t="n">
        <v>2050</v>
      </c>
      <c r="AG241" s="277" t="n">
        <v>2050</v>
      </c>
      <c r="AH241" s="277" t="n">
        <v>2050</v>
      </c>
      <c r="AI241" s="277" t="n">
        <v>2050</v>
      </c>
      <c r="AJ241" s="277" t="n">
        <v>2050</v>
      </c>
      <c r="AK241" s="277" t="n">
        <v>2050</v>
      </c>
      <c r="AL241" s="277" t="n">
        <v>2050</v>
      </c>
      <c r="AM241" s="277" t="n">
        <v>2050</v>
      </c>
      <c r="AN241" s="277" t="n">
        <v>2050</v>
      </c>
      <c r="AO241" s="277" t="n">
        <v>2050</v>
      </c>
      <c r="AP241" s="277" t="n">
        <v>2050</v>
      </c>
      <c r="AQ241" s="277" t="n">
        <v>2050</v>
      </c>
      <c r="AR241" s="277" t="n">
        <v>2050</v>
      </c>
      <c r="AS241" s="277" t="n">
        <v>2050</v>
      </c>
      <c r="AT241" s="277" t="n">
        <v>2050</v>
      </c>
      <c r="AU241" s="277" t="n">
        <v>2050</v>
      </c>
      <c r="AV241" s="277" t="n">
        <v>2050</v>
      </c>
      <c r="AW241" s="277" t="n">
        <v>2050</v>
      </c>
      <c r="AX241" s="277" t="n">
        <v>2050</v>
      </c>
      <c r="AY241" s="277" t="n">
        <v>2050</v>
      </c>
      <c r="AZ241" s="277" t="n">
        <v>2050</v>
      </c>
    </row>
    <row r="242" customFormat="false" ht="15" hidden="false" customHeight="false" outlineLevel="0" collapsed="false">
      <c r="A242" s="275" t="s">
        <v>376</v>
      </c>
      <c r="B242" s="275"/>
      <c r="C242" s="276" t="n">
        <v>2050</v>
      </c>
      <c r="D242" s="276" t="n">
        <v>2050</v>
      </c>
      <c r="E242" s="276" t="n">
        <v>2050</v>
      </c>
      <c r="F242" s="276" t="n">
        <v>2050</v>
      </c>
      <c r="G242" s="276" t="n">
        <v>2050</v>
      </c>
      <c r="H242" s="276" t="n">
        <v>2050</v>
      </c>
      <c r="I242" s="276" t="n">
        <v>2050</v>
      </c>
      <c r="J242" s="276" t="n">
        <v>2050</v>
      </c>
      <c r="K242" s="276" t="n">
        <v>2050</v>
      </c>
      <c r="L242" s="276" t="n">
        <v>2050</v>
      </c>
      <c r="M242" s="276" t="n">
        <v>2050</v>
      </c>
      <c r="N242" s="276" t="n">
        <v>2050</v>
      </c>
      <c r="O242" s="276" t="n">
        <v>2050</v>
      </c>
      <c r="P242" s="276" t="n">
        <v>2050</v>
      </c>
      <c r="Q242" s="277" t="n">
        <v>2050</v>
      </c>
      <c r="R242" s="277" t="n">
        <v>2050</v>
      </c>
      <c r="S242" s="277" t="n">
        <v>2050</v>
      </c>
      <c r="T242" s="277" t="n">
        <v>2050</v>
      </c>
      <c r="U242" s="277" t="n">
        <v>2050</v>
      </c>
      <c r="V242" s="277" t="n">
        <v>2050</v>
      </c>
      <c r="W242" s="277" t="n">
        <v>2050</v>
      </c>
      <c r="X242" s="277" t="n">
        <v>2050</v>
      </c>
      <c r="Y242" s="277" t="n">
        <v>2050</v>
      </c>
      <c r="Z242" s="277" t="n">
        <v>2050</v>
      </c>
      <c r="AA242" s="277" t="n">
        <v>2050</v>
      </c>
      <c r="AB242" s="277" t="n">
        <v>2050</v>
      </c>
      <c r="AC242" s="277" t="n">
        <v>2050</v>
      </c>
      <c r="AD242" s="277" t="n">
        <v>2050</v>
      </c>
      <c r="AE242" s="277" t="n">
        <v>2050</v>
      </c>
      <c r="AF242" s="277" t="n">
        <v>2050</v>
      </c>
      <c r="AG242" s="277" t="n">
        <v>2050</v>
      </c>
      <c r="AH242" s="277" t="n">
        <v>2050</v>
      </c>
      <c r="AI242" s="277" t="n">
        <v>2050</v>
      </c>
      <c r="AJ242" s="277" t="n">
        <v>2050</v>
      </c>
      <c r="AK242" s="277" t="n">
        <v>2050</v>
      </c>
      <c r="AL242" s="277" t="n">
        <v>2050</v>
      </c>
      <c r="AM242" s="277" t="n">
        <v>2050</v>
      </c>
      <c r="AN242" s="277" t="n">
        <v>2050</v>
      </c>
      <c r="AO242" s="277" t="n">
        <v>2050</v>
      </c>
      <c r="AP242" s="277" t="n">
        <v>2050</v>
      </c>
      <c r="AQ242" s="277" t="n">
        <v>2050</v>
      </c>
      <c r="AR242" s="277" t="n">
        <v>2050</v>
      </c>
      <c r="AS242" s="277" t="n">
        <v>2050</v>
      </c>
      <c r="AT242" s="277" t="n">
        <v>2050</v>
      </c>
      <c r="AU242" s="277" t="n">
        <v>2050</v>
      </c>
      <c r="AV242" s="277" t="n">
        <v>2050</v>
      </c>
      <c r="AW242" s="277" t="n">
        <v>2050</v>
      </c>
      <c r="AX242" s="277" t="n">
        <v>2050</v>
      </c>
      <c r="AY242" s="277" t="n">
        <v>2050</v>
      </c>
      <c r="AZ242" s="277" t="n">
        <v>2050</v>
      </c>
    </row>
    <row r="243" customFormat="false" ht="15" hidden="false" customHeight="false" outlineLevel="0" collapsed="false">
      <c r="A243" s="275" t="s">
        <v>377</v>
      </c>
      <c r="B243" s="275"/>
      <c r="C243" s="276" t="n">
        <v>2050</v>
      </c>
      <c r="D243" s="276" t="n">
        <v>2050</v>
      </c>
      <c r="E243" s="276" t="n">
        <v>2050</v>
      </c>
      <c r="F243" s="276" t="n">
        <v>2050</v>
      </c>
      <c r="G243" s="276" t="n">
        <v>2050</v>
      </c>
      <c r="H243" s="276" t="n">
        <v>2050</v>
      </c>
      <c r="I243" s="276" t="n">
        <v>2050</v>
      </c>
      <c r="J243" s="276" t="n">
        <v>2050</v>
      </c>
      <c r="K243" s="276" t="n">
        <v>2050</v>
      </c>
      <c r="L243" s="276" t="n">
        <v>2050</v>
      </c>
      <c r="M243" s="276" t="n">
        <v>2050</v>
      </c>
      <c r="N243" s="276" t="n">
        <v>2050</v>
      </c>
      <c r="O243" s="276" t="n">
        <v>2050</v>
      </c>
      <c r="P243" s="276" t="n">
        <v>2050</v>
      </c>
      <c r="Q243" s="277" t="n">
        <v>2050</v>
      </c>
      <c r="R243" s="277" t="n">
        <v>2050</v>
      </c>
      <c r="S243" s="277" t="n">
        <v>2050</v>
      </c>
      <c r="T243" s="277" t="n">
        <v>2050</v>
      </c>
      <c r="U243" s="277" t="n">
        <v>2050</v>
      </c>
      <c r="V243" s="277" t="n">
        <v>2050</v>
      </c>
      <c r="W243" s="277" t="n">
        <v>2050</v>
      </c>
      <c r="X243" s="277" t="n">
        <v>2050</v>
      </c>
      <c r="Y243" s="277" t="n">
        <v>2050</v>
      </c>
      <c r="Z243" s="277" t="n">
        <v>2050</v>
      </c>
      <c r="AA243" s="277" t="n">
        <v>2050</v>
      </c>
      <c r="AB243" s="277" t="n">
        <v>2050</v>
      </c>
      <c r="AC243" s="277" t="n">
        <v>2050</v>
      </c>
      <c r="AD243" s="277" t="n">
        <v>2050</v>
      </c>
      <c r="AE243" s="277" t="n">
        <v>2050</v>
      </c>
      <c r="AF243" s="277" t="n">
        <v>2050</v>
      </c>
      <c r="AG243" s="277" t="n">
        <v>2050</v>
      </c>
      <c r="AH243" s="277" t="n">
        <v>2050</v>
      </c>
      <c r="AI243" s="277" t="n">
        <v>2050</v>
      </c>
      <c r="AJ243" s="277" t="n">
        <v>2050</v>
      </c>
      <c r="AK243" s="277" t="n">
        <v>2050</v>
      </c>
      <c r="AL243" s="277" t="n">
        <v>2050</v>
      </c>
      <c r="AM243" s="277" t="n">
        <v>2050</v>
      </c>
      <c r="AN243" s="277" t="n">
        <v>2050</v>
      </c>
      <c r="AO243" s="277" t="n">
        <v>2050</v>
      </c>
      <c r="AP243" s="277" t="n">
        <v>2050</v>
      </c>
      <c r="AQ243" s="277" t="n">
        <v>2050</v>
      </c>
      <c r="AR243" s="277" t="n">
        <v>2050</v>
      </c>
      <c r="AS243" s="277" t="n">
        <v>2050</v>
      </c>
      <c r="AT243" s="277" t="n">
        <v>2050</v>
      </c>
      <c r="AU243" s="277" t="n">
        <v>2050</v>
      </c>
      <c r="AV243" s="277" t="n">
        <v>2050</v>
      </c>
      <c r="AW243" s="277" t="n">
        <v>2050</v>
      </c>
      <c r="AX243" s="277" t="n">
        <v>2050</v>
      </c>
      <c r="AY243" s="277" t="n">
        <v>2050</v>
      </c>
      <c r="AZ243" s="277" t="n">
        <v>2050</v>
      </c>
    </row>
    <row r="244" customFormat="false" ht="15" hidden="false" customHeight="false" outlineLevel="0" collapsed="false">
      <c r="A244" s="275" t="s">
        <v>378</v>
      </c>
      <c r="B244" s="275"/>
      <c r="C244" s="278" t="n">
        <v>2050</v>
      </c>
      <c r="D244" s="278" t="n">
        <v>2050</v>
      </c>
      <c r="E244" s="278" t="n">
        <v>2050</v>
      </c>
      <c r="F244" s="278" t="n">
        <v>2050</v>
      </c>
      <c r="G244" s="278" t="n">
        <v>2050</v>
      </c>
      <c r="H244" s="278" t="n">
        <v>2050</v>
      </c>
      <c r="I244" s="278" t="n">
        <v>2050</v>
      </c>
      <c r="J244" s="278" t="n">
        <v>2050</v>
      </c>
      <c r="K244" s="278" t="n">
        <v>2050</v>
      </c>
      <c r="L244" s="278" t="n">
        <v>2050</v>
      </c>
      <c r="M244" s="278" t="n">
        <v>2050</v>
      </c>
      <c r="N244" s="278" t="n">
        <v>2050</v>
      </c>
      <c r="O244" s="278" t="n">
        <v>2050</v>
      </c>
      <c r="P244" s="278" t="n">
        <v>2050</v>
      </c>
      <c r="Q244" s="279" t="n">
        <v>2050</v>
      </c>
      <c r="R244" s="279" t="n">
        <v>2050</v>
      </c>
      <c r="S244" s="279" t="n">
        <v>2050</v>
      </c>
      <c r="T244" s="279" t="n">
        <v>2050</v>
      </c>
      <c r="U244" s="279" t="n">
        <v>2050</v>
      </c>
      <c r="V244" s="279" t="n">
        <v>2050</v>
      </c>
      <c r="W244" s="279" t="n">
        <v>2050</v>
      </c>
      <c r="X244" s="279" t="n">
        <v>2050</v>
      </c>
      <c r="Y244" s="279" t="n">
        <v>2050</v>
      </c>
      <c r="Z244" s="279" t="n">
        <v>2050</v>
      </c>
      <c r="AA244" s="279" t="n">
        <v>2050</v>
      </c>
      <c r="AB244" s="279" t="n">
        <v>2050</v>
      </c>
      <c r="AC244" s="279" t="n">
        <v>2050</v>
      </c>
      <c r="AD244" s="279" t="n">
        <v>2050</v>
      </c>
      <c r="AE244" s="279" t="n">
        <v>2050</v>
      </c>
      <c r="AF244" s="279" t="n">
        <v>2050</v>
      </c>
      <c r="AG244" s="279" t="n">
        <v>2050</v>
      </c>
      <c r="AH244" s="279" t="n">
        <v>2050</v>
      </c>
      <c r="AI244" s="279" t="n">
        <v>2050</v>
      </c>
      <c r="AJ244" s="279" t="n">
        <v>2050</v>
      </c>
      <c r="AK244" s="279" t="n">
        <v>2050</v>
      </c>
      <c r="AL244" s="279" t="n">
        <v>2050</v>
      </c>
      <c r="AM244" s="279" t="n">
        <v>2050</v>
      </c>
      <c r="AN244" s="279" t="n">
        <v>2050</v>
      </c>
      <c r="AO244" s="279" t="n">
        <v>2050</v>
      </c>
      <c r="AP244" s="279" t="n">
        <v>2050</v>
      </c>
      <c r="AQ244" s="279" t="n">
        <v>2050</v>
      </c>
      <c r="AR244" s="279" t="n">
        <v>2050</v>
      </c>
      <c r="AS244" s="279" t="n">
        <v>2050</v>
      </c>
      <c r="AT244" s="279" t="n">
        <v>2050</v>
      </c>
      <c r="AU244" s="279" t="n">
        <v>2050</v>
      </c>
      <c r="AV244" s="279" t="n">
        <v>2050</v>
      </c>
      <c r="AW244" s="279" t="n">
        <v>2050</v>
      </c>
      <c r="AX244" s="279" t="n">
        <v>2050</v>
      </c>
      <c r="AY244" s="279" t="n">
        <v>2050</v>
      </c>
      <c r="AZ244" s="279" t="n">
        <v>2050</v>
      </c>
    </row>
    <row r="246" customFormat="false" ht="23.25" hidden="false" customHeight="true" outlineLevel="0" collapsed="false">
      <c r="A246" s="200" t="s">
        <v>386</v>
      </c>
      <c r="B246" s="200"/>
      <c r="C246" s="200"/>
    </row>
    <row r="247" customFormat="false" ht="15.75" hidden="false" customHeight="true" outlineLevel="0" collapsed="false">
      <c r="A247" s="245" t="s">
        <v>387</v>
      </c>
      <c r="B247" s="280" t="s">
        <v>388</v>
      </c>
      <c r="C247" s="281" t="n">
        <v>1</v>
      </c>
    </row>
    <row r="248" customFormat="false" ht="14.25" hidden="false" customHeight="true" outlineLevel="0" collapsed="false">
      <c r="A248" s="245"/>
      <c r="B248" s="280" t="s">
        <v>389</v>
      </c>
      <c r="C248" s="281"/>
    </row>
    <row r="249" customFormat="false" ht="15" hidden="false" customHeight="false" outlineLevel="0" collapsed="false">
      <c r="A249" s="208" t="s">
        <v>648</v>
      </c>
      <c r="B249" s="280" t="s">
        <v>36</v>
      </c>
      <c r="C249" s="204" t="n">
        <v>2020</v>
      </c>
    </row>
    <row r="250" customFormat="false" ht="15" hidden="false" customHeight="false" outlineLevel="0" collapsed="false">
      <c r="A250" s="282" t="s">
        <v>390</v>
      </c>
      <c r="B250" s="283" t="s">
        <v>36</v>
      </c>
      <c r="C250" s="284" t="n">
        <v>2050</v>
      </c>
    </row>
    <row r="251" customFormat="false" ht="14.25" hidden="false" customHeight="true" outlineLevel="0" collapsed="false">
      <c r="A251" s="200" t="s">
        <v>394</v>
      </c>
      <c r="B251" s="200"/>
      <c r="C251" s="200"/>
      <c r="D251" s="200"/>
      <c r="E251" s="200"/>
      <c r="F251" s="200"/>
      <c r="G251" s="200"/>
      <c r="H251" s="200"/>
      <c r="I251" s="200"/>
      <c r="J251" s="200"/>
      <c r="K251" s="200"/>
      <c r="L251" s="200"/>
      <c r="M251" s="200"/>
      <c r="N251" s="200"/>
      <c r="O251" s="200"/>
      <c r="P251" s="200"/>
      <c r="Q251" s="200"/>
    </row>
    <row r="252" customFormat="false" ht="15" hidden="false" customHeight="false" outlineLevel="0" collapsed="false">
      <c r="A252" s="285" t="s">
        <v>649</v>
      </c>
      <c r="B252" s="285"/>
      <c r="C252" s="273" t="s">
        <v>580</v>
      </c>
      <c r="D252" s="273" t="s">
        <v>597</v>
      </c>
      <c r="E252" s="273" t="s">
        <v>598</v>
      </c>
      <c r="F252" s="273" t="s">
        <v>599</v>
      </c>
      <c r="G252" s="273" t="s">
        <v>600</v>
      </c>
      <c r="H252" s="273" t="s">
        <v>601</v>
      </c>
      <c r="I252" s="273" t="s">
        <v>602</v>
      </c>
      <c r="J252" s="273" t="s">
        <v>603</v>
      </c>
      <c r="K252" s="273" t="s">
        <v>354</v>
      </c>
      <c r="L252" s="273" t="s">
        <v>369</v>
      </c>
      <c r="M252" s="273" t="s">
        <v>604</v>
      </c>
      <c r="N252" s="273" t="s">
        <v>605</v>
      </c>
      <c r="O252" s="273" t="s">
        <v>606</v>
      </c>
      <c r="P252" s="273" t="s">
        <v>607</v>
      </c>
      <c r="Q252" s="274" t="s">
        <v>608</v>
      </c>
      <c r="R252" s="274" t="s">
        <v>609</v>
      </c>
      <c r="S252" s="274" t="s">
        <v>610</v>
      </c>
      <c r="T252" s="274" t="s">
        <v>611</v>
      </c>
      <c r="U252" s="274" t="s">
        <v>612</v>
      </c>
      <c r="V252" s="274" t="s">
        <v>613</v>
      </c>
      <c r="W252" s="274" t="s">
        <v>614</v>
      </c>
      <c r="X252" s="274" t="s">
        <v>615</v>
      </c>
      <c r="Y252" s="274" t="s">
        <v>616</v>
      </c>
      <c r="Z252" s="274" t="s">
        <v>617</v>
      </c>
      <c r="AA252" s="274" t="s">
        <v>618</v>
      </c>
      <c r="AB252" s="274" t="s">
        <v>619</v>
      </c>
      <c r="AC252" s="274" t="s">
        <v>620</v>
      </c>
      <c r="AD252" s="274" t="s">
        <v>621</v>
      </c>
      <c r="AE252" s="1" t="s">
        <v>622</v>
      </c>
      <c r="AF252" s="1" t="s">
        <v>623</v>
      </c>
      <c r="AG252" s="1" t="s">
        <v>624</v>
      </c>
      <c r="AH252" s="1" t="s">
        <v>625</v>
      </c>
      <c r="AI252" s="1" t="s">
        <v>626</v>
      </c>
      <c r="AJ252" s="1" t="s">
        <v>627</v>
      </c>
      <c r="AK252" s="1" t="s">
        <v>628</v>
      </c>
      <c r="AL252" s="1" t="s">
        <v>629</v>
      </c>
      <c r="AM252" s="1" t="s">
        <v>630</v>
      </c>
      <c r="AN252" s="1" t="s">
        <v>631</v>
      </c>
      <c r="AO252" s="1" t="s">
        <v>632</v>
      </c>
      <c r="AP252" s="1" t="s">
        <v>633</v>
      </c>
      <c r="AQ252" s="1" t="s">
        <v>634</v>
      </c>
      <c r="AR252" s="1" t="s">
        <v>635</v>
      </c>
      <c r="AS252" s="1" t="s">
        <v>636</v>
      </c>
      <c r="AT252" s="1" t="s">
        <v>637</v>
      </c>
      <c r="AU252" s="1" t="s">
        <v>638</v>
      </c>
      <c r="AV252" s="1" t="s">
        <v>639</v>
      </c>
      <c r="AW252" s="1" t="s">
        <v>640</v>
      </c>
      <c r="AX252" s="1" t="s">
        <v>641</v>
      </c>
      <c r="AY252" s="1" t="s">
        <v>642</v>
      </c>
      <c r="AZ252" s="1" t="s">
        <v>643</v>
      </c>
    </row>
    <row r="253" customFormat="false" ht="16.4" hidden="false" customHeight="false" outlineLevel="0" collapsed="false">
      <c r="A253" s="286" t="s">
        <v>374</v>
      </c>
      <c r="B253" s="286"/>
      <c r="C253" s="287" t="n">
        <v>6.63886470341898E-007</v>
      </c>
      <c r="D253" s="287" t="n">
        <v>3.94150567716759E-007</v>
      </c>
      <c r="E253" s="287" t="n">
        <v>2.60568742418199E-007</v>
      </c>
      <c r="F253" s="287" t="n">
        <v>6.18039564557812E-007</v>
      </c>
      <c r="G253" s="287" t="n">
        <v>9.7945182522388E-012</v>
      </c>
      <c r="H253" s="287" t="n">
        <v>7.30787418870611E-007</v>
      </c>
      <c r="I253" s="287" t="n">
        <v>3.79996708414692E-007</v>
      </c>
      <c r="J253" s="287" t="n">
        <v>5.57245049378412E-008</v>
      </c>
      <c r="K253" s="287" t="n">
        <v>3.61288267486793E-008</v>
      </c>
      <c r="L253" s="287" t="n">
        <v>2.5952047310106E-007</v>
      </c>
      <c r="M253" s="287" t="n">
        <v>8.27091816090622E-007</v>
      </c>
      <c r="N253" s="287" t="n">
        <v>5.65420601412154E-007</v>
      </c>
      <c r="O253" s="287" t="n">
        <v>7.21581299965534E-008</v>
      </c>
      <c r="P253" s="287" t="n">
        <v>1.15467604006966E-007</v>
      </c>
      <c r="Q253" s="287" t="n">
        <v>5.86077156941521E-007</v>
      </c>
      <c r="R253" s="287" t="n">
        <v>1.79320763389123E-008</v>
      </c>
      <c r="S253" s="287" t="n">
        <v>6.43633772333513E-008</v>
      </c>
      <c r="T253" s="287" t="n">
        <v>2.23024552956448E-007</v>
      </c>
      <c r="U253" s="287" t="n">
        <v>6.40515485778184E-008</v>
      </c>
      <c r="V253" s="287" t="n">
        <v>1.99496814280996E-007</v>
      </c>
      <c r="W253" s="287" t="n">
        <v>2.16510736064606E-007</v>
      </c>
      <c r="X253" s="287" t="n">
        <v>2.30452333108599E-009</v>
      </c>
      <c r="Y253" s="287" t="n">
        <v>1.70445443975063E-007</v>
      </c>
      <c r="Z253" s="287" t="n">
        <v>2.14575741626411E-007</v>
      </c>
      <c r="AA253" s="287" t="n">
        <v>1.05813934184632E-007</v>
      </c>
      <c r="AB253" s="287" t="n">
        <v>1.43702630489252E-007</v>
      </c>
      <c r="AC253" s="287" t="n">
        <v>7.13526139338255E-007</v>
      </c>
      <c r="AD253" s="287" t="n">
        <v>5.78349221314126E-008</v>
      </c>
      <c r="AE253" s="287" t="n">
        <v>4.55283697897388E-007</v>
      </c>
      <c r="AF253" s="287" t="n">
        <v>1.4631072238219E-012</v>
      </c>
      <c r="AG253" s="287" t="n">
        <v>8.90634162582962E-007</v>
      </c>
      <c r="AH253" s="287" t="n">
        <v>9.95236494024349E-008</v>
      </c>
      <c r="AI253" s="287" t="n">
        <v>4.39854052739937E-007</v>
      </c>
      <c r="AJ253" s="287" t="n">
        <v>1.54705102206599E-006</v>
      </c>
      <c r="AK253" s="287" t="n">
        <v>1.67290094289979E-007</v>
      </c>
      <c r="AL253" s="287" t="n">
        <v>4.80047702366887E-008</v>
      </c>
      <c r="AM253" s="287" t="n">
        <v>2.43605175777352E-007</v>
      </c>
      <c r="AN253" s="287" t="n">
        <v>2.14930417487574E-007</v>
      </c>
      <c r="AO253" s="287" t="n">
        <v>5.2163583308111E-007</v>
      </c>
      <c r="AP253" s="287" t="n">
        <v>4.57953895527142E-008</v>
      </c>
      <c r="AQ253" s="287" t="n">
        <v>2.21076614024649E-007</v>
      </c>
      <c r="AR253" s="287" t="n">
        <v>7.17335252429736E-007</v>
      </c>
      <c r="AS253" s="287" t="n">
        <v>2.29855691026717E-007</v>
      </c>
      <c r="AT253" s="287" t="n">
        <v>3.59353945637237E-007</v>
      </c>
      <c r="AU253" s="287" t="n">
        <v>5.55277486818566E-008</v>
      </c>
      <c r="AV253" s="287" t="n">
        <v>2.76146559048761E-007</v>
      </c>
      <c r="AW253" s="287" t="n">
        <v>1.2478451666421E-007</v>
      </c>
      <c r="AX253" s="287" t="n">
        <v>7.90194845804216E-007</v>
      </c>
      <c r="AY253" s="287" t="n">
        <v>1.76720754271825E-007</v>
      </c>
      <c r="AZ253" s="287" t="n">
        <v>2.83769321539764E-007</v>
      </c>
    </row>
    <row r="254" customFormat="false" ht="16.4" hidden="false" customHeight="false" outlineLevel="0" collapsed="false">
      <c r="A254" s="286" t="s">
        <v>375</v>
      </c>
      <c r="B254" s="286"/>
      <c r="C254" s="287" t="n">
        <v>2.96516881270739E-007</v>
      </c>
      <c r="D254" s="287" t="n">
        <v>8.10772503054704E-008</v>
      </c>
      <c r="E254" s="287" t="n">
        <v>7.89829863900569E-008</v>
      </c>
      <c r="F254" s="287" t="n">
        <v>6.20388803050883E-008</v>
      </c>
      <c r="G254" s="287" t="n">
        <v>0</v>
      </c>
      <c r="H254" s="287" t="n">
        <v>4.7908817149566E-007</v>
      </c>
      <c r="I254" s="287" t="n">
        <v>3.57502383554569E-007</v>
      </c>
      <c r="J254" s="287" t="n">
        <v>1.06554192034763E-008</v>
      </c>
      <c r="K254" s="287" t="n">
        <v>7.99584554772683E-010</v>
      </c>
      <c r="L254" s="287" t="n">
        <v>8.52185138273226E-008</v>
      </c>
      <c r="M254" s="287" t="n">
        <v>2.14852762100774E-007</v>
      </c>
      <c r="N254" s="287" t="n">
        <v>1.10895766402122E-007</v>
      </c>
      <c r="O254" s="287" t="n">
        <v>1.39506978647443E-008</v>
      </c>
      <c r="P254" s="287" t="n">
        <v>1.51103032914926E-010</v>
      </c>
      <c r="Q254" s="287" t="n">
        <v>1.10118569158592E-007</v>
      </c>
      <c r="R254" s="287" t="n">
        <v>1.80174543212224E-008</v>
      </c>
      <c r="S254" s="287" t="n">
        <v>2.71629176508381E-008</v>
      </c>
      <c r="T254" s="287" t="n">
        <v>3.77721969217409E-008</v>
      </c>
      <c r="U254" s="287" t="n">
        <v>1.76200452781978E-008</v>
      </c>
      <c r="V254" s="287" t="n">
        <v>2.19715555458601E-011</v>
      </c>
      <c r="W254" s="287" t="n">
        <v>1.58704076568663E-008</v>
      </c>
      <c r="X254" s="287" t="n">
        <v>3.74917296314513E-011</v>
      </c>
      <c r="Y254" s="287" t="n">
        <v>1.34122216941754E-008</v>
      </c>
      <c r="Z254" s="287" t="n">
        <v>4.03874291054144E-008</v>
      </c>
      <c r="AA254" s="287" t="n">
        <v>8.53530814195144E-009</v>
      </c>
      <c r="AB254" s="287" t="n">
        <v>2.66228149798063E-008</v>
      </c>
      <c r="AC254" s="287" t="n">
        <v>4.70114190176689E-008</v>
      </c>
      <c r="AD254" s="287" t="n">
        <v>7.65154022401153E-009</v>
      </c>
      <c r="AE254" s="287" t="n">
        <v>1.32331150029219E-007</v>
      </c>
      <c r="AF254" s="287" t="n">
        <v>6.39098839548138E-013</v>
      </c>
      <c r="AG254" s="287" t="n">
        <v>5.12692740849996E-008</v>
      </c>
      <c r="AH254" s="287" t="n">
        <v>1.54183260641453E-008</v>
      </c>
      <c r="AI254" s="287" t="n">
        <v>5.08338935291531E-008</v>
      </c>
      <c r="AJ254" s="287" t="n">
        <v>4.53503147387902E-007</v>
      </c>
      <c r="AK254" s="287" t="n">
        <v>2.39586561887609E-008</v>
      </c>
      <c r="AL254" s="287" t="n">
        <v>3.50964702072094E-010</v>
      </c>
      <c r="AM254" s="287" t="n">
        <v>5.11551738455244E-008</v>
      </c>
      <c r="AN254" s="287" t="n">
        <v>5.09548143847647E-008</v>
      </c>
      <c r="AO254" s="287" t="n">
        <v>6.64316566547081E-008</v>
      </c>
      <c r="AP254" s="287" t="n">
        <v>1.18680324465321E-008</v>
      </c>
      <c r="AQ254" s="287" t="n">
        <v>2.72388475655604E-008</v>
      </c>
      <c r="AR254" s="287" t="n">
        <v>1.19222167639975E-007</v>
      </c>
      <c r="AS254" s="287" t="n">
        <v>4.49207481195052E-008</v>
      </c>
      <c r="AT254" s="287" t="n">
        <v>5.30722949091413E-008</v>
      </c>
      <c r="AU254" s="287" t="n">
        <v>9.59470293662527E-009</v>
      </c>
      <c r="AV254" s="287" t="n">
        <v>3.42310884882536E-008</v>
      </c>
      <c r="AW254" s="287" t="n">
        <v>2.95967932048111E-008</v>
      </c>
      <c r="AX254" s="287" t="n">
        <v>2.02052307354887E-007</v>
      </c>
      <c r="AY254" s="287" t="n">
        <v>3.54878329047639E-008</v>
      </c>
      <c r="AZ254" s="287" t="n">
        <v>9.76491392770843E-008</v>
      </c>
    </row>
    <row r="255" customFormat="false" ht="16.4" hidden="false" customHeight="false" outlineLevel="0" collapsed="false">
      <c r="A255" s="286" t="s">
        <v>376</v>
      </c>
      <c r="B255" s="286"/>
      <c r="C255" s="287" t="n">
        <v>1.03985060477212E-007</v>
      </c>
      <c r="D255" s="287" t="n">
        <v>1.05816095143156E-008</v>
      </c>
      <c r="E255" s="287" t="n">
        <v>8.62963840675025E-009</v>
      </c>
      <c r="F255" s="287" t="n">
        <v>6.39515827658307E-007</v>
      </c>
      <c r="G255" s="287" t="n">
        <v>2.59538869563096E-006</v>
      </c>
      <c r="H255" s="287" t="n">
        <v>1.45063395572007E-007</v>
      </c>
      <c r="I255" s="287" t="n">
        <v>7.71028297251538E-007</v>
      </c>
      <c r="J255" s="287" t="n">
        <v>4.84240843028939E-009</v>
      </c>
      <c r="K255" s="287" t="n">
        <v>3.11908643205391E-008</v>
      </c>
      <c r="L255" s="287" t="n">
        <v>7.14265826479656E-009</v>
      </c>
      <c r="M255" s="287" t="n">
        <v>3.56275094935266E-009</v>
      </c>
      <c r="N255" s="287" t="n">
        <v>5.24606565118125E-008</v>
      </c>
      <c r="O255" s="287" t="n">
        <v>4.64960103230333E-009</v>
      </c>
      <c r="P255" s="287" t="n">
        <v>6.18316953439596E-007</v>
      </c>
      <c r="Q255" s="287" t="n">
        <v>2.62773167010878E-008</v>
      </c>
      <c r="R255" s="287" t="n">
        <v>9.57826879928728E-008</v>
      </c>
      <c r="S255" s="287" t="n">
        <v>2.65813949416685E-009</v>
      </c>
      <c r="T255" s="287" t="n">
        <v>6.98132192781577E-009</v>
      </c>
      <c r="U255" s="287" t="n">
        <v>7.59936250316163E-009</v>
      </c>
      <c r="V255" s="287" t="n">
        <v>0</v>
      </c>
      <c r="W255" s="287" t="n">
        <v>7.51070502157832E-009</v>
      </c>
      <c r="X255" s="287" t="n">
        <v>0</v>
      </c>
      <c r="Y255" s="287" t="n">
        <v>4.05931896677906E-009</v>
      </c>
      <c r="Z255" s="287" t="n">
        <v>0</v>
      </c>
      <c r="AA255" s="287" t="n">
        <v>0</v>
      </c>
      <c r="AB255" s="287" t="n">
        <v>0</v>
      </c>
      <c r="AC255" s="287" t="n">
        <v>0</v>
      </c>
      <c r="AD255" s="287" t="n">
        <v>0</v>
      </c>
      <c r="AE255" s="287" t="n">
        <v>0</v>
      </c>
      <c r="AF255" s="287" t="n">
        <v>1.86869684099419E-006</v>
      </c>
      <c r="AG255" s="287" t="n">
        <v>1.61004890655885E-008</v>
      </c>
      <c r="AH255" s="287" t="n">
        <v>1.02044014948275E-008</v>
      </c>
      <c r="AI255" s="287" t="n">
        <v>2.24791935659965E-008</v>
      </c>
      <c r="AJ255" s="287" t="n">
        <v>2.75313261448201E-008</v>
      </c>
      <c r="AK255" s="287" t="n">
        <v>7.35478089435239E-009</v>
      </c>
      <c r="AL255" s="287" t="n">
        <v>3.13860550502194E-009</v>
      </c>
      <c r="AM255" s="287" t="n">
        <v>1.42818807900209E-008</v>
      </c>
      <c r="AN255" s="287" t="n">
        <v>4.29677219161295E-009</v>
      </c>
      <c r="AO255" s="287" t="n">
        <v>9.58563143408979E-009</v>
      </c>
      <c r="AP255" s="287" t="n">
        <v>1.62907973119895E-008</v>
      </c>
      <c r="AQ255" s="287" t="n">
        <v>1.12366081406735E-008</v>
      </c>
      <c r="AR255" s="287" t="n">
        <v>3.0619441960548E-008</v>
      </c>
      <c r="AS255" s="287" t="n">
        <v>2.18427314304282E-008</v>
      </c>
      <c r="AT255" s="287" t="n">
        <v>2.11221032080138E-008</v>
      </c>
      <c r="AU255" s="287" t="n">
        <v>6.35867131517186E-009</v>
      </c>
      <c r="AV255" s="287" t="n">
        <v>7.51800346755243E-009</v>
      </c>
      <c r="AW255" s="287" t="n">
        <v>8.26424165067171E-009</v>
      </c>
      <c r="AX255" s="287" t="n">
        <v>1.32083817894127E-008</v>
      </c>
      <c r="AY255" s="287" t="n">
        <v>1.98862491171199E-008</v>
      </c>
      <c r="AZ255" s="287" t="n">
        <v>8.93467073806494E-009</v>
      </c>
    </row>
    <row r="256" customFormat="false" ht="16.4" hidden="false" customHeight="false" outlineLevel="0" collapsed="false">
      <c r="A256" s="286" t="s">
        <v>377</v>
      </c>
      <c r="B256" s="286"/>
      <c r="C256" s="287" t="n">
        <v>2.37805242084638E-007</v>
      </c>
      <c r="D256" s="287" t="n">
        <v>2.41590751071734E-008</v>
      </c>
      <c r="E256" s="287" t="n">
        <v>1.64535942486436E-007</v>
      </c>
      <c r="F256" s="287" t="n">
        <v>1.6366374270558E-007</v>
      </c>
      <c r="G256" s="287" t="n">
        <v>1.23252359463612E-013</v>
      </c>
      <c r="H256" s="287" t="n">
        <v>2.12205292907869E-007</v>
      </c>
      <c r="I256" s="287" t="n">
        <v>3.0042902981562E-007</v>
      </c>
      <c r="J256" s="287" t="n">
        <v>2.06433622855199E-009</v>
      </c>
      <c r="K256" s="287" t="n">
        <v>8.02757779372753E-009</v>
      </c>
      <c r="L256" s="287" t="n">
        <v>5.1665115339739E-008</v>
      </c>
      <c r="M256" s="287" t="n">
        <v>3.09001090236525E-008</v>
      </c>
      <c r="N256" s="287" t="n">
        <v>1.52742359319682E-007</v>
      </c>
      <c r="O256" s="287" t="n">
        <v>9.39539928774511E-009</v>
      </c>
      <c r="P256" s="287" t="n">
        <v>1.73427341625118E-010</v>
      </c>
      <c r="Q256" s="287" t="n">
        <v>2.03760195363012E-007</v>
      </c>
      <c r="R256" s="287" t="n">
        <v>4.45075967337456E-009</v>
      </c>
      <c r="S256" s="287" t="n">
        <v>1.44876128952679E-008</v>
      </c>
      <c r="T256" s="287" t="n">
        <v>3.62943782334155E-008</v>
      </c>
      <c r="U256" s="287" t="n">
        <v>1.83385587676844E-008</v>
      </c>
      <c r="V256" s="287" t="n">
        <v>0</v>
      </c>
      <c r="W256" s="287" t="n">
        <v>4.24162858292576E-008</v>
      </c>
      <c r="X256" s="287" t="n">
        <v>0</v>
      </c>
      <c r="Y256" s="287" t="n">
        <v>2.81370479987201E-008</v>
      </c>
      <c r="Z256" s="287" t="n">
        <v>0</v>
      </c>
      <c r="AA256" s="287" t="n">
        <v>0</v>
      </c>
      <c r="AB256" s="287" t="n">
        <v>0</v>
      </c>
      <c r="AC256" s="287" t="n">
        <v>0</v>
      </c>
      <c r="AD256" s="287" t="n">
        <v>0</v>
      </c>
      <c r="AE256" s="287" t="n">
        <v>0</v>
      </c>
      <c r="AF256" s="287" t="n">
        <v>4.998673491132E-011</v>
      </c>
      <c r="AG256" s="287" t="n">
        <v>2.53513941095283E-007</v>
      </c>
      <c r="AH256" s="287" t="n">
        <v>7.55867901348769E-009</v>
      </c>
      <c r="AI256" s="287" t="n">
        <v>2.78354650919815E-008</v>
      </c>
      <c r="AJ256" s="287" t="n">
        <v>2.67083013381304E-007</v>
      </c>
      <c r="AK256" s="287" t="n">
        <v>4.15935189990369E-009</v>
      </c>
      <c r="AL256" s="287" t="n">
        <v>7.72133429019673E-007</v>
      </c>
      <c r="AM256" s="287" t="n">
        <v>1.58984479678419E-007</v>
      </c>
      <c r="AN256" s="287" t="n">
        <v>3.0208541449537E-009</v>
      </c>
      <c r="AO256" s="287" t="n">
        <v>7.62737548565083E-009</v>
      </c>
      <c r="AP256" s="287" t="n">
        <v>5.46632593848939E-009</v>
      </c>
      <c r="AQ256" s="287" t="n">
        <v>2.79167899693875E-008</v>
      </c>
      <c r="AR256" s="287" t="n">
        <v>2.83142259225388E-008</v>
      </c>
      <c r="AS256" s="287" t="n">
        <v>1.40315060224337E-008</v>
      </c>
      <c r="AT256" s="287" t="n">
        <v>4.08162195231356E-008</v>
      </c>
      <c r="AU256" s="287" t="n">
        <v>2.9850469705488E-008</v>
      </c>
      <c r="AV256" s="287" t="n">
        <v>8.10993964528122E-008</v>
      </c>
      <c r="AW256" s="287" t="n">
        <v>5.37079390876278E-009</v>
      </c>
      <c r="AX256" s="287" t="n">
        <v>9.51620164224819E-009</v>
      </c>
      <c r="AY256" s="287" t="n">
        <v>1.75384761655157E-008</v>
      </c>
      <c r="AZ256" s="287" t="n">
        <v>1.50128470573686E-008</v>
      </c>
    </row>
    <row r="257" customFormat="false" ht="16.4" hidden="false" customHeight="false" outlineLevel="0" collapsed="false">
      <c r="A257" s="288" t="s">
        <v>378</v>
      </c>
      <c r="B257" s="288"/>
      <c r="C257" s="287" t="n">
        <v>3.55254103935776E-007</v>
      </c>
      <c r="D257" s="287" t="n">
        <v>2.293184615359E-008</v>
      </c>
      <c r="E257" s="287" t="n">
        <v>6.11663711445528E-009</v>
      </c>
      <c r="F257" s="287" t="n">
        <v>1.72830341553575E-007</v>
      </c>
      <c r="G257" s="287" t="n">
        <v>4.23282798205905E-013</v>
      </c>
      <c r="H257" s="287" t="n">
        <v>1.02715463588318E-007</v>
      </c>
      <c r="I257" s="287" t="n">
        <v>2.54317389315155E-008</v>
      </c>
      <c r="J257" s="287" t="n">
        <v>1.44538316904563E-009</v>
      </c>
      <c r="K257" s="287" t="n">
        <v>8.27837885813566E-010</v>
      </c>
      <c r="L257" s="287" t="n">
        <v>7.32648755899637E-009</v>
      </c>
      <c r="M257" s="287" t="n">
        <v>1.32935668929863E-009</v>
      </c>
      <c r="N257" s="287" t="n">
        <v>6.48770648693752E-008</v>
      </c>
      <c r="O257" s="287" t="n">
        <v>2.19454217543183E-009</v>
      </c>
      <c r="P257" s="287" t="n">
        <v>1.59725642227265E-010</v>
      </c>
      <c r="Q257" s="287" t="n">
        <v>7.79524843134575E-008</v>
      </c>
      <c r="R257" s="287" t="n">
        <v>1.33218730349096E-007</v>
      </c>
      <c r="S257" s="287" t="n">
        <v>1.05842679959771E-008</v>
      </c>
      <c r="T257" s="287" t="n">
        <v>6.79219205852576E-009</v>
      </c>
      <c r="U257" s="287" t="n">
        <v>3.66888073402148E-009</v>
      </c>
      <c r="V257" s="287" t="n">
        <v>0</v>
      </c>
      <c r="W257" s="287" t="n">
        <v>4.06295820779553E-009</v>
      </c>
      <c r="X257" s="287" t="n">
        <v>0</v>
      </c>
      <c r="Y257" s="287" t="n">
        <v>1.74158675806592E-009</v>
      </c>
      <c r="Z257" s="287" t="n">
        <v>0</v>
      </c>
      <c r="AA257" s="287" t="n">
        <v>0</v>
      </c>
      <c r="AB257" s="287" t="n">
        <v>0</v>
      </c>
      <c r="AC257" s="287" t="n">
        <v>0</v>
      </c>
      <c r="AD257" s="287" t="n">
        <v>0</v>
      </c>
      <c r="AE257" s="287" t="n">
        <v>0</v>
      </c>
      <c r="AF257" s="287" t="n">
        <v>1.45230268881311E-013</v>
      </c>
      <c r="AG257" s="287" t="n">
        <v>1.7072629561898E-007</v>
      </c>
      <c r="AH257" s="287" t="n">
        <v>1.29452428734285E-008</v>
      </c>
      <c r="AI257" s="287" t="n">
        <v>1.52206927646019E-008</v>
      </c>
      <c r="AJ257" s="287" t="n">
        <v>1.74492038373036E-006</v>
      </c>
      <c r="AK257" s="287" t="n">
        <v>1.26760646242401E-009</v>
      </c>
      <c r="AL257" s="287" t="n">
        <v>3.50321801908544E-008</v>
      </c>
      <c r="AM257" s="287" t="n">
        <v>1.09165823370552E-008</v>
      </c>
      <c r="AN257" s="287" t="n">
        <v>7.03100193637215E-009</v>
      </c>
      <c r="AO257" s="287" t="n">
        <v>1.22885410104119E-008</v>
      </c>
      <c r="AP257" s="287" t="n">
        <v>2.93787471176384E-009</v>
      </c>
      <c r="AQ257" s="287" t="n">
        <v>1.3604627215381E-008</v>
      </c>
      <c r="AR257" s="287" t="n">
        <v>8.4049425998585E-009</v>
      </c>
      <c r="AS257" s="287" t="n">
        <v>7.25992206017063E-009</v>
      </c>
      <c r="AT257" s="287" t="n">
        <v>3.53340067381558E-008</v>
      </c>
      <c r="AU257" s="287" t="n">
        <v>3.52975990925663E-009</v>
      </c>
      <c r="AV257" s="287" t="n">
        <v>6.55218761879912E-009</v>
      </c>
      <c r="AW257" s="287" t="n">
        <v>3.41862512974805E-009</v>
      </c>
      <c r="AX257" s="287" t="n">
        <v>1.66424261223756E-008</v>
      </c>
      <c r="AY257" s="287" t="n">
        <v>9.60120680639634E-009</v>
      </c>
      <c r="AZ257" s="287" t="n">
        <v>4.02920443706696E-007</v>
      </c>
    </row>
    <row r="258" customFormat="false" ht="17.35" hidden="false" customHeight="false" outlineLevel="0" collapsed="false">
      <c r="A258" s="200" t="s">
        <v>397</v>
      </c>
      <c r="B258" s="200"/>
      <c r="C258" s="200"/>
    </row>
    <row r="259" customFormat="false" ht="31.3" hidden="false" customHeight="false" outlineLevel="0" collapsed="false">
      <c r="A259" s="289" t="s">
        <v>398</v>
      </c>
      <c r="B259" s="280" t="s">
        <v>36</v>
      </c>
      <c r="C259" s="204" t="n">
        <v>2020</v>
      </c>
    </row>
    <row r="260" customFormat="false" ht="31.3" hidden="false" customHeight="false" outlineLevel="0" collapsed="false">
      <c r="A260" s="272" t="s">
        <v>399</v>
      </c>
      <c r="B260" s="290" t="s">
        <v>327</v>
      </c>
      <c r="C260" s="244" t="n">
        <v>-0.3</v>
      </c>
    </row>
    <row r="262" customFormat="false" ht="14.25" hidden="false" customHeight="true" outlineLevel="0" collapsed="false">
      <c r="A262" s="200" t="s">
        <v>400</v>
      </c>
      <c r="B262" s="200"/>
      <c r="C262" s="200"/>
    </row>
    <row r="263" customFormat="false" ht="28.5" hidden="false" customHeight="true" outlineLevel="0" collapsed="false">
      <c r="A263" s="291" t="s">
        <v>401</v>
      </c>
      <c r="B263" s="280" t="s">
        <v>28</v>
      </c>
      <c r="C263" s="281" t="n">
        <v>1</v>
      </c>
    </row>
    <row r="264" customFormat="false" ht="14.25" hidden="false" customHeight="true" outlineLevel="0" collapsed="false">
      <c r="A264" s="292" t="s">
        <v>403</v>
      </c>
      <c r="B264" s="280" t="s">
        <v>404</v>
      </c>
      <c r="C264" s="293" t="n">
        <v>1</v>
      </c>
    </row>
    <row r="265" customFormat="false" ht="15" hidden="false" customHeight="false" outlineLevel="0" collapsed="false">
      <c r="A265" s="292"/>
      <c r="B265" s="280" t="s">
        <v>408</v>
      </c>
      <c r="C265" s="293"/>
    </row>
    <row r="266" customFormat="false" ht="15" hidden="false" customHeight="false" outlineLevel="0" collapsed="false">
      <c r="A266" s="292"/>
      <c r="B266" s="280" t="s">
        <v>409</v>
      </c>
      <c r="C266" s="293"/>
    </row>
    <row r="267" customFormat="false" ht="16.4" hidden="false" customHeight="false" outlineLevel="0" collapsed="false">
      <c r="A267" s="291" t="s">
        <v>650</v>
      </c>
      <c r="B267" s="280" t="s">
        <v>651</v>
      </c>
      <c r="C267" s="204" t="n">
        <v>0.1</v>
      </c>
    </row>
    <row r="268" customFormat="false" ht="15" hidden="false" customHeight="true" outlineLevel="0" collapsed="false">
      <c r="A268" s="292" t="s">
        <v>406</v>
      </c>
      <c r="B268" s="280" t="s">
        <v>404</v>
      </c>
      <c r="C268" s="293" t="n">
        <v>1</v>
      </c>
    </row>
    <row r="269" customFormat="false" ht="15" hidden="false" customHeight="false" outlineLevel="0" collapsed="false">
      <c r="A269" s="292"/>
      <c r="B269" s="280" t="s">
        <v>408</v>
      </c>
      <c r="C269" s="293"/>
    </row>
    <row r="270" customFormat="false" ht="15" hidden="false" customHeight="false" outlineLevel="0" collapsed="false">
      <c r="A270" s="292"/>
      <c r="B270" s="280" t="s">
        <v>409</v>
      </c>
      <c r="C270" s="293"/>
    </row>
    <row r="271" customFormat="false" ht="15.75" hidden="false" customHeight="false" outlineLevel="0" collapsed="false">
      <c r="A271" s="294" t="s">
        <v>413</v>
      </c>
      <c r="B271" s="290" t="s">
        <v>651</v>
      </c>
      <c r="C271" s="244" t="n">
        <v>0.1</v>
      </c>
    </row>
    <row r="274" customFormat="false" ht="24.45" hidden="false" customHeight="false" outlineLevel="0" collapsed="false">
      <c r="A274" s="199" t="s">
        <v>652</v>
      </c>
    </row>
    <row r="275" customFormat="false" ht="15.75" hidden="false" customHeight="true" outlineLevel="0" collapsed="false">
      <c r="A275" s="200" t="s">
        <v>429</v>
      </c>
      <c r="B275" s="200"/>
      <c r="C275" s="200"/>
      <c r="D275" s="200"/>
    </row>
    <row r="276" customFormat="false" ht="15.75" hidden="false" customHeight="true" outlineLevel="0" collapsed="false">
      <c r="A276" s="295" t="s">
        <v>430</v>
      </c>
      <c r="B276" s="295"/>
      <c r="C276" s="295"/>
      <c r="D276" s="295"/>
    </row>
    <row r="277" customFormat="false" ht="15" hidden="false" customHeight="true" outlineLevel="0" collapsed="false">
      <c r="A277" s="291" t="s">
        <v>431</v>
      </c>
      <c r="B277" s="291"/>
      <c r="C277" s="291"/>
      <c r="D277" s="296" t="n">
        <v>2</v>
      </c>
    </row>
    <row r="278" customFormat="false" ht="15.75" hidden="false" customHeight="false" outlineLevel="0" collapsed="false">
      <c r="A278" s="297" t="s">
        <v>432</v>
      </c>
      <c r="B278" s="298"/>
      <c r="C278" s="298"/>
      <c r="D278" s="299"/>
    </row>
    <row r="279" customFormat="false" ht="15" hidden="false" customHeight="false" outlineLevel="0" collapsed="false">
      <c r="A279" s="300" t="s">
        <v>433</v>
      </c>
      <c r="B279" s="301" t="n">
        <v>2050</v>
      </c>
      <c r="C279" s="302"/>
      <c r="D279" s="302"/>
      <c r="E279" s="302"/>
    </row>
    <row r="280" customFormat="false" ht="16.4" hidden="false" customHeight="false" outlineLevel="0" collapsed="false">
      <c r="A280" s="303" t="s">
        <v>435</v>
      </c>
      <c r="B280" s="304" t="n">
        <v>2020</v>
      </c>
      <c r="C280" s="203"/>
      <c r="D280" s="305" t="s">
        <v>437</v>
      </c>
      <c r="E280" s="306" t="s">
        <v>438</v>
      </c>
    </row>
    <row r="281" customFormat="false" ht="13.5" hidden="false" customHeight="true" outlineLevel="0" collapsed="false">
      <c r="A281" s="307" t="s">
        <v>439</v>
      </c>
      <c r="B281" s="308" t="s">
        <v>440</v>
      </c>
      <c r="C281" s="280" t="s">
        <v>653</v>
      </c>
      <c r="D281" s="259" t="n">
        <v>0.201666666666667</v>
      </c>
      <c r="E281" s="226" t="n">
        <v>0.605</v>
      </c>
    </row>
    <row r="282" customFormat="false" ht="15" hidden="false" customHeight="false" outlineLevel="0" collapsed="false">
      <c r="A282" s="307"/>
      <c r="B282" s="308" t="s">
        <v>443</v>
      </c>
      <c r="C282" s="280" t="s">
        <v>653</v>
      </c>
      <c r="D282" s="259" t="n">
        <v>0.05</v>
      </c>
      <c r="E282" s="226" t="n">
        <v>0.15</v>
      </c>
    </row>
    <row r="283" customFormat="false" ht="15" hidden="false" customHeight="false" outlineLevel="0" collapsed="false">
      <c r="A283" s="307"/>
      <c r="B283" s="308" t="s">
        <v>444</v>
      </c>
      <c r="C283" s="280" t="s">
        <v>653</v>
      </c>
      <c r="D283" s="259" t="n">
        <v>0.196666666666667</v>
      </c>
      <c r="E283" s="226" t="n">
        <v>0.59</v>
      </c>
    </row>
    <row r="284" customFormat="false" ht="15" hidden="false" customHeight="false" outlineLevel="0" collapsed="false">
      <c r="A284" s="307"/>
      <c r="B284" s="308" t="s">
        <v>445</v>
      </c>
      <c r="C284" s="280" t="s">
        <v>653</v>
      </c>
      <c r="D284" s="259" t="n">
        <v>0.163333333333333</v>
      </c>
      <c r="E284" s="226" t="n">
        <v>0.49</v>
      </c>
    </row>
    <row r="285" customFormat="false" ht="15" hidden="false" customHeight="false" outlineLevel="0" collapsed="false">
      <c r="A285" s="307"/>
      <c r="B285" s="308" t="s">
        <v>446</v>
      </c>
      <c r="C285" s="280" t="s">
        <v>653</v>
      </c>
      <c r="D285" s="259" t="n">
        <v>0.00166666666666667</v>
      </c>
      <c r="E285" s="226" t="n">
        <v>0.005</v>
      </c>
    </row>
    <row r="286" customFormat="false" ht="15" hidden="false" customHeight="false" outlineLevel="0" collapsed="false">
      <c r="A286" s="307"/>
      <c r="B286" s="308" t="s">
        <v>447</v>
      </c>
      <c r="C286" s="280" t="s">
        <v>653</v>
      </c>
      <c r="D286" s="259" t="n">
        <v>0.0633333333333333</v>
      </c>
      <c r="E286" s="226" t="n">
        <v>0.19</v>
      </c>
    </row>
    <row r="287" customFormat="false" ht="15" hidden="false" customHeight="false" outlineLevel="0" collapsed="false">
      <c r="A287" s="307"/>
      <c r="B287" s="308" t="s">
        <v>448</v>
      </c>
      <c r="C287" s="280" t="s">
        <v>653</v>
      </c>
      <c r="D287" s="259" t="n">
        <v>0.253333333333333</v>
      </c>
      <c r="E287" s="226" t="n">
        <v>0.76</v>
      </c>
    </row>
    <row r="288" customFormat="false" ht="15" hidden="false" customHeight="false" outlineLevel="0" collapsed="false">
      <c r="A288" s="307"/>
      <c r="B288" s="308" t="s">
        <v>449</v>
      </c>
      <c r="C288" s="280" t="s">
        <v>653</v>
      </c>
      <c r="D288" s="259" t="n">
        <v>0.00166666666666667</v>
      </c>
      <c r="E288" s="226" t="n">
        <v>0.005</v>
      </c>
    </row>
    <row r="289" customFormat="false" ht="15" hidden="false" customHeight="false" outlineLevel="0" collapsed="false">
      <c r="A289" s="307"/>
      <c r="B289" s="308" t="s">
        <v>450</v>
      </c>
      <c r="C289" s="280" t="s">
        <v>653</v>
      </c>
      <c r="D289" s="259" t="n">
        <v>0.13</v>
      </c>
      <c r="E289" s="226" t="n">
        <v>0.39</v>
      </c>
    </row>
    <row r="290" customFormat="false" ht="15" hidden="false" customHeight="false" outlineLevel="0" collapsed="false">
      <c r="A290" s="307"/>
      <c r="B290" s="308" t="s">
        <v>451</v>
      </c>
      <c r="C290" s="280" t="s">
        <v>653</v>
      </c>
      <c r="D290" s="259" t="n">
        <v>0.176666666666667</v>
      </c>
      <c r="E290" s="226" t="n">
        <v>0.53</v>
      </c>
    </row>
    <row r="291" customFormat="false" ht="15" hidden="false" customHeight="false" outlineLevel="0" collapsed="false">
      <c r="A291" s="307"/>
      <c r="B291" s="308" t="s">
        <v>452</v>
      </c>
      <c r="C291" s="280" t="s">
        <v>653</v>
      </c>
      <c r="D291" s="259" t="n">
        <v>0.116666666666667</v>
      </c>
      <c r="E291" s="226" t="n">
        <v>0.35</v>
      </c>
    </row>
    <row r="292" customFormat="false" ht="15" hidden="false" customHeight="false" outlineLevel="0" collapsed="false">
      <c r="A292" s="307"/>
      <c r="B292" s="308" t="s">
        <v>453</v>
      </c>
      <c r="C292" s="280" t="s">
        <v>653</v>
      </c>
      <c r="D292" s="259" t="n">
        <v>0.188333333333333</v>
      </c>
      <c r="E292" s="226" t="n">
        <v>0.565</v>
      </c>
    </row>
    <row r="293" customFormat="false" ht="15" hidden="false" customHeight="false" outlineLevel="0" collapsed="false">
      <c r="A293" s="307"/>
      <c r="B293" s="308" t="s">
        <v>454</v>
      </c>
      <c r="C293" s="280" t="s">
        <v>653</v>
      </c>
      <c r="D293" s="259" t="n">
        <v>0.245</v>
      </c>
      <c r="E293" s="226" t="n">
        <v>0.735</v>
      </c>
    </row>
    <row r="294" customFormat="false" ht="15" hidden="false" customHeight="false" outlineLevel="0" collapsed="false">
      <c r="A294" s="307"/>
      <c r="B294" s="308" t="s">
        <v>455</v>
      </c>
      <c r="C294" s="280" t="s">
        <v>653</v>
      </c>
      <c r="D294" s="259" t="n">
        <v>0.191666666666667</v>
      </c>
      <c r="E294" s="226" t="n">
        <v>0.575</v>
      </c>
    </row>
    <row r="295" customFormat="false" ht="15" hidden="false" customHeight="false" outlineLevel="0" collapsed="false">
      <c r="A295" s="307"/>
      <c r="B295" s="308" t="s">
        <v>456</v>
      </c>
      <c r="C295" s="280" t="s">
        <v>653</v>
      </c>
      <c r="D295" s="259" t="n">
        <v>0.101666666666667</v>
      </c>
      <c r="E295" s="226" t="n">
        <v>0.305</v>
      </c>
    </row>
    <row r="296" customFormat="false" ht="15" hidden="false" customHeight="false" outlineLevel="0" collapsed="false">
      <c r="A296" s="307"/>
      <c r="B296" s="308" t="s">
        <v>457</v>
      </c>
      <c r="C296" s="280" t="s">
        <v>653</v>
      </c>
      <c r="D296" s="259" t="n">
        <v>0.00166666666666667</v>
      </c>
      <c r="E296" s="226" t="n">
        <v>0.005</v>
      </c>
    </row>
    <row r="297" customFormat="false" ht="15" hidden="false" customHeight="false" outlineLevel="0" collapsed="false">
      <c r="A297" s="307"/>
      <c r="B297" s="308" t="s">
        <v>458</v>
      </c>
      <c r="C297" s="280" t="s">
        <v>653</v>
      </c>
      <c r="D297" s="259" t="n">
        <v>0.303333333333333</v>
      </c>
      <c r="E297" s="226" t="n">
        <v>0.91</v>
      </c>
    </row>
    <row r="298" customFormat="false" ht="15" hidden="false" customHeight="false" outlineLevel="0" collapsed="false">
      <c r="A298" s="307"/>
      <c r="B298" s="308" t="s">
        <v>459</v>
      </c>
      <c r="C298" s="280" t="s">
        <v>653</v>
      </c>
      <c r="D298" s="259" t="n">
        <v>0.00166666666666667</v>
      </c>
      <c r="E298" s="226" t="n">
        <v>0.005</v>
      </c>
    </row>
    <row r="299" customFormat="false" ht="15" hidden="false" customHeight="false" outlineLevel="0" collapsed="false">
      <c r="A299" s="307"/>
      <c r="B299" s="309" t="s">
        <v>460</v>
      </c>
      <c r="C299" s="290" t="s">
        <v>653</v>
      </c>
      <c r="D299" s="206" t="n">
        <v>0.183333333333333</v>
      </c>
      <c r="E299" s="207" t="n">
        <v>0.55</v>
      </c>
    </row>
    <row r="300" customFormat="false" ht="15" hidden="false" customHeight="true" outlineLevel="0" collapsed="false">
      <c r="A300" s="310" t="s">
        <v>461</v>
      </c>
      <c r="B300" s="310"/>
      <c r="C300" s="310"/>
    </row>
    <row r="301" customFormat="false" ht="31.3" hidden="false" customHeight="false" outlineLevel="0" collapsed="false">
      <c r="A301" s="291" t="s">
        <v>654</v>
      </c>
      <c r="B301" s="280" t="s">
        <v>655</v>
      </c>
      <c r="C301" s="311" t="n">
        <v>0.014</v>
      </c>
    </row>
    <row r="302" customFormat="false" ht="16.4" hidden="false" customHeight="false" outlineLevel="0" collapsed="false">
      <c r="A302" s="291" t="s">
        <v>656</v>
      </c>
      <c r="B302" s="280" t="s">
        <v>423</v>
      </c>
      <c r="C302" s="204" t="n">
        <v>2020</v>
      </c>
    </row>
    <row r="303" customFormat="false" ht="16.4" hidden="false" customHeight="false" outlineLevel="0" collapsed="false">
      <c r="A303" s="291" t="s">
        <v>657</v>
      </c>
      <c r="B303" s="280" t="s">
        <v>655</v>
      </c>
      <c r="C303" s="311" t="n">
        <v>0.014</v>
      </c>
    </row>
    <row r="304" customFormat="false" ht="16.4" hidden="false" customHeight="false" outlineLevel="0" collapsed="false">
      <c r="A304" s="294" t="s">
        <v>658</v>
      </c>
      <c r="B304" s="290" t="s">
        <v>423</v>
      </c>
      <c r="C304" s="244" t="n">
        <v>2020</v>
      </c>
    </row>
    <row r="306" customFormat="false" ht="17.35" hidden="false" customHeight="false" outlineLevel="0" collapsed="false">
      <c r="A306" s="200" t="s">
        <v>232</v>
      </c>
      <c r="B306" s="200"/>
      <c r="C306" s="200"/>
    </row>
    <row r="307" customFormat="false" ht="15" hidden="false" customHeight="false" outlineLevel="0" collapsed="false">
      <c r="A307" s="312" t="s">
        <v>233</v>
      </c>
      <c r="B307" s="312"/>
      <c r="C307" s="312"/>
      <c r="H307" s="54"/>
      <c r="J307" s="57"/>
    </row>
    <row r="308" customFormat="false" ht="16.4" hidden="false" customHeight="false" outlineLevel="0" collapsed="false">
      <c r="A308" s="291" t="s">
        <v>234</v>
      </c>
      <c r="B308" s="203" t="s">
        <v>28</v>
      </c>
      <c r="C308" s="313" t="n">
        <v>1</v>
      </c>
      <c r="H308" s="54"/>
      <c r="J308" s="57"/>
    </row>
    <row r="309" customFormat="false" ht="15" hidden="false" customHeight="false" outlineLevel="0" collapsed="false">
      <c r="A309" s="312" t="s">
        <v>659</v>
      </c>
      <c r="B309" s="312"/>
      <c r="C309" s="312"/>
      <c r="H309" s="54"/>
      <c r="J309" s="57"/>
    </row>
    <row r="310" customFormat="false" ht="15" hidden="false" customHeight="true" outlineLevel="0" collapsed="false">
      <c r="A310" s="307" t="s">
        <v>660</v>
      </c>
      <c r="B310" s="280" t="s">
        <v>661</v>
      </c>
      <c r="C310" s="314" t="n">
        <v>4</v>
      </c>
      <c r="H310" s="54"/>
      <c r="J310" s="57"/>
    </row>
    <row r="311" customFormat="false" ht="15" hidden="false" customHeight="false" outlineLevel="0" collapsed="false">
      <c r="A311" s="307"/>
      <c r="B311" s="280" t="s">
        <v>662</v>
      </c>
      <c r="C311" s="314"/>
      <c r="H311" s="54"/>
      <c r="J311" s="57"/>
    </row>
    <row r="312" customFormat="false" ht="15" hidden="false" customHeight="false" outlineLevel="0" collapsed="false">
      <c r="A312" s="307"/>
      <c r="B312" s="280" t="s">
        <v>663</v>
      </c>
      <c r="C312" s="314"/>
      <c r="H312" s="54"/>
      <c r="J312" s="57"/>
    </row>
    <row r="313" customFormat="false" ht="15" hidden="false" customHeight="false" outlineLevel="0" collapsed="false">
      <c r="A313" s="307"/>
      <c r="B313" s="290" t="s">
        <v>664</v>
      </c>
      <c r="C313" s="314"/>
      <c r="H313" s="54"/>
      <c r="J313" s="57"/>
    </row>
    <row r="314" customFormat="false" ht="15" hidden="false" customHeight="false" outlineLevel="0" collapsed="false">
      <c r="H314" s="54"/>
      <c r="J314" s="57"/>
    </row>
    <row r="315" customFormat="false" ht="15" hidden="false" customHeight="false" outlineLevel="0" collapsed="false">
      <c r="A315" s="315" t="s">
        <v>164</v>
      </c>
      <c r="B315" s="316"/>
      <c r="H315" s="54"/>
      <c r="J315" s="57"/>
    </row>
    <row r="316" customFormat="false" ht="15" hidden="false" customHeight="false" outlineLevel="0" collapsed="false">
      <c r="A316" s="317" t="s">
        <v>165</v>
      </c>
      <c r="B316" s="318" t="n">
        <v>1</v>
      </c>
      <c r="H316" s="54"/>
      <c r="J316" s="57"/>
    </row>
    <row r="317" customFormat="false" ht="15" hidden="false" customHeight="false" outlineLevel="0" collapsed="false">
      <c r="H317" s="54"/>
      <c r="J317" s="57"/>
    </row>
    <row r="318" customFormat="false" ht="17.35" hidden="false" customHeight="false" outlineLevel="0" collapsed="false">
      <c r="A318" s="200" t="s">
        <v>665</v>
      </c>
      <c r="B318" s="200"/>
      <c r="C318" s="200"/>
      <c r="D318" s="200"/>
      <c r="E318" s="200"/>
      <c r="F318" s="200"/>
      <c r="G318" s="200"/>
      <c r="H318" s="200"/>
      <c r="I318" s="200"/>
      <c r="J318" s="57"/>
    </row>
    <row r="319" customFormat="false" ht="15" hidden="false" customHeight="false" outlineLevel="0" collapsed="false">
      <c r="A319" s="319" t="s">
        <v>666</v>
      </c>
      <c r="B319" s="202" t="s">
        <v>36</v>
      </c>
      <c r="C319" s="203" t="n">
        <v>2020</v>
      </c>
      <c r="D319" s="203" t="n">
        <v>2025</v>
      </c>
      <c r="E319" s="203" t="n">
        <v>2030</v>
      </c>
      <c r="F319" s="203" t="n">
        <v>2035</v>
      </c>
      <c r="G319" s="203" t="n">
        <v>2040</v>
      </c>
      <c r="H319" s="203" t="n">
        <v>2045</v>
      </c>
      <c r="I319" s="204" t="n">
        <v>2050</v>
      </c>
      <c r="J319" s="57"/>
    </row>
    <row r="320" customFormat="false" ht="15" hidden="false" customHeight="false" outlineLevel="0" collapsed="false">
      <c r="A320" s="319" t="s">
        <v>580</v>
      </c>
      <c r="B320" s="202" t="s">
        <v>499</v>
      </c>
      <c r="C320" s="203" t="n">
        <v>0</v>
      </c>
      <c r="D320" s="203" t="n">
        <v>0</v>
      </c>
      <c r="E320" s="203" t="n">
        <v>0</v>
      </c>
      <c r="F320" s="203" t="n">
        <v>0</v>
      </c>
      <c r="G320" s="203" t="n">
        <v>0</v>
      </c>
      <c r="H320" s="203" t="n">
        <v>0</v>
      </c>
      <c r="I320" s="204" t="n">
        <v>0</v>
      </c>
      <c r="J320" s="57"/>
    </row>
    <row r="321" customFormat="false" ht="15" hidden="false" customHeight="false" outlineLevel="0" collapsed="false">
      <c r="A321" s="319" t="s">
        <v>597</v>
      </c>
      <c r="B321" s="202"/>
      <c r="C321" s="203" t="n">
        <v>0</v>
      </c>
      <c r="D321" s="203" t="n">
        <v>0</v>
      </c>
      <c r="E321" s="203" t="n">
        <v>0</v>
      </c>
      <c r="F321" s="203" t="n">
        <v>0</v>
      </c>
      <c r="G321" s="203" t="n">
        <v>0</v>
      </c>
      <c r="H321" s="203" t="n">
        <v>0</v>
      </c>
      <c r="I321" s="204" t="n">
        <v>0</v>
      </c>
      <c r="J321" s="57"/>
    </row>
    <row r="322" customFormat="false" ht="15" hidden="false" customHeight="false" outlineLevel="0" collapsed="false">
      <c r="A322" s="319" t="s">
        <v>598</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19" t="s">
        <v>599</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19" t="s">
        <v>600</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19" t="s">
        <v>601</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19" t="s">
        <v>602</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19" t="s">
        <v>603</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19" t="s">
        <v>354</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19" t="s">
        <v>369</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19" t="s">
        <v>604</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19" t="s">
        <v>605</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19" t="s">
        <v>606</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19" t="s">
        <v>607</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19" t="s">
        <v>608</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19" t="s">
        <v>609</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19" t="s">
        <v>610</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19" t="s">
        <v>611</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19" t="s">
        <v>612</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19" t="s">
        <v>613</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19" t="s">
        <v>614</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19" t="s">
        <v>615</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19" t="s">
        <v>616</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19" t="s">
        <v>617</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19" t="s">
        <v>618</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19" t="s">
        <v>619</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19" t="s">
        <v>620</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19" t="s">
        <v>621</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19" t="s">
        <v>622</v>
      </c>
      <c r="B348" s="202" t="s">
        <v>499</v>
      </c>
      <c r="C348" s="203" t="n">
        <v>0</v>
      </c>
      <c r="D348" s="203" t="n">
        <v>0</v>
      </c>
      <c r="E348" s="203" t="n">
        <v>0</v>
      </c>
      <c r="F348" s="203" t="n">
        <v>0</v>
      </c>
      <c r="G348" s="203" t="n">
        <v>0</v>
      </c>
      <c r="H348" s="203" t="n">
        <v>0</v>
      </c>
      <c r="I348" s="204" t="n">
        <v>0</v>
      </c>
      <c r="J348" s="57"/>
    </row>
    <row r="349" customFormat="false" ht="15" hidden="false" customHeight="false" outlineLevel="0" collapsed="false">
      <c r="A349" s="319" t="s">
        <v>623</v>
      </c>
      <c r="B349" s="202" t="s">
        <v>499</v>
      </c>
      <c r="C349" s="203" t="n">
        <v>0</v>
      </c>
      <c r="D349" s="203" t="n">
        <v>0</v>
      </c>
      <c r="E349" s="203" t="n">
        <v>0</v>
      </c>
      <c r="F349" s="203" t="n">
        <v>0</v>
      </c>
      <c r="G349" s="203" t="n">
        <v>0</v>
      </c>
      <c r="H349" s="203" t="n">
        <v>0</v>
      </c>
      <c r="I349" s="204" t="n">
        <v>0</v>
      </c>
      <c r="J349" s="57"/>
    </row>
    <row r="350" customFormat="false" ht="15" hidden="false" customHeight="false" outlineLevel="0" collapsed="false">
      <c r="A350" s="319" t="s">
        <v>624</v>
      </c>
      <c r="B350" s="202" t="s">
        <v>499</v>
      </c>
      <c r="C350" s="203" t="n">
        <v>0</v>
      </c>
      <c r="D350" s="203" t="n">
        <v>0</v>
      </c>
      <c r="E350" s="203" t="n">
        <v>0.00086013</v>
      </c>
      <c r="F350" s="203" t="n">
        <v>0.001453609</v>
      </c>
      <c r="G350" s="203" t="n">
        <v>0.002036738</v>
      </c>
      <c r="H350" s="203" t="n">
        <v>0.002500292</v>
      </c>
      <c r="I350" s="204" t="n">
        <v>0.002963845</v>
      </c>
      <c r="J350" s="57"/>
    </row>
    <row r="351" customFormat="false" ht="15" hidden="false" customHeight="false" outlineLevel="0" collapsed="false">
      <c r="A351" s="319" t="s">
        <v>625</v>
      </c>
      <c r="B351" s="202" t="s">
        <v>499</v>
      </c>
      <c r="C351" s="203" t="n">
        <v>0</v>
      </c>
      <c r="D351" s="203" t="n">
        <v>0</v>
      </c>
      <c r="E351" s="203" t="n">
        <v>0</v>
      </c>
      <c r="F351" s="203" t="n">
        <v>0</v>
      </c>
      <c r="G351" s="203" t="n">
        <v>0</v>
      </c>
      <c r="H351" s="203" t="n">
        <v>0</v>
      </c>
      <c r="I351" s="204" t="n">
        <v>0</v>
      </c>
      <c r="J351" s="57"/>
    </row>
    <row r="352" customFormat="false" ht="15" hidden="false" customHeight="false" outlineLevel="0" collapsed="false">
      <c r="A352" s="319" t="s">
        <v>626</v>
      </c>
      <c r="B352" s="202" t="s">
        <v>499</v>
      </c>
      <c r="C352" s="203" t="n">
        <v>0</v>
      </c>
      <c r="D352" s="203" t="n">
        <v>0</v>
      </c>
      <c r="E352" s="203" t="n">
        <v>0.00086013</v>
      </c>
      <c r="F352" s="203" t="n">
        <v>0.001453609</v>
      </c>
      <c r="G352" s="203" t="n">
        <v>0.002036738</v>
      </c>
      <c r="H352" s="203" t="n">
        <v>0.002500292</v>
      </c>
      <c r="I352" s="204" t="n">
        <v>0.002963845</v>
      </c>
      <c r="J352" s="57"/>
    </row>
    <row r="353" customFormat="false" ht="15" hidden="false" customHeight="false" outlineLevel="0" collapsed="false">
      <c r="A353" s="319" t="s">
        <v>627</v>
      </c>
      <c r="B353" s="202" t="s">
        <v>499</v>
      </c>
      <c r="C353" s="203" t="n">
        <v>0</v>
      </c>
      <c r="D353" s="203" t="n">
        <v>0</v>
      </c>
      <c r="E353" s="203" t="n">
        <v>0</v>
      </c>
      <c r="F353" s="203" t="n">
        <v>0</v>
      </c>
      <c r="G353" s="203" t="n">
        <v>0</v>
      </c>
      <c r="H353" s="203" t="n">
        <v>0</v>
      </c>
      <c r="I353" s="204" t="n">
        <v>0</v>
      </c>
      <c r="J353" s="57"/>
    </row>
    <row r="354" customFormat="false" ht="15" hidden="false" customHeight="false" outlineLevel="0" collapsed="false">
      <c r="A354" s="319" t="s">
        <v>628</v>
      </c>
      <c r="B354" s="202" t="s">
        <v>499</v>
      </c>
      <c r="C354" s="203" t="n">
        <v>0</v>
      </c>
      <c r="D354" s="203" t="n">
        <v>0</v>
      </c>
      <c r="E354" s="203" t="n">
        <v>0</v>
      </c>
      <c r="F354" s="203" t="n">
        <v>0</v>
      </c>
      <c r="G354" s="203" t="n">
        <v>0</v>
      </c>
      <c r="H354" s="203" t="n">
        <v>0</v>
      </c>
      <c r="I354" s="204" t="n">
        <v>0</v>
      </c>
      <c r="J354" s="57"/>
    </row>
    <row r="355" customFormat="false" ht="15" hidden="false" customHeight="false" outlineLevel="0" collapsed="false">
      <c r="A355" s="319" t="s">
        <v>629</v>
      </c>
      <c r="B355" s="202" t="s">
        <v>499</v>
      </c>
      <c r="C355" s="203" t="n">
        <v>0</v>
      </c>
      <c r="D355" s="203" t="n">
        <v>0</v>
      </c>
      <c r="E355" s="203" t="n">
        <v>0.001290195</v>
      </c>
      <c r="F355" s="203" t="n">
        <v>0.002180414</v>
      </c>
      <c r="G355" s="203" t="n">
        <v>0.003055107</v>
      </c>
      <c r="H355" s="203" t="n">
        <v>0.003750438</v>
      </c>
      <c r="I355" s="204" t="n">
        <v>0.004445768</v>
      </c>
      <c r="J355" s="57"/>
    </row>
    <row r="356" customFormat="false" ht="15" hidden="false" customHeight="false" outlineLevel="0" collapsed="false">
      <c r="A356" s="319" t="s">
        <v>630</v>
      </c>
      <c r="B356" s="202" t="s">
        <v>499</v>
      </c>
      <c r="C356" s="203" t="n">
        <v>0</v>
      </c>
      <c r="D356" s="203" t="n">
        <v>0</v>
      </c>
      <c r="E356" s="203" t="n">
        <v>0</v>
      </c>
      <c r="F356" s="203" t="n">
        <v>0</v>
      </c>
      <c r="G356" s="203" t="n">
        <v>0</v>
      </c>
      <c r="H356" s="203" t="n">
        <v>0</v>
      </c>
      <c r="I356" s="204" t="n">
        <v>0</v>
      </c>
      <c r="J356" s="57"/>
    </row>
    <row r="357" customFormat="false" ht="15" hidden="false" customHeight="false" outlineLevel="0" collapsed="false">
      <c r="A357" s="319" t="s">
        <v>631</v>
      </c>
      <c r="B357" s="202" t="s">
        <v>499</v>
      </c>
      <c r="C357" s="203" t="n">
        <v>0</v>
      </c>
      <c r="D357" s="203" t="n">
        <v>0</v>
      </c>
      <c r="E357" s="203" t="n">
        <v>0</v>
      </c>
      <c r="F357" s="203" t="n">
        <v>0</v>
      </c>
      <c r="G357" s="203" t="n">
        <v>0</v>
      </c>
      <c r="H357" s="203" t="n">
        <v>0</v>
      </c>
      <c r="I357" s="204" t="n">
        <v>0</v>
      </c>
      <c r="J357" s="57"/>
    </row>
    <row r="358" customFormat="false" ht="15" hidden="false" customHeight="false" outlineLevel="0" collapsed="false">
      <c r="A358" s="319" t="s">
        <v>632</v>
      </c>
      <c r="B358" s="202" t="s">
        <v>499</v>
      </c>
      <c r="C358" s="203" t="n">
        <v>0</v>
      </c>
      <c r="D358" s="203" t="n">
        <v>0</v>
      </c>
      <c r="E358" s="203" t="n">
        <v>0.001290195</v>
      </c>
      <c r="F358" s="203" t="n">
        <v>0.002180414</v>
      </c>
      <c r="G358" s="203" t="n">
        <v>0.003055107</v>
      </c>
      <c r="H358" s="203" t="n">
        <v>0.003750438</v>
      </c>
      <c r="I358" s="204" t="n">
        <v>0.004445768</v>
      </c>
      <c r="J358" s="57"/>
    </row>
    <row r="359" customFormat="false" ht="15" hidden="false" customHeight="false" outlineLevel="0" collapsed="false">
      <c r="A359" s="319" t="s">
        <v>633</v>
      </c>
      <c r="B359" s="202" t="s">
        <v>499</v>
      </c>
      <c r="C359" s="203" t="n">
        <v>0</v>
      </c>
      <c r="D359" s="203" t="n">
        <v>0</v>
      </c>
      <c r="E359" s="203" t="n">
        <v>0</v>
      </c>
      <c r="F359" s="203" t="n">
        <v>0</v>
      </c>
      <c r="G359" s="203" t="n">
        <v>0</v>
      </c>
      <c r="H359" s="203" t="n">
        <v>0</v>
      </c>
      <c r="I359" s="204" t="n">
        <v>0</v>
      </c>
      <c r="J359" s="57"/>
    </row>
    <row r="360" customFormat="false" ht="15" hidden="false" customHeight="false" outlineLevel="0" collapsed="false">
      <c r="A360" s="319" t="s">
        <v>634</v>
      </c>
      <c r="B360" s="202" t="s">
        <v>499</v>
      </c>
      <c r="C360" s="203" t="n">
        <v>0</v>
      </c>
      <c r="D360" s="203" t="n">
        <v>0</v>
      </c>
      <c r="E360" s="203" t="n">
        <v>0</v>
      </c>
      <c r="F360" s="203" t="n">
        <v>0</v>
      </c>
      <c r="G360" s="203" t="n">
        <v>0</v>
      </c>
      <c r="H360" s="203" t="n">
        <v>0</v>
      </c>
      <c r="I360" s="204" t="n">
        <v>0</v>
      </c>
      <c r="J360" s="57"/>
    </row>
    <row r="361" customFormat="false" ht="15" hidden="false" customHeight="false" outlineLevel="0" collapsed="false">
      <c r="A361" s="319" t="s">
        <v>635</v>
      </c>
      <c r="B361" s="202" t="s">
        <v>499</v>
      </c>
      <c r="C361" s="203" t="n">
        <v>0</v>
      </c>
      <c r="D361" s="203" t="n">
        <v>0</v>
      </c>
      <c r="E361" s="203" t="n">
        <v>0.00086013</v>
      </c>
      <c r="F361" s="203" t="n">
        <v>0.001453609</v>
      </c>
      <c r="G361" s="203" t="n">
        <v>0.002036738</v>
      </c>
      <c r="H361" s="203" t="n">
        <v>0.002500292</v>
      </c>
      <c r="I361" s="204" t="n">
        <v>0.002963845</v>
      </c>
      <c r="J361" s="57"/>
    </row>
    <row r="362" customFormat="false" ht="15" hidden="false" customHeight="false" outlineLevel="0" collapsed="false">
      <c r="A362" s="319" t="s">
        <v>636</v>
      </c>
      <c r="B362" s="202" t="s">
        <v>499</v>
      </c>
      <c r="C362" s="203" t="n">
        <v>0</v>
      </c>
      <c r="D362" s="203" t="n">
        <v>0</v>
      </c>
      <c r="E362" s="203" t="n">
        <v>0</v>
      </c>
      <c r="F362" s="203" t="n">
        <v>0</v>
      </c>
      <c r="G362" s="203" t="n">
        <v>0</v>
      </c>
      <c r="H362" s="203" t="n">
        <v>0</v>
      </c>
      <c r="I362" s="204" t="n">
        <v>0</v>
      </c>
      <c r="J362" s="57"/>
    </row>
    <row r="363" customFormat="false" ht="15" hidden="false" customHeight="false" outlineLevel="0" collapsed="false">
      <c r="A363" s="319" t="s">
        <v>637</v>
      </c>
      <c r="B363" s="202" t="s">
        <v>499</v>
      </c>
      <c r="C363" s="203" t="n">
        <v>0</v>
      </c>
      <c r="D363" s="203" t="n">
        <v>0</v>
      </c>
      <c r="E363" s="203" t="n">
        <v>0.000430065</v>
      </c>
      <c r="F363" s="203" t="n">
        <v>0.000726805</v>
      </c>
      <c r="G363" s="203" t="n">
        <v>0.001018369</v>
      </c>
      <c r="H363" s="203" t="n">
        <v>0.001250146</v>
      </c>
      <c r="I363" s="204" t="n">
        <v>0.001481923</v>
      </c>
      <c r="J363" s="57"/>
    </row>
    <row r="364" customFormat="false" ht="15" hidden="false" customHeight="false" outlineLevel="0" collapsed="false">
      <c r="A364" s="319" t="s">
        <v>638</v>
      </c>
      <c r="B364" s="202" t="s">
        <v>499</v>
      </c>
      <c r="C364" s="203" t="n">
        <v>0</v>
      </c>
      <c r="D364" s="203" t="n">
        <v>0</v>
      </c>
      <c r="E364" s="203" t="n">
        <v>0.001290195</v>
      </c>
      <c r="F364" s="203" t="n">
        <v>0.002180414</v>
      </c>
      <c r="G364" s="203" t="n">
        <v>0.003055107</v>
      </c>
      <c r="H364" s="203" t="n">
        <v>0.003750438</v>
      </c>
      <c r="I364" s="204" t="n">
        <v>0.004445768</v>
      </c>
      <c r="J364" s="57"/>
    </row>
    <row r="365" customFormat="false" ht="15" hidden="false" customHeight="false" outlineLevel="0" collapsed="false">
      <c r="A365" s="319" t="s">
        <v>639</v>
      </c>
      <c r="B365" s="202" t="s">
        <v>499</v>
      </c>
      <c r="C365" s="203" t="n">
        <v>0</v>
      </c>
      <c r="D365" s="203" t="n">
        <v>0</v>
      </c>
      <c r="E365" s="203" t="n">
        <v>0</v>
      </c>
      <c r="F365" s="203" t="n">
        <v>0</v>
      </c>
      <c r="G365" s="203" t="n">
        <v>0</v>
      </c>
      <c r="H365" s="203" t="n">
        <v>0</v>
      </c>
      <c r="I365" s="204" t="n">
        <v>0</v>
      </c>
      <c r="J365" s="57"/>
    </row>
    <row r="366" customFormat="false" ht="15" hidden="false" customHeight="false" outlineLevel="0" collapsed="false">
      <c r="A366" s="319" t="s">
        <v>640</v>
      </c>
      <c r="B366" s="202" t="s">
        <v>499</v>
      </c>
      <c r="C366" s="203" t="n">
        <v>0</v>
      </c>
      <c r="D366" s="203" t="n">
        <v>0</v>
      </c>
      <c r="E366" s="203" t="n">
        <v>0.00086013</v>
      </c>
      <c r="F366" s="203" t="n">
        <v>0.001453609</v>
      </c>
      <c r="G366" s="203" t="n">
        <v>0.002036738</v>
      </c>
      <c r="H366" s="203" t="n">
        <v>0.002500292</v>
      </c>
      <c r="I366" s="204" t="n">
        <v>0.002963845</v>
      </c>
      <c r="J366" s="57"/>
    </row>
    <row r="367" customFormat="false" ht="15" hidden="false" customHeight="false" outlineLevel="0" collapsed="false">
      <c r="A367" s="319" t="s">
        <v>641</v>
      </c>
      <c r="B367" s="202" t="s">
        <v>499</v>
      </c>
      <c r="C367" s="203" t="n">
        <v>0</v>
      </c>
      <c r="D367" s="203" t="n">
        <v>0</v>
      </c>
      <c r="E367" s="203" t="n">
        <v>0</v>
      </c>
      <c r="F367" s="203" t="n">
        <v>0</v>
      </c>
      <c r="G367" s="203" t="n">
        <v>0</v>
      </c>
      <c r="H367" s="203" t="n">
        <v>0</v>
      </c>
      <c r="I367" s="204" t="n">
        <v>0</v>
      </c>
      <c r="J367" s="57"/>
    </row>
    <row r="368" customFormat="false" ht="15" hidden="false" customHeight="false" outlineLevel="0" collapsed="false">
      <c r="A368" s="319" t="s">
        <v>642</v>
      </c>
      <c r="B368" s="202" t="s">
        <v>499</v>
      </c>
      <c r="C368" s="203" t="n">
        <v>0</v>
      </c>
      <c r="D368" s="203" t="n">
        <v>0</v>
      </c>
      <c r="E368" s="203" t="n">
        <v>0.00086013</v>
      </c>
      <c r="F368" s="203" t="n">
        <v>0.001453609</v>
      </c>
      <c r="G368" s="203" t="n">
        <v>0.002036738</v>
      </c>
      <c r="H368" s="203" t="n">
        <v>0.002500292</v>
      </c>
      <c r="I368" s="204" t="n">
        <v>0.002963845</v>
      </c>
      <c r="J368" s="57"/>
    </row>
    <row r="369" customFormat="false" ht="15" hidden="false" customHeight="false" outlineLevel="0" collapsed="false">
      <c r="A369" s="319" t="s">
        <v>643</v>
      </c>
      <c r="B369" s="202" t="s">
        <v>499</v>
      </c>
      <c r="C369" s="203" t="n">
        <v>0</v>
      </c>
      <c r="D369" s="203" t="n">
        <v>0</v>
      </c>
      <c r="E369" s="203" t="n">
        <v>0</v>
      </c>
      <c r="F369" s="203" t="n">
        <v>0</v>
      </c>
      <c r="G369" s="203" t="n">
        <v>0</v>
      </c>
      <c r="H369" s="203" t="n">
        <v>0</v>
      </c>
      <c r="I369" s="204" t="n">
        <v>0</v>
      </c>
      <c r="J369" s="57"/>
    </row>
    <row r="370" customFormat="false" ht="15" hidden="false" customHeight="false" outlineLevel="0" collapsed="false">
      <c r="A370" s="320" t="s">
        <v>667</v>
      </c>
      <c r="B370" s="321"/>
      <c r="C370" s="321"/>
      <c r="D370" s="321"/>
      <c r="E370" s="321"/>
      <c r="F370" s="321"/>
      <c r="G370" s="321"/>
      <c r="H370" s="322"/>
      <c r="I370" s="321"/>
      <c r="J370" s="57"/>
    </row>
    <row r="371" customFormat="false" ht="15" hidden="false" customHeight="false" outlineLevel="0" collapsed="false">
      <c r="A371" s="319" t="s">
        <v>580</v>
      </c>
      <c r="B371" s="202" t="s">
        <v>28</v>
      </c>
      <c r="C371" s="203" t="n">
        <v>0.189349112426035</v>
      </c>
      <c r="D371" s="203" t="n">
        <v>0.189349112426035</v>
      </c>
      <c r="E371" s="203" t="n">
        <v>0.189349112426035</v>
      </c>
      <c r="F371" s="203" t="n">
        <v>0.189349112426035</v>
      </c>
      <c r="G371" s="203" t="n">
        <v>0.189349112426035</v>
      </c>
      <c r="H371" s="203" t="n">
        <f aca="false">G371+(I371-G371)/2</f>
        <v>0.238653613804641</v>
      </c>
      <c r="I371" s="203" t="n">
        <v>0.287958115183246</v>
      </c>
      <c r="J371" s="57"/>
    </row>
    <row r="372" customFormat="false" ht="15" hidden="false" customHeight="false" outlineLevel="0" collapsed="false">
      <c r="A372" s="319" t="s">
        <v>597</v>
      </c>
      <c r="B372" s="202" t="s">
        <v>28</v>
      </c>
      <c r="C372" s="203" t="n">
        <v>0.189349112</v>
      </c>
      <c r="D372" s="203" t="n">
        <v>0.189349112</v>
      </c>
      <c r="E372" s="203" t="n">
        <v>0.189349112</v>
      </c>
      <c r="F372" s="203" t="n">
        <v>0.189349112</v>
      </c>
      <c r="G372" s="203" t="n">
        <v>0.189349112</v>
      </c>
      <c r="H372" s="203" t="n">
        <v>0.238653614</v>
      </c>
      <c r="I372" s="203" t="n">
        <v>0.287958115</v>
      </c>
      <c r="J372" s="57"/>
    </row>
    <row r="373" customFormat="false" ht="15" hidden="false" customHeight="false" outlineLevel="0" collapsed="false">
      <c r="A373" s="319" t="s">
        <v>598</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19" t="s">
        <v>599</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19" t="s">
        <v>600</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19" t="s">
        <v>601</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19" t="s">
        <v>602</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19" t="s">
        <v>603</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19" t="s">
        <v>354</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19" t="s">
        <v>369</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19" t="s">
        <v>604</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19" t="s">
        <v>605</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19" t="s">
        <v>606</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19" t="s">
        <v>607</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19" t="s">
        <v>608</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19" t="s">
        <v>609</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19" t="s">
        <v>610</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19" t="s">
        <v>611</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19" t="s">
        <v>612</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19" t="s">
        <v>613</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19" t="s">
        <v>614</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19" t="s">
        <v>615</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19" t="s">
        <v>616</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19" t="s">
        <v>617</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19" t="s">
        <v>618</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19" t="s">
        <v>619</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19" t="s">
        <v>620</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19" t="s">
        <v>621</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19" t="s">
        <v>622</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19" t="s">
        <v>623</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19" t="s">
        <v>624</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19" t="s">
        <v>625</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19" t="s">
        <v>626</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19" t="s">
        <v>627</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19" t="s">
        <v>628</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19" t="s">
        <v>629</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19" t="s">
        <v>630</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19" t="s">
        <v>631</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19" t="s">
        <v>632</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19" t="s">
        <v>633</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19" t="s">
        <v>634</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19" t="s">
        <v>635</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19" t="s">
        <v>636</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19" t="s">
        <v>637</v>
      </c>
      <c r="B414" s="202" t="s">
        <v>28</v>
      </c>
      <c r="C414" s="203" t="n">
        <v>0.189349112</v>
      </c>
      <c r="D414" s="203" t="n">
        <v>0.189349112</v>
      </c>
      <c r="E414" s="203" t="n">
        <v>0.189349112</v>
      </c>
      <c r="F414" s="203" t="n">
        <v>0.189349112</v>
      </c>
      <c r="G414" s="203" t="n">
        <v>0.189349112</v>
      </c>
      <c r="H414" s="203" t="n">
        <v>0.169674556</v>
      </c>
      <c r="I414" s="203" t="n">
        <v>0.15</v>
      </c>
      <c r="J414" s="57"/>
    </row>
    <row r="415" customFormat="false" ht="15" hidden="false" customHeight="false" outlineLevel="0" collapsed="false">
      <c r="A415" s="319" t="s">
        <v>638</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19" t="s">
        <v>639</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19" t="s">
        <v>640</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19" t="s">
        <v>641</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19" t="s">
        <v>642</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19" t="s">
        <v>643</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8" hidden="false" customHeight="true" outlineLevel="0" collapsed="false">
      <c r="A421" s="200" t="s">
        <v>668</v>
      </c>
      <c r="B421" s="200"/>
      <c r="C421" s="200"/>
      <c r="D421" s="200"/>
      <c r="E421" s="200"/>
      <c r="F421" s="200"/>
      <c r="G421" s="200"/>
      <c r="H421" s="200"/>
      <c r="I421" s="200"/>
    </row>
    <row r="422" customFormat="false" ht="15" hidden="false" customHeight="false" outlineLevel="0" collapsed="false">
      <c r="A422" s="319" t="s">
        <v>669</v>
      </c>
      <c r="B422" s="219" t="s">
        <v>499</v>
      </c>
      <c r="C422" s="203" t="n">
        <v>0</v>
      </c>
      <c r="D422" s="203" t="n">
        <v>0.00625343327625571</v>
      </c>
      <c r="E422" s="203" t="n">
        <v>0.0125068665525114</v>
      </c>
      <c r="F422" s="203" t="n">
        <v>0.0135108581335616</v>
      </c>
      <c r="G422" s="203" t="n">
        <v>0.0145148497146119</v>
      </c>
      <c r="H422" s="203" t="n">
        <v>0.0155188412956621</v>
      </c>
      <c r="I422" s="203" t="n">
        <v>0.0165228328767123</v>
      </c>
    </row>
    <row r="423" customFormat="false" ht="15" hidden="false" customHeight="false" outlineLevel="0" collapsed="false">
      <c r="H423" s="54"/>
      <c r="J423" s="57"/>
    </row>
    <row r="424" customFormat="false" ht="17.35" hidden="false" customHeight="false" outlineLevel="0" collapsed="false">
      <c r="A424" s="323" t="s">
        <v>670</v>
      </c>
      <c r="B424" s="324"/>
      <c r="C424" s="325"/>
    </row>
    <row r="425" customFormat="false" ht="15" hidden="false" customHeight="false" outlineLevel="0" collapsed="false">
      <c r="A425" s="319" t="s">
        <v>434</v>
      </c>
      <c r="B425" s="202" t="s">
        <v>36</v>
      </c>
      <c r="C425" s="204" t="n">
        <v>2050</v>
      </c>
    </row>
    <row r="426" customFormat="false" ht="15" hidden="false" customHeight="false" outlineLevel="0" collapsed="false">
      <c r="A426" s="326" t="s">
        <v>671</v>
      </c>
      <c r="B426" s="205" t="s">
        <v>327</v>
      </c>
      <c r="C426" s="327" t="n">
        <v>0.05</v>
      </c>
    </row>
    <row r="428" customFormat="false" ht="17.35" hidden="false" customHeight="false" outlineLevel="0" collapsed="false">
      <c r="A428" s="323" t="s">
        <v>672</v>
      </c>
      <c r="B428" s="323"/>
      <c r="C428" s="323"/>
      <c r="D428" s="323"/>
      <c r="E428" s="323"/>
      <c r="F428" s="323"/>
      <c r="G428" s="323"/>
      <c r="H428" s="323"/>
      <c r="I428" s="323"/>
    </row>
    <row r="429" customFormat="false" ht="15" hidden="false" customHeight="false" outlineLevel="0" collapsed="false">
      <c r="A429" s="319" t="s">
        <v>673</v>
      </c>
      <c r="B429" s="202" t="s">
        <v>36</v>
      </c>
      <c r="C429" s="203" t="n">
        <v>2020</v>
      </c>
      <c r="D429" s="203" t="n">
        <f aca="false">C429+5</f>
        <v>2025</v>
      </c>
      <c r="E429" s="203" t="n">
        <f aca="false">D429+5</f>
        <v>2030</v>
      </c>
      <c r="F429" s="203" t="n">
        <f aca="false">E429+5</f>
        <v>2035</v>
      </c>
      <c r="G429" s="203" t="n">
        <f aca="false">F429+5</f>
        <v>2040</v>
      </c>
      <c r="H429" s="203" t="n">
        <f aca="false">G429+5</f>
        <v>2045</v>
      </c>
      <c r="I429" s="203" t="n">
        <f aca="false">H429+5</f>
        <v>2050</v>
      </c>
    </row>
    <row r="430" customFormat="false" ht="15" hidden="false" customHeight="false" outlineLevel="0" collapsed="false">
      <c r="A430" s="319" t="s">
        <v>674</v>
      </c>
      <c r="B430" s="202" t="s">
        <v>675</v>
      </c>
      <c r="C430" s="203" t="n">
        <v>0</v>
      </c>
      <c r="D430" s="203" t="n">
        <v>0</v>
      </c>
      <c r="E430" s="203" t="n">
        <v>0</v>
      </c>
      <c r="F430" s="203" t="n">
        <v>0</v>
      </c>
      <c r="G430" s="203" t="n">
        <v>0</v>
      </c>
      <c r="H430" s="203" t="n">
        <v>0</v>
      </c>
      <c r="I430" s="203" t="n">
        <v>0</v>
      </c>
      <c r="M430" s="198"/>
      <c r="Q430" s="198"/>
      <c r="U430" s="198"/>
    </row>
    <row r="432" customFormat="false" ht="17.35" hidden="false" customHeight="false" outlineLevel="0" collapsed="false">
      <c r="A432" s="323" t="s">
        <v>676</v>
      </c>
      <c r="B432" s="323"/>
      <c r="C432" s="323"/>
      <c r="D432" s="323"/>
      <c r="E432" s="323"/>
      <c r="F432" s="323"/>
      <c r="G432" s="323"/>
      <c r="H432" s="323"/>
      <c r="I432" s="323"/>
      <c r="J432" s="323"/>
      <c r="K432" s="323"/>
      <c r="L432" s="323"/>
      <c r="M432" s="323"/>
      <c r="N432" s="323"/>
      <c r="O432" s="323"/>
      <c r="P432" s="323"/>
      <c r="Q432" s="323"/>
      <c r="R432" s="323"/>
      <c r="S432" s="323"/>
      <c r="T432" s="323"/>
      <c r="U432" s="323"/>
      <c r="V432" s="323"/>
      <c r="W432" s="323"/>
      <c r="X432" s="323"/>
    </row>
    <row r="433" customFormat="false" ht="15" hidden="false" customHeight="false" outlineLevel="0" collapsed="false">
      <c r="A433" s="319" t="s">
        <v>673</v>
      </c>
      <c r="B433" s="202" t="s">
        <v>36</v>
      </c>
      <c r="C433" s="203" t="n">
        <v>1980</v>
      </c>
      <c r="D433" s="203" t="n">
        <v>2020</v>
      </c>
      <c r="E433" s="203" t="n">
        <f aca="false">D433+5</f>
        <v>2025</v>
      </c>
      <c r="F433" s="203" t="n">
        <f aca="false">E433+5</f>
        <v>2030</v>
      </c>
      <c r="G433" s="203" t="n">
        <f aca="false">F433+5</f>
        <v>2035</v>
      </c>
      <c r="H433" s="203" t="n">
        <f aca="false">G433+5</f>
        <v>2040</v>
      </c>
      <c r="I433" s="203" t="n">
        <f aca="false">H433+5</f>
        <v>2045</v>
      </c>
      <c r="J433" s="203" t="n">
        <f aca="false">I433+5</f>
        <v>2050</v>
      </c>
      <c r="K433" s="203" t="n">
        <f aca="false">J433+5</f>
        <v>2055</v>
      </c>
      <c r="L433" s="203" t="n">
        <f aca="false">K433+5</f>
        <v>2060</v>
      </c>
      <c r="M433" s="203" t="n">
        <f aca="false">L433+5</f>
        <v>2065</v>
      </c>
      <c r="N433" s="203" t="n">
        <f aca="false">M433+5</f>
        <v>2070</v>
      </c>
      <c r="O433" s="203" t="n">
        <f aca="false">N433+5</f>
        <v>2075</v>
      </c>
      <c r="P433" s="203" t="n">
        <f aca="false">O433+5</f>
        <v>2080</v>
      </c>
      <c r="Q433" s="203" t="n">
        <f aca="false">P433+5</f>
        <v>2085</v>
      </c>
      <c r="R433" s="203" t="n">
        <f aca="false">Q433+5</f>
        <v>2090</v>
      </c>
      <c r="S433" s="203" t="n">
        <f aca="false">R433+5</f>
        <v>2095</v>
      </c>
      <c r="T433" s="203" t="n">
        <f aca="false">S433+5</f>
        <v>2100</v>
      </c>
      <c r="U433" s="203" t="n">
        <f aca="false">T433+5</f>
        <v>2105</v>
      </c>
      <c r="V433" s="203" t="n">
        <f aca="false">U433+5</f>
        <v>2110</v>
      </c>
      <c r="W433" s="203" t="n">
        <f aca="false">V433+5</f>
        <v>2115</v>
      </c>
      <c r="X433" s="203" t="n">
        <f aca="false">W433+5</f>
        <v>2120</v>
      </c>
    </row>
    <row r="434" customFormat="false" ht="15" hidden="false" customHeight="false" outlineLevel="0" collapsed="false">
      <c r="A434" s="319" t="s">
        <v>676</v>
      </c>
      <c r="B434" s="202" t="s">
        <v>677</v>
      </c>
      <c r="C434" s="203"/>
      <c r="D434" s="203" t="n">
        <v>345</v>
      </c>
      <c r="E434" s="203"/>
      <c r="F434" s="203" t="n">
        <v>345</v>
      </c>
      <c r="G434" s="203"/>
      <c r="H434" s="203" t="n">
        <v>298</v>
      </c>
      <c r="I434" s="203"/>
      <c r="J434" s="203" t="n">
        <v>333</v>
      </c>
      <c r="K434" s="203"/>
      <c r="L434" s="203"/>
      <c r="M434" s="203"/>
      <c r="N434" s="203"/>
      <c r="O434" s="203"/>
      <c r="P434" s="203"/>
      <c r="Q434" s="203"/>
      <c r="R434" s="203"/>
      <c r="S434" s="203"/>
      <c r="T434" s="203"/>
      <c r="U434" s="203"/>
      <c r="V434" s="203"/>
      <c r="W434" s="203"/>
      <c r="X434" s="203"/>
    </row>
    <row r="435" customFormat="false" ht="15" hidden="false" customHeight="false" outlineLevel="0" collapsed="false">
      <c r="H435" s="54"/>
      <c r="J435" s="57"/>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24.45" hidden="false" customHeight="false" outlineLevel="0" collapsed="false">
      <c r="A440" s="199" t="s">
        <v>678</v>
      </c>
    </row>
    <row r="443" customFormat="false" ht="15" hidden="false" customHeight="false" outlineLevel="0" collapsed="false">
      <c r="H443" s="328"/>
    </row>
    <row r="444" customFormat="false" ht="15" hidden="false" customHeight="false" outlineLevel="0" collapsed="false">
      <c r="H444" s="328"/>
    </row>
    <row r="445" customFormat="false" ht="17.35" hidden="false" customHeight="false" outlineLevel="0" collapsed="false">
      <c r="A445" s="200" t="s">
        <v>679</v>
      </c>
      <c r="B445" s="200"/>
      <c r="C445" s="200"/>
      <c r="D445" s="200"/>
      <c r="E445" s="200"/>
      <c r="F445" s="200"/>
      <c r="G445" s="200"/>
      <c r="H445" s="200"/>
    </row>
    <row r="446" customFormat="false" ht="15" hidden="false" customHeight="false" outlineLevel="0" collapsed="false">
      <c r="A446" s="329" t="s">
        <v>36</v>
      </c>
      <c r="B446" s="203" t="n">
        <v>2020</v>
      </c>
      <c r="C446" s="203" t="n">
        <v>2025</v>
      </c>
      <c r="D446" s="203" t="n">
        <v>2030</v>
      </c>
      <c r="E446" s="203" t="n">
        <v>2035</v>
      </c>
      <c r="F446" s="203" t="n">
        <v>2040</v>
      </c>
      <c r="G446" s="203" t="n">
        <v>2045</v>
      </c>
      <c r="H446" s="204" t="n">
        <v>2050</v>
      </c>
    </row>
    <row r="447" customFormat="false" ht="15" hidden="false" customHeight="false" outlineLevel="0" collapsed="false">
      <c r="A447" s="312" t="s">
        <v>472</v>
      </c>
      <c r="B447" s="312"/>
      <c r="C447" s="312"/>
      <c r="D447" s="312"/>
      <c r="E447" s="312"/>
      <c r="F447" s="312"/>
      <c r="G447" s="312"/>
      <c r="H447" s="312"/>
    </row>
    <row r="448" customFormat="false" ht="15" hidden="false" customHeight="false" outlineLevel="0" collapsed="false">
      <c r="A448" s="330" t="s">
        <v>680</v>
      </c>
      <c r="B448" s="203" t="n">
        <v>18.8</v>
      </c>
      <c r="C448" s="203" t="n">
        <v>16.1316315</v>
      </c>
      <c r="D448" s="203" t="n">
        <v>13.486491</v>
      </c>
      <c r="E448" s="203" t="n">
        <v>10.8413505</v>
      </c>
      <c r="F448" s="203" t="n">
        <v>8.19621</v>
      </c>
      <c r="G448" s="203" t="n">
        <v>5.5510695</v>
      </c>
      <c r="H448" s="204" t="n">
        <v>2.9</v>
      </c>
    </row>
    <row r="449" customFormat="false" ht="15" hidden="false" customHeight="false" outlineLevel="0" collapsed="false">
      <c r="A449" s="312" t="s">
        <v>479</v>
      </c>
      <c r="B449" s="312"/>
      <c r="C449" s="312"/>
      <c r="D449" s="312"/>
      <c r="E449" s="312"/>
      <c r="F449" s="312"/>
      <c r="G449" s="312"/>
      <c r="H449" s="312"/>
      <c r="I449" s="57"/>
    </row>
    <row r="450" customFormat="false" ht="15" hidden="false" customHeight="false" outlineLevel="0" collapsed="false">
      <c r="A450" s="330" t="s">
        <v>680</v>
      </c>
      <c r="B450" s="203" t="n">
        <v>13.3</v>
      </c>
      <c r="C450" s="203" t="n">
        <v>11.39042</v>
      </c>
      <c r="D450" s="203" t="n">
        <v>9.52904</v>
      </c>
      <c r="E450" s="203" t="n">
        <v>7.66766</v>
      </c>
      <c r="F450" s="203" t="n">
        <v>5.80628</v>
      </c>
      <c r="G450" s="203" t="n">
        <v>3.9449</v>
      </c>
      <c r="H450" s="204" t="n">
        <v>2.1</v>
      </c>
    </row>
    <row r="451" customFormat="false" ht="15" hidden="false" customHeight="false" outlineLevel="0" collapsed="false">
      <c r="A451" s="312" t="s">
        <v>485</v>
      </c>
      <c r="B451" s="312"/>
      <c r="C451" s="312"/>
      <c r="D451" s="312"/>
      <c r="E451" s="312"/>
      <c r="F451" s="312"/>
      <c r="G451" s="312"/>
      <c r="H451" s="312"/>
      <c r="I451" s="57"/>
    </row>
    <row r="452" customFormat="false" ht="15" hidden="false" customHeight="false" outlineLevel="0" collapsed="false">
      <c r="A452" s="331" t="s">
        <v>680</v>
      </c>
      <c r="B452" s="332" t="n">
        <v>2.4</v>
      </c>
      <c r="C452" s="332" t="n">
        <v>2.083</v>
      </c>
      <c r="D452" s="332" t="n">
        <v>1.769</v>
      </c>
      <c r="E452" s="332" t="n">
        <v>1.455</v>
      </c>
      <c r="F452" s="332" t="n">
        <v>3</v>
      </c>
      <c r="G452" s="332" t="n">
        <v>3</v>
      </c>
      <c r="H452" s="332" t="n">
        <v>1.141</v>
      </c>
    </row>
    <row r="453" customFormat="false" ht="15" hidden="false" customHeight="false" outlineLevel="0" collapsed="false">
      <c r="F453" s="332" t="n">
        <v>1.141</v>
      </c>
      <c r="G453" s="332" t="n">
        <v>0.827</v>
      </c>
      <c r="H453" s="244" t="n">
        <v>0.5</v>
      </c>
    </row>
    <row r="454" customFormat="false" ht="17.35" hidden="false" customHeight="false" outlineLevel="0" collapsed="false">
      <c r="A454" s="200" t="s">
        <v>681</v>
      </c>
      <c r="B454" s="200"/>
      <c r="C454" s="200"/>
      <c r="D454" s="200"/>
      <c r="E454" s="200"/>
      <c r="F454" s="200"/>
      <c r="G454" s="200"/>
      <c r="H454" s="200"/>
      <c r="I454" s="200"/>
    </row>
    <row r="455" customFormat="false" ht="15" hidden="false" customHeight="false" outlineLevel="0" collapsed="false">
      <c r="A455" s="333"/>
      <c r="B455" s="202" t="s">
        <v>36</v>
      </c>
      <c r="C455" s="203" t="n">
        <v>2020</v>
      </c>
      <c r="D455" s="203" t="n">
        <v>2025</v>
      </c>
      <c r="E455" s="203" t="n">
        <v>2030</v>
      </c>
      <c r="F455" s="203" t="n">
        <v>2035</v>
      </c>
      <c r="G455" s="203" t="n">
        <v>2040</v>
      </c>
      <c r="H455" s="203" t="n">
        <v>2045</v>
      </c>
      <c r="I455" s="204" t="n">
        <v>2050</v>
      </c>
    </row>
    <row r="456" customFormat="false" ht="15" hidden="false" customHeight="false" outlineLevel="0" collapsed="false">
      <c r="A456" s="319" t="s">
        <v>682</v>
      </c>
      <c r="B456" s="202" t="s">
        <v>146</v>
      </c>
      <c r="C456" s="204" t="n">
        <v>-0.01</v>
      </c>
      <c r="D456" s="204" t="n">
        <v>-0.013</v>
      </c>
      <c r="E456" s="204" t="n">
        <v>-0.016</v>
      </c>
      <c r="F456" s="204" t="n">
        <v>-0.019</v>
      </c>
      <c r="G456" s="204" t="n">
        <v>-0.023</v>
      </c>
      <c r="H456" s="204" t="n">
        <v>-0.026</v>
      </c>
      <c r="I456" s="204" t="n">
        <v>-0.029</v>
      </c>
    </row>
    <row r="457" customFormat="false" ht="15" hidden="false" customHeight="false" outlineLevel="0" collapsed="false">
      <c r="A457" s="326" t="s">
        <v>683</v>
      </c>
      <c r="B457" s="205" t="s">
        <v>327</v>
      </c>
      <c r="C457" s="311" t="n">
        <v>0</v>
      </c>
      <c r="D457" s="311" t="n">
        <v>0</v>
      </c>
      <c r="E457" s="311" t="n">
        <v>0</v>
      </c>
      <c r="F457" s="311" t="n">
        <v>0</v>
      </c>
      <c r="G457" s="311" t="n">
        <v>0</v>
      </c>
      <c r="H457" s="311" t="n">
        <v>0</v>
      </c>
      <c r="I457" s="311" t="n">
        <v>0</v>
      </c>
    </row>
    <row r="461" customFormat="false" ht="24.45" hidden="false" customHeight="false" outlineLevel="0" collapsed="false">
      <c r="A461" s="199" t="s">
        <v>684</v>
      </c>
      <c r="H461" s="54"/>
      <c r="J461" s="57"/>
    </row>
    <row r="462" customFormat="false" ht="17.35" hidden="false" customHeight="false" outlineLevel="0" collapsed="false">
      <c r="A462" s="200" t="s">
        <v>685</v>
      </c>
      <c r="B462" s="200"/>
      <c r="C462" s="200"/>
      <c r="H462" s="54"/>
      <c r="J462" s="57"/>
    </row>
    <row r="463" customFormat="false" ht="15" hidden="false" customHeight="false" outlineLevel="0" collapsed="false">
      <c r="A463" s="319" t="s">
        <v>416</v>
      </c>
      <c r="B463" s="202" t="s">
        <v>28</v>
      </c>
      <c r="C463" s="204" t="n">
        <v>0</v>
      </c>
    </row>
    <row r="464" customFormat="false" ht="15" hidden="false" customHeight="false" outlineLevel="0" collapsed="false">
      <c r="A464" s="319" t="s">
        <v>418</v>
      </c>
      <c r="B464" s="202" t="s">
        <v>125</v>
      </c>
      <c r="C464" s="204" t="n">
        <v>200</v>
      </c>
    </row>
    <row r="465" customFormat="false" ht="15" hidden="false" customHeight="false" outlineLevel="0" collapsed="false">
      <c r="A465" s="319" t="s">
        <v>420</v>
      </c>
      <c r="B465" s="202" t="s">
        <v>686</v>
      </c>
      <c r="C465" s="258" t="n">
        <v>0.0074</v>
      </c>
    </row>
    <row r="466" customFormat="false" ht="15" hidden="false" customHeight="false" outlineLevel="0" collapsed="false">
      <c r="A466" s="319" t="s">
        <v>687</v>
      </c>
      <c r="B466" s="202" t="s">
        <v>36</v>
      </c>
      <c r="C466" s="204" t="n">
        <v>2020</v>
      </c>
    </row>
    <row r="467" customFormat="false" ht="15" hidden="false" customHeight="false" outlineLevel="0" collapsed="false">
      <c r="A467" s="319" t="s">
        <v>424</v>
      </c>
      <c r="B467" s="202" t="s">
        <v>688</v>
      </c>
      <c r="C467" s="204" t="n">
        <v>185</v>
      </c>
    </row>
    <row r="468" customFormat="false" ht="15" hidden="false" customHeight="false" outlineLevel="0" collapsed="false">
      <c r="A468" s="319" t="s">
        <v>427</v>
      </c>
      <c r="B468" s="202" t="s">
        <v>36</v>
      </c>
      <c r="C468" s="204" t="n">
        <v>2020</v>
      </c>
    </row>
    <row r="469" customFormat="false" ht="15" hidden="false" customHeight="false" outlineLevel="0" collapsed="false">
      <c r="A469" s="326" t="s">
        <v>428</v>
      </c>
      <c r="B469" s="205" t="s">
        <v>36</v>
      </c>
      <c r="C469" s="244" t="n">
        <v>2050</v>
      </c>
    </row>
    <row r="471" customFormat="false" ht="14.25" hidden="false" customHeight="true" outlineLevel="0" collapsed="false">
      <c r="A471" s="334" t="s">
        <v>70</v>
      </c>
      <c r="B471" s="334"/>
      <c r="C471" s="334"/>
      <c r="F471" s="328"/>
      <c r="G471" s="328"/>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c r="AD471" s="328"/>
      <c r="AE471" s="328"/>
      <c r="AF471" s="328"/>
      <c r="AG471" s="328"/>
      <c r="AH471" s="328"/>
      <c r="AI471" s="328"/>
      <c r="AJ471" s="328"/>
      <c r="AK471" s="328"/>
      <c r="AL471" s="328"/>
    </row>
    <row r="472" customFormat="false" ht="15" hidden="false" customHeight="false" outlineLevel="0" collapsed="false">
      <c r="A472" s="335" t="s">
        <v>75</v>
      </c>
      <c r="B472" s="270" t="s">
        <v>76</v>
      </c>
      <c r="C472" s="336" t="n">
        <v>135</v>
      </c>
      <c r="F472" s="328"/>
      <c r="G472" s="328"/>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c r="AD472" s="328"/>
      <c r="AE472" s="328"/>
      <c r="AF472" s="328"/>
      <c r="AG472" s="328"/>
      <c r="AH472" s="328"/>
      <c r="AI472" s="328"/>
      <c r="AJ472" s="328"/>
      <c r="AK472" s="328"/>
      <c r="AL472" s="328"/>
    </row>
    <row r="473" customFormat="false" ht="15" hidden="false" customHeight="false" outlineLevel="0" collapsed="false">
      <c r="A473" s="319" t="s">
        <v>74</v>
      </c>
      <c r="B473" s="202" t="s">
        <v>28</v>
      </c>
      <c r="C473" s="204" t="n">
        <v>0.2</v>
      </c>
      <c r="F473" s="328"/>
      <c r="G473" s="328"/>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c r="AD473" s="328"/>
      <c r="AE473" s="328"/>
      <c r="AF473" s="328"/>
      <c r="AG473" s="328"/>
      <c r="AH473" s="328"/>
      <c r="AI473" s="328"/>
      <c r="AJ473" s="328"/>
      <c r="AK473" s="328"/>
      <c r="AL473" s="328"/>
    </row>
    <row r="474" customFormat="false" ht="15" hidden="false" customHeight="false" outlineLevel="0" collapsed="false">
      <c r="A474" s="319" t="s">
        <v>80</v>
      </c>
      <c r="B474" s="202" t="s">
        <v>28</v>
      </c>
      <c r="C474" s="204" t="n">
        <v>2020</v>
      </c>
      <c r="F474" s="328"/>
      <c r="G474" s="328"/>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c r="AD474" s="328"/>
      <c r="AE474" s="328"/>
      <c r="AF474" s="328"/>
      <c r="AG474" s="328"/>
      <c r="AH474" s="328"/>
      <c r="AI474" s="328"/>
      <c r="AJ474" s="328"/>
      <c r="AK474" s="328"/>
      <c r="AL474" s="328"/>
    </row>
    <row r="475" customFormat="false" ht="15" hidden="false" customHeight="false" outlineLevel="0" collapsed="false">
      <c r="A475" s="326" t="s">
        <v>83</v>
      </c>
      <c r="B475" s="205" t="s">
        <v>28</v>
      </c>
      <c r="C475" s="244" t="n">
        <v>2050</v>
      </c>
      <c r="F475" s="328"/>
      <c r="G475" s="328"/>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c r="AD475" s="328"/>
      <c r="AE475" s="328"/>
      <c r="AF475" s="328"/>
      <c r="AG475" s="328"/>
      <c r="AH475" s="328"/>
      <c r="AI475" s="328"/>
      <c r="AJ475" s="328"/>
      <c r="AK475" s="328"/>
      <c r="AL475" s="328"/>
    </row>
    <row r="478" customFormat="false" ht="17.35" hidden="false" customHeight="false" outlineLevel="0" collapsed="false">
      <c r="A478" s="334" t="s">
        <v>86</v>
      </c>
      <c r="B478" s="334"/>
      <c r="C478" s="334"/>
    </row>
    <row r="479" customFormat="false" ht="15" hidden="false" customHeight="false" outlineLevel="0" collapsed="false">
      <c r="A479" s="319" t="s">
        <v>89</v>
      </c>
      <c r="B479" s="202" t="s">
        <v>28</v>
      </c>
      <c r="C479" s="311" t="n">
        <v>0.5</v>
      </c>
    </row>
    <row r="480" customFormat="false" ht="15" hidden="false" customHeight="false" outlineLevel="0" collapsed="false">
      <c r="A480" s="319" t="s">
        <v>92</v>
      </c>
      <c r="B480" s="202" t="s">
        <v>28</v>
      </c>
      <c r="C480" s="311" t="n">
        <v>0.5</v>
      </c>
    </row>
    <row r="481" customFormat="false" ht="15" hidden="false" customHeight="false" outlineLevel="0" collapsed="false">
      <c r="A481" s="319" t="s">
        <v>93</v>
      </c>
      <c r="B481" s="202" t="s">
        <v>28</v>
      </c>
      <c r="C481" s="311" t="n">
        <v>0.5</v>
      </c>
    </row>
    <row r="482" customFormat="false" ht="15" hidden="false" customHeight="false" outlineLevel="0" collapsed="false">
      <c r="A482" s="326" t="s">
        <v>118</v>
      </c>
      <c r="B482" s="205" t="s">
        <v>28</v>
      </c>
      <c r="C482" s="337" t="n">
        <v>0.5</v>
      </c>
    </row>
    <row r="484" customFormat="false" ht="15.75" hidden="false" customHeight="true" outlineLevel="0" collapsed="false">
      <c r="A484" s="334" t="s">
        <v>689</v>
      </c>
      <c r="B484" s="334"/>
      <c r="C484" s="338" t="s">
        <v>580</v>
      </c>
      <c r="D484" s="339" t="s">
        <v>690</v>
      </c>
      <c r="E484" s="339" t="s">
        <v>691</v>
      </c>
      <c r="F484" s="339" t="s">
        <v>692</v>
      </c>
      <c r="G484" s="339" t="s">
        <v>693</v>
      </c>
      <c r="H484" s="339" t="s">
        <v>694</v>
      </c>
      <c r="I484" s="339" t="s">
        <v>695</v>
      </c>
      <c r="J484" s="339" t="s">
        <v>696</v>
      </c>
      <c r="K484" s="339" t="s">
        <v>354</v>
      </c>
      <c r="L484" s="339" t="s">
        <v>697</v>
      </c>
      <c r="M484" s="339" t="s">
        <v>698</v>
      </c>
      <c r="N484" s="339" t="s">
        <v>699</v>
      </c>
      <c r="O484" s="339" t="s">
        <v>700</v>
      </c>
      <c r="P484" s="339" t="s">
        <v>701</v>
      </c>
      <c r="Q484" s="340" t="s">
        <v>702</v>
      </c>
    </row>
    <row r="485" customFormat="false" ht="15" hidden="false" customHeight="false" outlineLevel="0" collapsed="false">
      <c r="A485" s="319" t="s">
        <v>703</v>
      </c>
      <c r="B485" s="341" t="s">
        <v>374</v>
      </c>
      <c r="C485" s="204" t="s">
        <v>704</v>
      </c>
      <c r="D485" s="204" t="s">
        <v>704</v>
      </c>
      <c r="E485" s="204" t="s">
        <v>704</v>
      </c>
      <c r="F485" s="204" t="s">
        <v>704</v>
      </c>
      <c r="G485" s="204" t="s">
        <v>704</v>
      </c>
      <c r="H485" s="204" t="s">
        <v>704</v>
      </c>
      <c r="I485" s="204" t="s">
        <v>704</v>
      </c>
      <c r="J485" s="204" t="s">
        <v>704</v>
      </c>
      <c r="K485" s="204" t="s">
        <v>704</v>
      </c>
      <c r="L485" s="204" t="s">
        <v>704</v>
      </c>
      <c r="M485" s="204" t="s">
        <v>704</v>
      </c>
      <c r="N485" s="204" t="s">
        <v>704</v>
      </c>
      <c r="O485" s="204" t="s">
        <v>704</v>
      </c>
      <c r="P485" s="204" t="s">
        <v>704</v>
      </c>
      <c r="Q485" s="204" t="s">
        <v>704</v>
      </c>
    </row>
    <row r="486" customFormat="false" ht="15" hidden="false" customHeight="false" outlineLevel="0" collapsed="false">
      <c r="A486" s="319" t="s">
        <v>705</v>
      </c>
      <c r="B486" s="341"/>
      <c r="C486" s="204" t="s">
        <v>704</v>
      </c>
      <c r="D486" s="204" t="s">
        <v>704</v>
      </c>
      <c r="E486" s="204" t="s">
        <v>704</v>
      </c>
      <c r="F486" s="204" t="s">
        <v>704</v>
      </c>
      <c r="G486" s="204" t="s">
        <v>704</v>
      </c>
      <c r="H486" s="204" t="s">
        <v>704</v>
      </c>
      <c r="I486" s="204" t="s">
        <v>704</v>
      </c>
      <c r="J486" s="204" t="s">
        <v>704</v>
      </c>
      <c r="K486" s="204" t="s">
        <v>704</v>
      </c>
      <c r="L486" s="204" t="s">
        <v>704</v>
      </c>
      <c r="M486" s="204" t="s">
        <v>704</v>
      </c>
      <c r="N486" s="204" t="s">
        <v>704</v>
      </c>
      <c r="O486" s="204" t="s">
        <v>704</v>
      </c>
      <c r="P486" s="204" t="s">
        <v>704</v>
      </c>
      <c r="Q486" s="204" t="s">
        <v>704</v>
      </c>
    </row>
    <row r="487" customFormat="false" ht="15" hidden="false" customHeight="false" outlineLevel="0" collapsed="false">
      <c r="A487" s="319" t="s">
        <v>706</v>
      </c>
      <c r="B487" s="341"/>
      <c r="C487" s="204" t="s">
        <v>704</v>
      </c>
      <c r="D487" s="204" t="s">
        <v>704</v>
      </c>
      <c r="E487" s="204" t="s">
        <v>704</v>
      </c>
      <c r="F487" s="204" t="s">
        <v>704</v>
      </c>
      <c r="G487" s="204" t="s">
        <v>704</v>
      </c>
      <c r="H487" s="204" t="s">
        <v>704</v>
      </c>
      <c r="I487" s="204" t="s">
        <v>704</v>
      </c>
      <c r="J487" s="204" t="s">
        <v>704</v>
      </c>
      <c r="K487" s="204" t="s">
        <v>704</v>
      </c>
      <c r="L487" s="204" t="s">
        <v>704</v>
      </c>
      <c r="M487" s="204" t="s">
        <v>704</v>
      </c>
      <c r="N487" s="204" t="s">
        <v>704</v>
      </c>
      <c r="O487" s="204" t="s">
        <v>704</v>
      </c>
      <c r="P487" s="204" t="s">
        <v>704</v>
      </c>
      <c r="Q487" s="204" t="s">
        <v>704</v>
      </c>
    </row>
    <row r="488" customFormat="false" ht="15" hidden="false" customHeight="false" outlineLevel="0" collapsed="false">
      <c r="A488" s="319" t="s">
        <v>707</v>
      </c>
      <c r="B488" s="341"/>
      <c r="C488" s="204" t="s">
        <v>704</v>
      </c>
      <c r="D488" s="204" t="s">
        <v>704</v>
      </c>
      <c r="E488" s="204" t="s">
        <v>704</v>
      </c>
      <c r="F488" s="204" t="s">
        <v>704</v>
      </c>
      <c r="G488" s="204" t="s">
        <v>704</v>
      </c>
      <c r="H488" s="204" t="s">
        <v>704</v>
      </c>
      <c r="I488" s="204" t="s">
        <v>704</v>
      </c>
      <c r="J488" s="204" t="s">
        <v>704</v>
      </c>
      <c r="K488" s="204" t="s">
        <v>704</v>
      </c>
      <c r="L488" s="204" t="s">
        <v>704</v>
      </c>
      <c r="M488" s="204" t="s">
        <v>704</v>
      </c>
      <c r="N488" s="204" t="s">
        <v>704</v>
      </c>
      <c r="O488" s="204" t="s">
        <v>704</v>
      </c>
      <c r="P488" s="204" t="s">
        <v>704</v>
      </c>
      <c r="Q488" s="204" t="s">
        <v>704</v>
      </c>
    </row>
    <row r="489" customFormat="false" ht="15" hidden="false" customHeight="false" outlineLevel="0" collapsed="false">
      <c r="A489" s="319" t="s">
        <v>708</v>
      </c>
      <c r="B489" s="341"/>
      <c r="C489" s="204" t="s">
        <v>704</v>
      </c>
      <c r="D489" s="204" t="s">
        <v>704</v>
      </c>
      <c r="E489" s="204" t="s">
        <v>704</v>
      </c>
      <c r="F489" s="204" t="s">
        <v>704</v>
      </c>
      <c r="G489" s="204" t="s">
        <v>704</v>
      </c>
      <c r="H489" s="204" t="s">
        <v>704</v>
      </c>
      <c r="I489" s="204" t="s">
        <v>704</v>
      </c>
      <c r="J489" s="204" t="s">
        <v>704</v>
      </c>
      <c r="K489" s="204" t="s">
        <v>704</v>
      </c>
      <c r="L489" s="204" t="s">
        <v>704</v>
      </c>
      <c r="M489" s="204" t="s">
        <v>704</v>
      </c>
      <c r="N489" s="204" t="s">
        <v>704</v>
      </c>
      <c r="O489" s="204" t="s">
        <v>704</v>
      </c>
      <c r="P489" s="204" t="s">
        <v>704</v>
      </c>
      <c r="Q489" s="204" t="s">
        <v>704</v>
      </c>
    </row>
    <row r="490" customFormat="false" ht="15" hidden="false" customHeight="false" outlineLevel="0" collapsed="false">
      <c r="A490" s="319" t="s">
        <v>703</v>
      </c>
      <c r="B490" s="341" t="s">
        <v>375</v>
      </c>
      <c r="C490" s="204" t="s">
        <v>704</v>
      </c>
      <c r="D490" s="204" t="s">
        <v>704</v>
      </c>
      <c r="E490" s="204" t="s">
        <v>704</v>
      </c>
      <c r="F490" s="204" t="s">
        <v>704</v>
      </c>
      <c r="G490" s="204" t="s">
        <v>704</v>
      </c>
      <c r="H490" s="204" t="s">
        <v>704</v>
      </c>
      <c r="I490" s="204" t="s">
        <v>704</v>
      </c>
      <c r="J490" s="204" t="s">
        <v>704</v>
      </c>
      <c r="K490" s="204" t="s">
        <v>704</v>
      </c>
      <c r="L490" s="204" t="s">
        <v>704</v>
      </c>
      <c r="M490" s="204" t="s">
        <v>704</v>
      </c>
      <c r="N490" s="204" t="s">
        <v>704</v>
      </c>
      <c r="O490" s="204" t="s">
        <v>704</v>
      </c>
      <c r="P490" s="204" t="s">
        <v>704</v>
      </c>
      <c r="Q490" s="204" t="s">
        <v>704</v>
      </c>
    </row>
    <row r="491" customFormat="false" ht="15" hidden="false" customHeight="false" outlineLevel="0" collapsed="false">
      <c r="A491" s="319" t="s">
        <v>705</v>
      </c>
      <c r="B491" s="341"/>
      <c r="C491" s="204" t="s">
        <v>704</v>
      </c>
      <c r="D491" s="204" t="s">
        <v>704</v>
      </c>
      <c r="E491" s="204" t="s">
        <v>704</v>
      </c>
      <c r="F491" s="204" t="s">
        <v>704</v>
      </c>
      <c r="G491" s="204" t="s">
        <v>704</v>
      </c>
      <c r="H491" s="204" t="s">
        <v>704</v>
      </c>
      <c r="I491" s="204" t="s">
        <v>704</v>
      </c>
      <c r="J491" s="204" t="s">
        <v>704</v>
      </c>
      <c r="K491" s="204" t="s">
        <v>704</v>
      </c>
      <c r="L491" s="204" t="s">
        <v>704</v>
      </c>
      <c r="M491" s="204" t="s">
        <v>704</v>
      </c>
      <c r="N491" s="204" t="s">
        <v>704</v>
      </c>
      <c r="O491" s="204" t="s">
        <v>704</v>
      </c>
      <c r="P491" s="204" t="s">
        <v>704</v>
      </c>
      <c r="Q491" s="204" t="s">
        <v>704</v>
      </c>
    </row>
    <row r="492" customFormat="false" ht="15" hidden="false" customHeight="false" outlineLevel="0" collapsed="false">
      <c r="A492" s="319" t="s">
        <v>706</v>
      </c>
      <c r="B492" s="341"/>
      <c r="C492" s="204" t="s">
        <v>704</v>
      </c>
      <c r="D492" s="204" t="s">
        <v>704</v>
      </c>
      <c r="E492" s="204" t="s">
        <v>704</v>
      </c>
      <c r="F492" s="204" t="s">
        <v>704</v>
      </c>
      <c r="G492" s="204" t="s">
        <v>704</v>
      </c>
      <c r="H492" s="204" t="s">
        <v>704</v>
      </c>
      <c r="I492" s="204" t="s">
        <v>704</v>
      </c>
      <c r="J492" s="204" t="s">
        <v>704</v>
      </c>
      <c r="K492" s="204" t="s">
        <v>704</v>
      </c>
      <c r="L492" s="204" t="s">
        <v>704</v>
      </c>
      <c r="M492" s="204" t="s">
        <v>704</v>
      </c>
      <c r="N492" s="204" t="s">
        <v>704</v>
      </c>
      <c r="O492" s="204" t="s">
        <v>704</v>
      </c>
      <c r="P492" s="204" t="s">
        <v>704</v>
      </c>
      <c r="Q492" s="204" t="s">
        <v>704</v>
      </c>
    </row>
    <row r="493" customFormat="false" ht="15" hidden="false" customHeight="false" outlineLevel="0" collapsed="false">
      <c r="A493" s="319" t="s">
        <v>707</v>
      </c>
      <c r="B493" s="341"/>
      <c r="C493" s="204" t="s">
        <v>704</v>
      </c>
      <c r="D493" s="204" t="s">
        <v>704</v>
      </c>
      <c r="E493" s="204" t="s">
        <v>704</v>
      </c>
      <c r="F493" s="204" t="s">
        <v>704</v>
      </c>
      <c r="G493" s="204" t="s">
        <v>704</v>
      </c>
      <c r="H493" s="204" t="s">
        <v>704</v>
      </c>
      <c r="I493" s="204" t="s">
        <v>704</v>
      </c>
      <c r="J493" s="204" t="s">
        <v>704</v>
      </c>
      <c r="K493" s="204" t="s">
        <v>704</v>
      </c>
      <c r="L493" s="204" t="s">
        <v>704</v>
      </c>
      <c r="M493" s="204" t="s">
        <v>704</v>
      </c>
      <c r="N493" s="204" t="s">
        <v>704</v>
      </c>
      <c r="O493" s="204" t="s">
        <v>704</v>
      </c>
      <c r="P493" s="204" t="s">
        <v>704</v>
      </c>
      <c r="Q493" s="204" t="s">
        <v>704</v>
      </c>
    </row>
    <row r="494" customFormat="false" ht="15" hidden="false" customHeight="false" outlineLevel="0" collapsed="false">
      <c r="A494" s="319" t="s">
        <v>708</v>
      </c>
      <c r="B494" s="341"/>
      <c r="C494" s="204" t="s">
        <v>704</v>
      </c>
      <c r="D494" s="204" t="s">
        <v>704</v>
      </c>
      <c r="E494" s="204" t="s">
        <v>704</v>
      </c>
      <c r="F494" s="204" t="s">
        <v>704</v>
      </c>
      <c r="G494" s="204" t="s">
        <v>704</v>
      </c>
      <c r="H494" s="204" t="s">
        <v>704</v>
      </c>
      <c r="I494" s="204" t="s">
        <v>704</v>
      </c>
      <c r="J494" s="204" t="s">
        <v>704</v>
      </c>
      <c r="K494" s="204" t="s">
        <v>704</v>
      </c>
      <c r="L494" s="204" t="s">
        <v>704</v>
      </c>
      <c r="M494" s="204" t="s">
        <v>704</v>
      </c>
      <c r="N494" s="204" t="s">
        <v>704</v>
      </c>
      <c r="O494" s="204" t="s">
        <v>704</v>
      </c>
      <c r="P494" s="204" t="s">
        <v>704</v>
      </c>
      <c r="Q494" s="204" t="s">
        <v>704</v>
      </c>
    </row>
    <row r="495" customFormat="false" ht="15" hidden="false" customHeight="false" outlineLevel="0" collapsed="false">
      <c r="A495" s="319" t="s">
        <v>709</v>
      </c>
      <c r="B495" s="341" t="s">
        <v>376</v>
      </c>
      <c r="C495" s="204" t="s">
        <v>704</v>
      </c>
      <c r="D495" s="204" t="s">
        <v>704</v>
      </c>
      <c r="E495" s="204" t="s">
        <v>704</v>
      </c>
      <c r="F495" s="204" t="s">
        <v>704</v>
      </c>
      <c r="G495" s="204" t="s">
        <v>704</v>
      </c>
      <c r="H495" s="204" t="s">
        <v>704</v>
      </c>
      <c r="I495" s="204" t="s">
        <v>704</v>
      </c>
      <c r="J495" s="204" t="s">
        <v>704</v>
      </c>
      <c r="K495" s="204" t="s">
        <v>704</v>
      </c>
      <c r="L495" s="204" t="s">
        <v>704</v>
      </c>
      <c r="M495" s="204" t="s">
        <v>704</v>
      </c>
      <c r="N495" s="204" t="s">
        <v>704</v>
      </c>
      <c r="O495" s="204" t="s">
        <v>704</v>
      </c>
      <c r="P495" s="204" t="s">
        <v>704</v>
      </c>
      <c r="Q495" s="204" t="s">
        <v>704</v>
      </c>
    </row>
    <row r="496" customFormat="false" ht="15" hidden="false" customHeight="false" outlineLevel="0" collapsed="false">
      <c r="A496" s="319" t="s">
        <v>705</v>
      </c>
      <c r="B496" s="341"/>
      <c r="C496" s="204" t="s">
        <v>704</v>
      </c>
      <c r="D496" s="204" t="s">
        <v>704</v>
      </c>
      <c r="E496" s="204" t="s">
        <v>704</v>
      </c>
      <c r="F496" s="204" t="s">
        <v>704</v>
      </c>
      <c r="G496" s="204" t="s">
        <v>704</v>
      </c>
      <c r="H496" s="204" t="s">
        <v>704</v>
      </c>
      <c r="I496" s="204" t="s">
        <v>704</v>
      </c>
      <c r="J496" s="204" t="s">
        <v>704</v>
      </c>
      <c r="K496" s="204" t="s">
        <v>704</v>
      </c>
      <c r="L496" s="204" t="s">
        <v>704</v>
      </c>
      <c r="M496" s="204" t="s">
        <v>704</v>
      </c>
      <c r="N496" s="204" t="s">
        <v>704</v>
      </c>
      <c r="O496" s="204" t="s">
        <v>704</v>
      </c>
      <c r="P496" s="204" t="s">
        <v>704</v>
      </c>
      <c r="Q496" s="204" t="s">
        <v>704</v>
      </c>
    </row>
    <row r="497" customFormat="false" ht="15" hidden="false" customHeight="false" outlineLevel="0" collapsed="false">
      <c r="A497" s="319" t="s">
        <v>706</v>
      </c>
      <c r="B497" s="341"/>
      <c r="C497" s="204" t="s">
        <v>704</v>
      </c>
      <c r="D497" s="204" t="s">
        <v>704</v>
      </c>
      <c r="E497" s="204" t="s">
        <v>704</v>
      </c>
      <c r="F497" s="204" t="s">
        <v>704</v>
      </c>
      <c r="G497" s="204" t="s">
        <v>704</v>
      </c>
      <c r="H497" s="204" t="s">
        <v>704</v>
      </c>
      <c r="I497" s="204" t="s">
        <v>704</v>
      </c>
      <c r="J497" s="204" t="s">
        <v>704</v>
      </c>
      <c r="K497" s="204" t="s">
        <v>704</v>
      </c>
      <c r="L497" s="204" t="s">
        <v>704</v>
      </c>
      <c r="M497" s="204" t="s">
        <v>704</v>
      </c>
      <c r="N497" s="204" t="s">
        <v>704</v>
      </c>
      <c r="O497" s="204" t="s">
        <v>704</v>
      </c>
      <c r="P497" s="204" t="s">
        <v>704</v>
      </c>
      <c r="Q497" s="204" t="s">
        <v>704</v>
      </c>
    </row>
    <row r="498" customFormat="false" ht="15" hidden="false" customHeight="false" outlineLevel="0" collapsed="false">
      <c r="A498" s="319" t="s">
        <v>707</v>
      </c>
      <c r="B498" s="341"/>
      <c r="C498" s="204" t="s">
        <v>704</v>
      </c>
      <c r="D498" s="204" t="s">
        <v>704</v>
      </c>
      <c r="E498" s="204" t="s">
        <v>704</v>
      </c>
      <c r="F498" s="204" t="s">
        <v>704</v>
      </c>
      <c r="G498" s="204" t="s">
        <v>704</v>
      </c>
      <c r="H498" s="204" t="s">
        <v>704</v>
      </c>
      <c r="I498" s="204" t="s">
        <v>704</v>
      </c>
      <c r="J498" s="204" t="s">
        <v>704</v>
      </c>
      <c r="K498" s="204" t="s">
        <v>704</v>
      </c>
      <c r="L498" s="204" t="s">
        <v>704</v>
      </c>
      <c r="M498" s="204" t="s">
        <v>704</v>
      </c>
      <c r="N498" s="204" t="s">
        <v>704</v>
      </c>
      <c r="O498" s="204" t="s">
        <v>704</v>
      </c>
      <c r="P498" s="204" t="s">
        <v>704</v>
      </c>
      <c r="Q498" s="204" t="s">
        <v>704</v>
      </c>
    </row>
    <row r="499" customFormat="false" ht="15" hidden="false" customHeight="false" outlineLevel="0" collapsed="false">
      <c r="A499" s="319" t="s">
        <v>708</v>
      </c>
      <c r="B499" s="341"/>
      <c r="C499" s="204" t="s">
        <v>704</v>
      </c>
      <c r="D499" s="204" t="s">
        <v>704</v>
      </c>
      <c r="E499" s="204" t="s">
        <v>704</v>
      </c>
      <c r="F499" s="204" t="s">
        <v>704</v>
      </c>
      <c r="G499" s="204" t="s">
        <v>704</v>
      </c>
      <c r="H499" s="204" t="s">
        <v>704</v>
      </c>
      <c r="I499" s="204" t="s">
        <v>704</v>
      </c>
      <c r="J499" s="204" t="s">
        <v>704</v>
      </c>
      <c r="K499" s="204" t="s">
        <v>704</v>
      </c>
      <c r="L499" s="204" t="s">
        <v>704</v>
      </c>
      <c r="M499" s="204" t="s">
        <v>704</v>
      </c>
      <c r="N499" s="204" t="s">
        <v>704</v>
      </c>
      <c r="O499" s="204" t="s">
        <v>704</v>
      </c>
      <c r="P499" s="204" t="s">
        <v>704</v>
      </c>
      <c r="Q499" s="204" t="s">
        <v>704</v>
      </c>
    </row>
    <row r="500" customFormat="false" ht="15" hidden="false" customHeight="false" outlineLevel="0" collapsed="false">
      <c r="A500" s="319" t="s">
        <v>703</v>
      </c>
      <c r="B500" s="341" t="s">
        <v>377</v>
      </c>
      <c r="C500" s="204" t="s">
        <v>704</v>
      </c>
      <c r="D500" s="204" t="s">
        <v>704</v>
      </c>
      <c r="E500" s="204" t="s">
        <v>704</v>
      </c>
      <c r="F500" s="204" t="s">
        <v>704</v>
      </c>
      <c r="G500" s="204" t="s">
        <v>704</v>
      </c>
      <c r="H500" s="204" t="s">
        <v>704</v>
      </c>
      <c r="I500" s="204" t="s">
        <v>704</v>
      </c>
      <c r="J500" s="204" t="s">
        <v>704</v>
      </c>
      <c r="K500" s="204" t="s">
        <v>704</v>
      </c>
      <c r="L500" s="204" t="s">
        <v>704</v>
      </c>
      <c r="M500" s="204" t="s">
        <v>704</v>
      </c>
      <c r="N500" s="204" t="s">
        <v>704</v>
      </c>
      <c r="O500" s="204" t="s">
        <v>704</v>
      </c>
      <c r="P500" s="204" t="s">
        <v>704</v>
      </c>
      <c r="Q500" s="204" t="s">
        <v>704</v>
      </c>
    </row>
    <row r="501" customFormat="false" ht="15" hidden="false" customHeight="false" outlineLevel="0" collapsed="false">
      <c r="A501" s="319" t="s">
        <v>705</v>
      </c>
      <c r="B501" s="341"/>
      <c r="C501" s="204" t="s">
        <v>704</v>
      </c>
      <c r="D501" s="204" t="s">
        <v>704</v>
      </c>
      <c r="E501" s="204" t="s">
        <v>704</v>
      </c>
      <c r="F501" s="204" t="s">
        <v>704</v>
      </c>
      <c r="G501" s="204" t="s">
        <v>704</v>
      </c>
      <c r="H501" s="204" t="s">
        <v>704</v>
      </c>
      <c r="I501" s="204" t="s">
        <v>704</v>
      </c>
      <c r="J501" s="204" t="s">
        <v>704</v>
      </c>
      <c r="K501" s="204" t="s">
        <v>704</v>
      </c>
      <c r="L501" s="204" t="s">
        <v>704</v>
      </c>
      <c r="M501" s="204" t="s">
        <v>704</v>
      </c>
      <c r="N501" s="204" t="s">
        <v>704</v>
      </c>
      <c r="O501" s="204" t="s">
        <v>704</v>
      </c>
      <c r="P501" s="204" t="s">
        <v>704</v>
      </c>
      <c r="Q501" s="204" t="s">
        <v>704</v>
      </c>
    </row>
    <row r="502" customFormat="false" ht="15" hidden="false" customHeight="false" outlineLevel="0" collapsed="false">
      <c r="A502" s="319" t="s">
        <v>706</v>
      </c>
      <c r="B502" s="341"/>
      <c r="C502" s="204" t="s">
        <v>704</v>
      </c>
      <c r="D502" s="204" t="s">
        <v>704</v>
      </c>
      <c r="E502" s="204" t="s">
        <v>704</v>
      </c>
      <c r="F502" s="204" t="s">
        <v>704</v>
      </c>
      <c r="G502" s="204" t="s">
        <v>704</v>
      </c>
      <c r="H502" s="204" t="s">
        <v>704</v>
      </c>
      <c r="I502" s="204" t="s">
        <v>704</v>
      </c>
      <c r="J502" s="204" t="s">
        <v>704</v>
      </c>
      <c r="K502" s="204" t="s">
        <v>704</v>
      </c>
      <c r="L502" s="204" t="s">
        <v>704</v>
      </c>
      <c r="M502" s="204" t="s">
        <v>704</v>
      </c>
      <c r="N502" s="204" t="s">
        <v>704</v>
      </c>
      <c r="O502" s="204" t="s">
        <v>704</v>
      </c>
      <c r="P502" s="204" t="s">
        <v>704</v>
      </c>
      <c r="Q502" s="204" t="s">
        <v>704</v>
      </c>
    </row>
    <row r="503" customFormat="false" ht="15" hidden="false" customHeight="false" outlineLevel="0" collapsed="false">
      <c r="A503" s="319" t="s">
        <v>707</v>
      </c>
      <c r="B503" s="341"/>
      <c r="C503" s="204" t="s">
        <v>704</v>
      </c>
      <c r="D503" s="204" t="s">
        <v>704</v>
      </c>
      <c r="E503" s="204" t="s">
        <v>704</v>
      </c>
      <c r="F503" s="204" t="s">
        <v>704</v>
      </c>
      <c r="G503" s="204" t="s">
        <v>704</v>
      </c>
      <c r="H503" s="204" t="s">
        <v>704</v>
      </c>
      <c r="I503" s="204" t="s">
        <v>704</v>
      </c>
      <c r="J503" s="204" t="s">
        <v>704</v>
      </c>
      <c r="K503" s="204" t="s">
        <v>704</v>
      </c>
      <c r="L503" s="204" t="s">
        <v>704</v>
      </c>
      <c r="M503" s="204" t="s">
        <v>704</v>
      </c>
      <c r="N503" s="204" t="s">
        <v>704</v>
      </c>
      <c r="O503" s="204" t="s">
        <v>704</v>
      </c>
      <c r="P503" s="204" t="s">
        <v>704</v>
      </c>
      <c r="Q503" s="204" t="s">
        <v>704</v>
      </c>
    </row>
    <row r="504" customFormat="false" ht="15" hidden="false" customHeight="false" outlineLevel="0" collapsed="false">
      <c r="A504" s="319" t="s">
        <v>708</v>
      </c>
      <c r="B504" s="341"/>
      <c r="C504" s="204" t="s">
        <v>704</v>
      </c>
      <c r="D504" s="204" t="s">
        <v>704</v>
      </c>
      <c r="E504" s="204" t="s">
        <v>704</v>
      </c>
      <c r="F504" s="204" t="s">
        <v>704</v>
      </c>
      <c r="G504" s="204" t="s">
        <v>704</v>
      </c>
      <c r="H504" s="204" t="s">
        <v>704</v>
      </c>
      <c r="I504" s="204" t="s">
        <v>704</v>
      </c>
      <c r="J504" s="204" t="s">
        <v>704</v>
      </c>
      <c r="K504" s="204" t="s">
        <v>704</v>
      </c>
      <c r="L504" s="204" t="s">
        <v>704</v>
      </c>
      <c r="M504" s="204" t="s">
        <v>704</v>
      </c>
      <c r="N504" s="204" t="s">
        <v>704</v>
      </c>
      <c r="O504" s="204" t="s">
        <v>704</v>
      </c>
      <c r="P504" s="204" t="s">
        <v>704</v>
      </c>
      <c r="Q504" s="204" t="s">
        <v>704</v>
      </c>
    </row>
    <row r="505" customFormat="false" ht="15" hidden="false" customHeight="false" outlineLevel="0" collapsed="false">
      <c r="A505" s="319" t="s">
        <v>703</v>
      </c>
      <c r="B505" s="341" t="s">
        <v>378</v>
      </c>
      <c r="C505" s="204" t="s">
        <v>704</v>
      </c>
      <c r="D505" s="204" t="s">
        <v>704</v>
      </c>
      <c r="E505" s="204" t="s">
        <v>704</v>
      </c>
      <c r="F505" s="204" t="s">
        <v>704</v>
      </c>
      <c r="G505" s="204" t="s">
        <v>704</v>
      </c>
      <c r="H505" s="204" t="s">
        <v>704</v>
      </c>
      <c r="I505" s="204" t="s">
        <v>704</v>
      </c>
      <c r="J505" s="204" t="s">
        <v>704</v>
      </c>
      <c r="K505" s="204" t="s">
        <v>704</v>
      </c>
      <c r="L505" s="204" t="s">
        <v>704</v>
      </c>
      <c r="M505" s="204" t="s">
        <v>704</v>
      </c>
      <c r="N505" s="204" t="s">
        <v>704</v>
      </c>
      <c r="O505" s="204" t="s">
        <v>704</v>
      </c>
      <c r="P505" s="204" t="s">
        <v>704</v>
      </c>
      <c r="Q505" s="204" t="s">
        <v>704</v>
      </c>
    </row>
    <row r="506" customFormat="false" ht="15" hidden="false" customHeight="false" outlineLevel="0" collapsed="false">
      <c r="A506" s="319" t="s">
        <v>705</v>
      </c>
      <c r="B506" s="341"/>
      <c r="C506" s="204" t="s">
        <v>704</v>
      </c>
      <c r="D506" s="204" t="s">
        <v>704</v>
      </c>
      <c r="E506" s="204" t="s">
        <v>704</v>
      </c>
      <c r="F506" s="204" t="s">
        <v>704</v>
      </c>
      <c r="G506" s="204" t="s">
        <v>704</v>
      </c>
      <c r="H506" s="204" t="s">
        <v>704</v>
      </c>
      <c r="I506" s="204" t="s">
        <v>704</v>
      </c>
      <c r="J506" s="204" t="s">
        <v>704</v>
      </c>
      <c r="K506" s="204" t="s">
        <v>704</v>
      </c>
      <c r="L506" s="204" t="s">
        <v>704</v>
      </c>
      <c r="M506" s="204" t="s">
        <v>704</v>
      </c>
      <c r="N506" s="204" t="s">
        <v>704</v>
      </c>
      <c r="O506" s="204" t="s">
        <v>704</v>
      </c>
      <c r="P506" s="204" t="s">
        <v>704</v>
      </c>
      <c r="Q506" s="204" t="s">
        <v>704</v>
      </c>
    </row>
    <row r="507" customFormat="false" ht="15" hidden="false" customHeight="false" outlineLevel="0" collapsed="false">
      <c r="A507" s="319" t="s">
        <v>706</v>
      </c>
      <c r="B507" s="341"/>
      <c r="C507" s="204" t="s">
        <v>704</v>
      </c>
      <c r="D507" s="204" t="s">
        <v>704</v>
      </c>
      <c r="E507" s="204" t="s">
        <v>704</v>
      </c>
      <c r="F507" s="204" t="s">
        <v>704</v>
      </c>
      <c r="G507" s="204" t="s">
        <v>704</v>
      </c>
      <c r="H507" s="204" t="s">
        <v>704</v>
      </c>
      <c r="I507" s="204" t="s">
        <v>704</v>
      </c>
      <c r="J507" s="204" t="s">
        <v>704</v>
      </c>
      <c r="K507" s="204" t="s">
        <v>704</v>
      </c>
      <c r="L507" s="204" t="s">
        <v>704</v>
      </c>
      <c r="M507" s="204" t="s">
        <v>704</v>
      </c>
      <c r="N507" s="204" t="s">
        <v>704</v>
      </c>
      <c r="O507" s="204" t="s">
        <v>704</v>
      </c>
      <c r="P507" s="204" t="s">
        <v>704</v>
      </c>
      <c r="Q507" s="204" t="s">
        <v>704</v>
      </c>
    </row>
    <row r="508" customFormat="false" ht="15" hidden="false" customHeight="false" outlineLevel="0" collapsed="false">
      <c r="A508" s="319" t="s">
        <v>707</v>
      </c>
      <c r="B508" s="341"/>
      <c r="C508" s="204" t="s">
        <v>704</v>
      </c>
      <c r="D508" s="204" t="s">
        <v>704</v>
      </c>
      <c r="E508" s="204" t="s">
        <v>704</v>
      </c>
      <c r="F508" s="204" t="s">
        <v>704</v>
      </c>
      <c r="G508" s="204" t="s">
        <v>704</v>
      </c>
      <c r="H508" s="204" t="s">
        <v>704</v>
      </c>
      <c r="I508" s="204" t="s">
        <v>704</v>
      </c>
      <c r="J508" s="204" t="s">
        <v>704</v>
      </c>
      <c r="K508" s="204" t="s">
        <v>704</v>
      </c>
      <c r="L508" s="204" t="s">
        <v>704</v>
      </c>
      <c r="M508" s="204" t="s">
        <v>704</v>
      </c>
      <c r="N508" s="204" t="s">
        <v>704</v>
      </c>
      <c r="O508" s="204" t="s">
        <v>704</v>
      </c>
      <c r="P508" s="204" t="s">
        <v>704</v>
      </c>
      <c r="Q508" s="204" t="s">
        <v>704</v>
      </c>
    </row>
    <row r="509" customFormat="false" ht="15" hidden="false" customHeight="false" outlineLevel="0" collapsed="false">
      <c r="A509" s="326" t="s">
        <v>708</v>
      </c>
      <c r="B509" s="341"/>
      <c r="C509" s="244" t="s">
        <v>704</v>
      </c>
      <c r="D509" s="244" t="s">
        <v>704</v>
      </c>
      <c r="E509" s="244" t="s">
        <v>704</v>
      </c>
      <c r="F509" s="244" t="s">
        <v>704</v>
      </c>
      <c r="G509" s="244" t="s">
        <v>704</v>
      </c>
      <c r="H509" s="244" t="s">
        <v>704</v>
      </c>
      <c r="I509" s="244" t="s">
        <v>704</v>
      </c>
      <c r="J509" s="244" t="s">
        <v>704</v>
      </c>
      <c r="K509" s="244" t="s">
        <v>704</v>
      </c>
      <c r="L509" s="244" t="s">
        <v>704</v>
      </c>
      <c r="M509" s="244" t="s">
        <v>704</v>
      </c>
      <c r="N509" s="244" t="s">
        <v>704</v>
      </c>
      <c r="O509" s="244" t="s">
        <v>704</v>
      </c>
      <c r="P509" s="244" t="s">
        <v>704</v>
      </c>
      <c r="Q509" s="244" t="s">
        <v>704</v>
      </c>
    </row>
  </sheetData>
  <mergeCells count="133">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7"/>
    <mergeCell ref="A128:A132"/>
    <mergeCell ref="A136:H136"/>
    <mergeCell ref="A138:A141"/>
    <mergeCell ref="A142:A145"/>
    <mergeCell ref="A146:A149"/>
    <mergeCell ref="A150:A153"/>
    <mergeCell ref="A154:A157"/>
    <mergeCell ref="A158:H158"/>
    <mergeCell ref="A160:A163"/>
    <mergeCell ref="A164:A167"/>
    <mergeCell ref="A168:A171"/>
    <mergeCell ref="A172:A175"/>
    <mergeCell ref="A176:A179"/>
    <mergeCell ref="A181:H181"/>
    <mergeCell ref="A183:A187"/>
    <mergeCell ref="A188:A192"/>
    <mergeCell ref="A193:A197"/>
    <mergeCell ref="A198:A202"/>
    <mergeCell ref="A205:E205"/>
    <mergeCell ref="A206:E206"/>
    <mergeCell ref="A208:A210"/>
    <mergeCell ref="C208:C210"/>
    <mergeCell ref="A212:C212"/>
    <mergeCell ref="A215:B215"/>
    <mergeCell ref="A216:B216"/>
    <mergeCell ref="A217:B217"/>
    <mergeCell ref="A218:B218"/>
    <mergeCell ref="A219:B219"/>
    <mergeCell ref="A220:B220"/>
    <mergeCell ref="A221:Q221"/>
    <mergeCell ref="A222:B222"/>
    <mergeCell ref="A223:B223"/>
    <mergeCell ref="A224:B224"/>
    <mergeCell ref="A225:B225"/>
    <mergeCell ref="A226:B226"/>
    <mergeCell ref="A227:Q227"/>
    <mergeCell ref="A228:B228"/>
    <mergeCell ref="A229:B229"/>
    <mergeCell ref="A230:B230"/>
    <mergeCell ref="A231:B231"/>
    <mergeCell ref="A232:B232"/>
    <mergeCell ref="A233:Q233"/>
    <mergeCell ref="A234:B234"/>
    <mergeCell ref="A235:B235"/>
    <mergeCell ref="A236:B236"/>
    <mergeCell ref="A237:B237"/>
    <mergeCell ref="A238:B238"/>
    <mergeCell ref="A239:Q239"/>
    <mergeCell ref="A240:B240"/>
    <mergeCell ref="A241:B241"/>
    <mergeCell ref="A242:B242"/>
    <mergeCell ref="A243:B243"/>
    <mergeCell ref="A244:B244"/>
    <mergeCell ref="A246:C246"/>
    <mergeCell ref="A247:A248"/>
    <mergeCell ref="C247:C248"/>
    <mergeCell ref="A251:Q251"/>
    <mergeCell ref="A252:B252"/>
    <mergeCell ref="A253:B253"/>
    <mergeCell ref="A254:B254"/>
    <mergeCell ref="A255:B255"/>
    <mergeCell ref="A256:B256"/>
    <mergeCell ref="A257:B257"/>
    <mergeCell ref="A258:C258"/>
    <mergeCell ref="A262:C262"/>
    <mergeCell ref="A264:A266"/>
    <mergeCell ref="C264:C266"/>
    <mergeCell ref="A268:A270"/>
    <mergeCell ref="C268:C270"/>
    <mergeCell ref="A275:D275"/>
    <mergeCell ref="A276:D276"/>
    <mergeCell ref="A277:C277"/>
    <mergeCell ref="C279:E279"/>
    <mergeCell ref="A281:A299"/>
    <mergeCell ref="A300:C300"/>
    <mergeCell ref="A306:C306"/>
    <mergeCell ref="A307:C307"/>
    <mergeCell ref="A309:C309"/>
    <mergeCell ref="A310:A313"/>
    <mergeCell ref="C310:C313"/>
    <mergeCell ref="A318:I318"/>
    <mergeCell ref="A421:I421"/>
    <mergeCell ref="A445:H445"/>
    <mergeCell ref="A447:H447"/>
    <mergeCell ref="A449:H449"/>
    <mergeCell ref="A451:H451"/>
    <mergeCell ref="A454:I454"/>
    <mergeCell ref="A462:C462"/>
    <mergeCell ref="A471:C471"/>
    <mergeCell ref="A478:C478"/>
    <mergeCell ref="A484:B484"/>
    <mergeCell ref="B485:B489"/>
    <mergeCell ref="B490:B494"/>
    <mergeCell ref="B495:B499"/>
    <mergeCell ref="B500:B504"/>
    <mergeCell ref="B505:B509"/>
  </mergeCells>
  <conditionalFormatting sqref="C253:AZ257">
    <cfRule type="cellIs" priority="2" operator="lessThan" aboveAverage="0" equalAverage="0" bottom="0" percent="0" rank="0" text="" dxfId="2">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Z509"/>
  <sheetViews>
    <sheetView showFormulas="false" showGridLines="true" showRowColHeaders="true" showZeros="true" rightToLeft="false" tabSelected="false" showOutlineSymbols="true" defaultGridColor="true" view="normal" topLeftCell="B115" colorId="64" zoomScale="85" zoomScaleNormal="85" zoomScalePageLayoutView="100" workbookViewId="0">
      <selection pane="topLeft" activeCell="D122" activeCellId="0" sqref="D122"/>
    </sheetView>
  </sheetViews>
  <sheetFormatPr defaultColWidth="11.4296875" defaultRowHeight="15" customHeight="false" zeroHeight="false" outlineLevelRow="0" outlineLevelCol="0"/>
  <cols>
    <col collapsed="false" customWidth="true" hidden="false" outlineLevel="0" max="1" min="1" style="1" width="48.72"/>
    <col collapsed="false" customWidth="true" hidden="false" outlineLevel="0" max="2" min="2" style="1" width="50"/>
    <col collapsed="false" customWidth="true" hidden="false" outlineLevel="0" max="3" min="3" style="1" width="59.86"/>
    <col collapsed="false" customWidth="true" hidden="false" outlineLevel="0" max="4" min="4" style="1" width="55.86"/>
    <col collapsed="false" customWidth="true" hidden="false" outlineLevel="0" max="5" min="5" style="1" width="49.3"/>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2" min="12" style="1" width="35.43"/>
    <col collapsed="false" customWidth="true" hidden="false" outlineLevel="0" max="18" min="18" style="1" width="12.57"/>
  </cols>
  <sheetData>
    <row r="1" customFormat="false" ht="29.15" hidden="false" customHeight="false" outlineLevel="0" collapsed="false">
      <c r="A1" s="197" t="s">
        <v>490</v>
      </c>
      <c r="B1" s="197"/>
      <c r="C1" s="197"/>
      <c r="E1" s="198"/>
    </row>
    <row r="2" customFormat="false" ht="24.45" hidden="false" customHeight="false" outlineLevel="0" collapsed="false">
      <c r="A2" s="199" t="s">
        <v>491</v>
      </c>
    </row>
    <row r="3" customFormat="false" ht="17.35" hidden="false" customHeight="false" outlineLevel="0" collapsed="false">
      <c r="A3" s="200" t="s">
        <v>48</v>
      </c>
      <c r="B3" s="200"/>
      <c r="C3" s="200"/>
      <c r="D3" s="200"/>
      <c r="E3" s="200"/>
      <c r="F3" s="200"/>
      <c r="G3" s="200"/>
      <c r="H3" s="200"/>
      <c r="I3" s="200"/>
      <c r="J3" s="200"/>
      <c r="K3" s="200"/>
      <c r="L3" s="200"/>
      <c r="M3" s="200"/>
      <c r="N3" s="200"/>
      <c r="O3" s="200"/>
      <c r="P3" s="200"/>
      <c r="Q3" s="200"/>
      <c r="R3" s="200"/>
      <c r="S3" s="200"/>
      <c r="T3" s="200"/>
      <c r="U3" s="200"/>
      <c r="V3" s="200"/>
      <c r="W3" s="200"/>
      <c r="X3" s="200"/>
      <c r="Y3" s="200"/>
      <c r="Z3" s="200"/>
      <c r="AA3" s="200"/>
      <c r="AB3" s="200"/>
      <c r="AC3" s="200"/>
      <c r="AD3" s="200"/>
      <c r="AE3" s="200"/>
      <c r="AF3" s="200"/>
      <c r="AG3" s="200"/>
      <c r="AH3" s="200"/>
      <c r="AI3" s="200"/>
      <c r="AJ3" s="200"/>
      <c r="AK3" s="200"/>
      <c r="AL3" s="200"/>
    </row>
    <row r="4" customFormat="false" ht="15" hidden="false" customHeight="false" outlineLevel="0" collapsed="false">
      <c r="A4" s="201" t="s">
        <v>492</v>
      </c>
      <c r="B4" s="202" t="s">
        <v>36</v>
      </c>
      <c r="C4" s="203" t="n">
        <v>2015</v>
      </c>
      <c r="D4" s="203" t="n">
        <v>2016</v>
      </c>
      <c r="E4" s="203" t="n">
        <v>2017</v>
      </c>
      <c r="F4" s="203" t="n">
        <v>2018</v>
      </c>
      <c r="G4" s="203" t="n">
        <v>2019</v>
      </c>
      <c r="H4" s="203" t="n">
        <v>2020</v>
      </c>
      <c r="I4" s="203" t="n">
        <v>2021</v>
      </c>
      <c r="J4" s="203" t="n">
        <v>2022</v>
      </c>
      <c r="K4" s="203" t="n">
        <v>2023</v>
      </c>
      <c r="L4" s="203" t="n">
        <v>2024</v>
      </c>
      <c r="M4" s="203" t="n">
        <v>2025</v>
      </c>
      <c r="N4" s="203" t="n">
        <v>2026</v>
      </c>
      <c r="O4" s="203" t="n">
        <v>2027</v>
      </c>
      <c r="P4" s="203" t="n">
        <v>2028</v>
      </c>
      <c r="Q4" s="203" t="n">
        <v>2029</v>
      </c>
      <c r="R4" s="203" t="n">
        <v>2030</v>
      </c>
      <c r="S4" s="203" t="n">
        <v>2031</v>
      </c>
      <c r="T4" s="203" t="n">
        <v>2032</v>
      </c>
      <c r="U4" s="203" t="n">
        <v>2033</v>
      </c>
      <c r="V4" s="203" t="n">
        <v>2034</v>
      </c>
      <c r="W4" s="203" t="n">
        <v>2035</v>
      </c>
      <c r="X4" s="203" t="n">
        <v>2036</v>
      </c>
      <c r="Y4" s="203" t="n">
        <v>2037</v>
      </c>
      <c r="Z4" s="203" t="n">
        <v>2038</v>
      </c>
      <c r="AA4" s="203" t="n">
        <v>2039</v>
      </c>
      <c r="AB4" s="203" t="n">
        <v>2040</v>
      </c>
      <c r="AC4" s="203" t="n">
        <v>2041</v>
      </c>
      <c r="AD4" s="203" t="n">
        <v>2042</v>
      </c>
      <c r="AE4" s="203" t="n">
        <v>2043</v>
      </c>
      <c r="AF4" s="203" t="n">
        <v>2044</v>
      </c>
      <c r="AG4" s="203" t="n">
        <v>2045</v>
      </c>
      <c r="AH4" s="203" t="n">
        <v>2046</v>
      </c>
      <c r="AI4" s="203" t="n">
        <v>2047</v>
      </c>
      <c r="AJ4" s="203" t="n">
        <v>2048</v>
      </c>
      <c r="AK4" s="203" t="n">
        <v>2049</v>
      </c>
      <c r="AL4" s="204" t="n">
        <v>2050</v>
      </c>
    </row>
    <row r="5" customFormat="false" ht="15" hidden="false" customHeight="false" outlineLevel="0" collapsed="false">
      <c r="A5" s="201"/>
      <c r="B5" s="205" t="s">
        <v>327</v>
      </c>
      <c r="C5" s="206" t="n">
        <v>0.00256052057371377</v>
      </c>
      <c r="D5" s="206" t="n">
        <v>0.00164477370793707</v>
      </c>
      <c r="E5" s="206" t="n">
        <v>0.00151307498277967</v>
      </c>
      <c r="F5" s="206" t="n">
        <v>0.000786004648494448</v>
      </c>
      <c r="G5" s="206" t="n">
        <v>0.00207352538295369</v>
      </c>
      <c r="H5" s="206" t="n">
        <v>0.00111975819334983</v>
      </c>
      <c r="I5" s="206" t="n">
        <v>0.00101023432468149</v>
      </c>
      <c r="J5" s="206" t="n">
        <v>0.000723278764901663</v>
      </c>
      <c r="K5" s="206" t="n">
        <v>0.000438149076327018</v>
      </c>
      <c r="L5" s="206" t="n">
        <v>0.000156943080124196</v>
      </c>
      <c r="M5" s="206" t="n">
        <v>8.08129030658364E-005</v>
      </c>
      <c r="N5" s="206" t="n">
        <v>-4.96513310373826E-006</v>
      </c>
      <c r="O5" s="206" t="n">
        <v>-8.41161374124326E-005</v>
      </c>
      <c r="P5" s="206" t="n">
        <v>-0.00015725806043268</v>
      </c>
      <c r="Q5" s="206" t="n">
        <v>-0.000225035382785234</v>
      </c>
      <c r="R5" s="206" t="n">
        <v>-0.000287256280453438</v>
      </c>
      <c r="S5" s="206" t="n">
        <v>-0.000344702796495635</v>
      </c>
      <c r="T5" s="206" t="n">
        <v>-0.000398495833518381</v>
      </c>
      <c r="U5" s="206" t="n">
        <v>-0.000449448287733495</v>
      </c>
      <c r="V5" s="206" t="n">
        <v>-0.000498700759270578</v>
      </c>
      <c r="W5" s="206" t="n">
        <v>-0.00054787942276427</v>
      </c>
      <c r="X5" s="206" t="n">
        <v>-0.00059934629868388</v>
      </c>
      <c r="Y5" s="206" t="n">
        <v>-0.000655061807615888</v>
      </c>
      <c r="Z5" s="206" t="n">
        <v>-0.00071663422556957</v>
      </c>
      <c r="AA5" s="206" t="n">
        <v>-0.000784561753891889</v>
      </c>
      <c r="AB5" s="206" t="n">
        <v>-0.00085834541432437</v>
      </c>
      <c r="AC5" s="206" t="n">
        <v>-0.000937199366804394</v>
      </c>
      <c r="AD5" s="206" t="n">
        <v>-0.00102080696975936</v>
      </c>
      <c r="AE5" s="206" t="n">
        <v>-0.00110792906298211</v>
      </c>
      <c r="AF5" s="206" t="n">
        <v>-0.00119692113686211</v>
      </c>
      <c r="AG5" s="206" t="n">
        <v>-0.00128677506724323</v>
      </c>
      <c r="AH5" s="206" t="n">
        <v>-0.00137815371196277</v>
      </c>
      <c r="AI5" s="206" t="n">
        <v>-0.00146839326035868</v>
      </c>
      <c r="AJ5" s="206" t="n">
        <v>-0.00155716760082972</v>
      </c>
      <c r="AK5" s="206" t="n">
        <v>-0.00164449759391597</v>
      </c>
      <c r="AL5" s="207" t="n">
        <v>-0.00147758369077114</v>
      </c>
    </row>
    <row r="7" customFormat="false" ht="17.35" hidden="false" customHeight="false" outlineLevel="0" collapsed="false">
      <c r="A7" s="200" t="s">
        <v>26</v>
      </c>
      <c r="B7" s="200"/>
      <c r="C7" s="200"/>
      <c r="D7" s="200"/>
      <c r="E7" s="200"/>
      <c r="F7" s="200"/>
      <c r="G7" s="200"/>
      <c r="H7" s="200"/>
      <c r="I7" s="200"/>
      <c r="J7" s="200"/>
      <c r="K7" s="200"/>
      <c r="L7" s="200"/>
      <c r="M7" s="200"/>
      <c r="N7" s="200"/>
      <c r="O7" s="200"/>
      <c r="P7" s="200"/>
      <c r="Q7" s="200"/>
      <c r="R7" s="200"/>
      <c r="S7" s="200"/>
      <c r="T7" s="200"/>
      <c r="U7" s="200"/>
      <c r="V7" s="200"/>
      <c r="W7" s="200"/>
      <c r="X7" s="200"/>
      <c r="Y7" s="200"/>
      <c r="Z7" s="200"/>
      <c r="AA7" s="200"/>
      <c r="AB7" s="200"/>
      <c r="AC7" s="200"/>
      <c r="AD7" s="200"/>
      <c r="AE7" s="200"/>
      <c r="AF7" s="200"/>
      <c r="AG7" s="200"/>
      <c r="AH7" s="200"/>
      <c r="AI7" s="200"/>
      <c r="AJ7" s="200"/>
      <c r="AK7" s="200"/>
      <c r="AL7" s="200"/>
    </row>
    <row r="8" customFormat="false" ht="15" hidden="false" customHeight="false" outlineLevel="0" collapsed="false">
      <c r="A8" s="208" t="s">
        <v>493</v>
      </c>
      <c r="B8" s="202" t="s">
        <v>28</v>
      </c>
      <c r="C8" s="203" t="n">
        <v>0.47359219</v>
      </c>
      <c r="D8" s="209" t="s">
        <v>494</v>
      </c>
      <c r="E8" s="202" t="s">
        <v>28</v>
      </c>
      <c r="F8" s="203" t="n">
        <v>0.4070095</v>
      </c>
      <c r="G8" s="210"/>
      <c r="H8" s="210"/>
      <c r="I8" s="210"/>
      <c r="J8" s="210"/>
      <c r="K8" s="210"/>
      <c r="L8" s="210"/>
      <c r="M8" s="210"/>
      <c r="N8" s="210"/>
      <c r="O8" s="210"/>
      <c r="P8" s="210"/>
      <c r="Q8" s="210"/>
      <c r="R8" s="210"/>
      <c r="S8" s="210"/>
      <c r="T8" s="210"/>
      <c r="U8" s="210"/>
      <c r="V8" s="210"/>
      <c r="W8" s="210"/>
      <c r="X8" s="210"/>
      <c r="Y8" s="210"/>
      <c r="Z8" s="210"/>
      <c r="AA8" s="210"/>
      <c r="AB8" s="210"/>
      <c r="AC8" s="210"/>
      <c r="AD8" s="210"/>
      <c r="AE8" s="210"/>
      <c r="AF8" s="210"/>
      <c r="AG8" s="210"/>
      <c r="AH8" s="210"/>
      <c r="AI8" s="210"/>
      <c r="AJ8" s="210"/>
      <c r="AK8" s="210"/>
      <c r="AL8" s="210"/>
    </row>
    <row r="9" customFormat="false" ht="15" hidden="false" customHeight="false" outlineLevel="0" collapsed="false">
      <c r="A9" s="201" t="s">
        <v>495</v>
      </c>
      <c r="B9" s="202" t="s">
        <v>36</v>
      </c>
      <c r="C9" s="203" t="n">
        <v>2015</v>
      </c>
      <c r="D9" s="203" t="n">
        <v>2016</v>
      </c>
      <c r="E9" s="203" t="n">
        <v>2017</v>
      </c>
      <c r="F9" s="203" t="n">
        <v>2018</v>
      </c>
      <c r="G9" s="203" t="n">
        <v>2019</v>
      </c>
      <c r="H9" s="203" t="n">
        <v>2020</v>
      </c>
      <c r="I9" s="203" t="n">
        <v>2021</v>
      </c>
      <c r="J9" s="203" t="n">
        <v>2022</v>
      </c>
      <c r="K9" s="203" t="n">
        <v>2023</v>
      </c>
      <c r="L9" s="203" t="n">
        <v>2024</v>
      </c>
      <c r="M9" s="203" t="n">
        <v>2025</v>
      </c>
      <c r="N9" s="203" t="n">
        <v>2026</v>
      </c>
      <c r="O9" s="203" t="n">
        <v>2027</v>
      </c>
      <c r="P9" s="203" t="n">
        <v>2028</v>
      </c>
      <c r="Q9" s="203" t="n">
        <v>2029</v>
      </c>
      <c r="R9" s="203" t="n">
        <v>2030</v>
      </c>
      <c r="S9" s="203" t="n">
        <v>2031</v>
      </c>
      <c r="T9" s="203" t="n">
        <v>2032</v>
      </c>
      <c r="U9" s="203" t="n">
        <v>2033</v>
      </c>
      <c r="V9" s="203" t="n">
        <v>2034</v>
      </c>
      <c r="W9" s="203" t="n">
        <v>2035</v>
      </c>
      <c r="X9" s="203" t="n">
        <v>2036</v>
      </c>
      <c r="Y9" s="203" t="n">
        <v>2037</v>
      </c>
      <c r="Z9" s="203" t="n">
        <v>2038</v>
      </c>
      <c r="AA9" s="203" t="n">
        <v>2039</v>
      </c>
      <c r="AB9" s="203" t="n">
        <v>2040</v>
      </c>
      <c r="AC9" s="203" t="n">
        <v>2041</v>
      </c>
      <c r="AD9" s="203" t="n">
        <v>2042</v>
      </c>
      <c r="AE9" s="203" t="n">
        <v>2043</v>
      </c>
      <c r="AF9" s="203" t="n">
        <v>2044</v>
      </c>
      <c r="AG9" s="203" t="n">
        <v>2045</v>
      </c>
      <c r="AH9" s="203" t="n">
        <v>2046</v>
      </c>
      <c r="AI9" s="203" t="n">
        <v>2047</v>
      </c>
      <c r="AJ9" s="203" t="n">
        <v>2048</v>
      </c>
      <c r="AK9" s="203" t="n">
        <v>2049</v>
      </c>
      <c r="AL9" s="204" t="n">
        <v>2050</v>
      </c>
    </row>
    <row r="10" customFormat="false" ht="15" hidden="false" customHeight="false" outlineLevel="0" collapsed="false">
      <c r="A10" s="201"/>
      <c r="B10" s="205" t="s">
        <v>327</v>
      </c>
      <c r="C10" s="206" t="n">
        <v>0.0342362678705794</v>
      </c>
      <c r="D10" s="206" t="n">
        <v>0.0254638050200073</v>
      </c>
      <c r="E10" s="206" t="n">
        <v>0.0400851365732529</v>
      </c>
      <c r="F10" s="206" t="n">
        <v>0.0327421555252387</v>
      </c>
      <c r="G10" s="206" t="n">
        <v>0.0336856010568032</v>
      </c>
      <c r="H10" s="206" t="n">
        <v>-0.0415335463258786</v>
      </c>
      <c r="I10" s="206" t="n">
        <v>0.0793333333333333</v>
      </c>
      <c r="J10" s="206" t="n">
        <v>0.035</v>
      </c>
      <c r="K10" s="206" t="n">
        <v>0.0281184473019163</v>
      </c>
      <c r="L10" s="206" t="n">
        <v>0.0273494239654071</v>
      </c>
      <c r="M10" s="206" t="n">
        <v>0.011</v>
      </c>
      <c r="N10" s="206"/>
      <c r="O10" s="206"/>
      <c r="P10" s="206"/>
      <c r="Q10" s="206"/>
      <c r="R10" s="206" t="n">
        <v>0.011</v>
      </c>
      <c r="S10" s="206"/>
      <c r="T10" s="206"/>
      <c r="U10" s="206"/>
      <c r="V10" s="206"/>
      <c r="W10" s="206"/>
      <c r="X10" s="206"/>
      <c r="Y10" s="206"/>
      <c r="Z10" s="206"/>
      <c r="AA10" s="206"/>
      <c r="AB10" s="206" t="n">
        <v>0</v>
      </c>
      <c r="AC10" s="206"/>
      <c r="AD10" s="206"/>
      <c r="AE10" s="206"/>
      <c r="AF10" s="206"/>
      <c r="AG10" s="206" t="n">
        <v>0</v>
      </c>
      <c r="AH10" s="206"/>
      <c r="AI10" s="206"/>
      <c r="AJ10" s="206"/>
      <c r="AK10" s="206"/>
      <c r="AL10" s="206" t="n">
        <v>0</v>
      </c>
    </row>
    <row r="13" customFormat="false" ht="24.45" hidden="false" customHeight="false" outlineLevel="0" collapsed="false">
      <c r="A13" s="199" t="s">
        <v>496</v>
      </c>
    </row>
    <row r="14" customFormat="false" ht="17.35" hidden="false" customHeight="false" outlineLevel="0" collapsed="false">
      <c r="A14" s="200" t="s">
        <v>94</v>
      </c>
      <c r="B14" s="200"/>
      <c r="C14" s="200"/>
      <c r="D14" s="200"/>
      <c r="E14" s="200"/>
      <c r="F14" s="200"/>
      <c r="G14" s="200"/>
      <c r="H14" s="200"/>
      <c r="I14" s="200"/>
    </row>
    <row r="15" customFormat="false" ht="15" hidden="false" customHeight="false" outlineLevel="0" collapsed="false">
      <c r="A15" s="211" t="s">
        <v>497</v>
      </c>
      <c r="B15" s="202" t="s">
        <v>36</v>
      </c>
      <c r="C15" s="203" t="n">
        <v>2020</v>
      </c>
      <c r="D15" s="203" t="n">
        <v>2025</v>
      </c>
      <c r="E15" s="203" t="n">
        <v>2030</v>
      </c>
      <c r="F15" s="203" t="n">
        <v>2035</v>
      </c>
      <c r="G15" s="203" t="n">
        <v>2040</v>
      </c>
      <c r="H15" s="203" t="n">
        <v>2045</v>
      </c>
      <c r="I15" s="204" t="n">
        <v>2050</v>
      </c>
      <c r="J15" s="81"/>
      <c r="K15" s="81"/>
      <c r="L15" s="81"/>
    </row>
    <row r="16" customFormat="false" ht="15" hidden="false" customHeight="false" outlineLevel="0" collapsed="false">
      <c r="A16" s="211" t="s">
        <v>498</v>
      </c>
      <c r="B16" s="202" t="s">
        <v>499</v>
      </c>
      <c r="C16" s="212" t="n">
        <v>0.117609721833719</v>
      </c>
      <c r="D16" s="212" t="n">
        <v>0.126664781007908</v>
      </c>
      <c r="E16" s="212" t="n">
        <v>0.1268050283133</v>
      </c>
      <c r="F16" s="212" t="n">
        <v>0.135126859489025</v>
      </c>
      <c r="G16" s="212" t="n">
        <v>0.140282729162163</v>
      </c>
      <c r="H16" s="212" t="n">
        <v>0.146916832301251</v>
      </c>
      <c r="I16" s="213" t="n">
        <v>0.148630915135189</v>
      </c>
      <c r="J16" s="81"/>
      <c r="K16" s="160"/>
      <c r="L16" s="81"/>
    </row>
    <row r="17" customFormat="false" ht="15" hidden="false" customHeight="false" outlineLevel="0" collapsed="false">
      <c r="A17" s="211" t="s">
        <v>500</v>
      </c>
      <c r="B17" s="202" t="s">
        <v>499</v>
      </c>
      <c r="C17" s="212" t="n">
        <v>0.000878474</v>
      </c>
      <c r="D17" s="212" t="n">
        <v>0.0011024</v>
      </c>
      <c r="E17" s="212" t="n">
        <v>0.0011334</v>
      </c>
      <c r="F17" s="212" t="n">
        <v>0.00200848238735286</v>
      </c>
      <c r="G17" s="212" t="n">
        <v>0.0025763285102634</v>
      </c>
      <c r="H17" s="212" t="n">
        <v>0.00298497591757019</v>
      </c>
      <c r="I17" s="213" t="n">
        <v>0.00339362332487698</v>
      </c>
      <c r="J17" s="81"/>
      <c r="K17" s="81"/>
      <c r="L17" s="81"/>
    </row>
    <row r="18" customFormat="false" ht="15" hidden="false" customHeight="false" outlineLevel="0" collapsed="false">
      <c r="A18" s="211" t="s">
        <v>501</v>
      </c>
      <c r="B18" s="202" t="s">
        <v>499</v>
      </c>
      <c r="C18" s="212" t="n">
        <v>0.0374522</v>
      </c>
      <c r="D18" s="212" t="n">
        <v>0.043388</v>
      </c>
      <c r="E18" s="212" t="n">
        <v>0.06069115</v>
      </c>
      <c r="F18" s="214" t="n">
        <v>0.08975165</v>
      </c>
      <c r="G18" s="214" t="n">
        <v>0.12725</v>
      </c>
      <c r="H18" s="214" t="n">
        <v>0.1769065</v>
      </c>
      <c r="I18" s="213" t="n">
        <v>0.2118585</v>
      </c>
      <c r="J18" s="81"/>
      <c r="K18" s="81"/>
      <c r="L18" s="81"/>
    </row>
    <row r="19" customFormat="false" ht="15" hidden="false" customHeight="false" outlineLevel="0" collapsed="false">
      <c r="A19" s="211" t="s">
        <v>502</v>
      </c>
      <c r="B19" s="202" t="s">
        <v>499</v>
      </c>
      <c r="C19" s="212" t="n">
        <v>0.0008299085</v>
      </c>
      <c r="D19" s="212" t="n">
        <v>0.00444725</v>
      </c>
      <c r="E19" s="212" t="n">
        <v>0.014096475</v>
      </c>
      <c r="F19" s="214" t="n">
        <v>0.02532925</v>
      </c>
      <c r="G19" s="214" t="n">
        <v>0.03581605</v>
      </c>
      <c r="H19" s="214" t="n">
        <v>0.04635715</v>
      </c>
      <c r="I19" s="213" t="n">
        <v>0.05620975</v>
      </c>
      <c r="J19" s="160"/>
      <c r="K19" s="81"/>
      <c r="L19" s="81"/>
    </row>
    <row r="20" customFormat="false" ht="15" hidden="false" customHeight="false" outlineLevel="0" collapsed="false">
      <c r="A20" s="211" t="s">
        <v>503</v>
      </c>
      <c r="B20" s="202" t="s">
        <v>499</v>
      </c>
      <c r="C20" s="212" t="n">
        <v>0.146914125126844</v>
      </c>
      <c r="D20" s="212" t="n">
        <v>0.252394063397019</v>
      </c>
      <c r="E20" s="212" t="n">
        <v>0.359162426436101</v>
      </c>
      <c r="F20" s="214" t="n">
        <v>0.526015222710319</v>
      </c>
      <c r="G20" s="214" t="n">
        <v>0.6707412377823</v>
      </c>
      <c r="H20" s="214" t="n">
        <v>0.895000988463177</v>
      </c>
      <c r="I20" s="213" t="n">
        <v>1.01362210322222</v>
      </c>
    </row>
    <row r="21" customFormat="false" ht="15" hidden="false" customHeight="false" outlineLevel="0" collapsed="false">
      <c r="A21" s="211" t="s">
        <v>504</v>
      </c>
      <c r="B21" s="202" t="s">
        <v>499</v>
      </c>
      <c r="C21" s="212" t="n">
        <v>0.0121029772625668</v>
      </c>
      <c r="D21" s="212" t="n">
        <v>0.0294920972654814</v>
      </c>
      <c r="E21" s="212" t="n">
        <v>0.0638937271994091</v>
      </c>
      <c r="F21" s="214" t="n">
        <v>0.105000218961605</v>
      </c>
      <c r="G21" s="214" t="n">
        <v>0.186851022344914</v>
      </c>
      <c r="H21" s="214" t="n">
        <v>0.324965157175987</v>
      </c>
      <c r="I21" s="213" t="n">
        <v>0.362987208788995</v>
      </c>
      <c r="K21" s="81"/>
      <c r="L21" s="81"/>
    </row>
    <row r="22" customFormat="false" ht="15" hidden="false" customHeight="false" outlineLevel="0" collapsed="false">
      <c r="A22" s="211" t="s">
        <v>505</v>
      </c>
      <c r="B22" s="202" t="s">
        <v>499</v>
      </c>
      <c r="C22" s="212" t="n">
        <v>0.125671151626567</v>
      </c>
      <c r="D22" s="212" t="n">
        <v>0.243542844662369</v>
      </c>
      <c r="E22" s="212" t="n">
        <v>0.389285836686693</v>
      </c>
      <c r="F22" s="214" t="n">
        <v>0.545212013431527</v>
      </c>
      <c r="G22" s="214" t="n">
        <v>0.755351384766724</v>
      </c>
      <c r="H22" s="214" t="n">
        <v>0.97004701873674</v>
      </c>
      <c r="I22" s="213" t="n">
        <v>1.15086859750692</v>
      </c>
      <c r="K22" s="81"/>
      <c r="L22" s="81"/>
    </row>
    <row r="23" customFormat="false" ht="15" hidden="false" customHeight="false" outlineLevel="0" collapsed="false">
      <c r="A23" s="211" t="s">
        <v>506</v>
      </c>
      <c r="B23" s="202" t="s">
        <v>499</v>
      </c>
      <c r="C23" s="212" t="n">
        <v>0.0023288</v>
      </c>
      <c r="D23" s="212" t="n">
        <v>0.0049788</v>
      </c>
      <c r="E23" s="212" t="n">
        <v>0.0076288</v>
      </c>
      <c r="F23" s="212" t="n">
        <v>0.0092216</v>
      </c>
      <c r="G23" s="212" t="n">
        <v>0.0108144</v>
      </c>
      <c r="H23" s="212" t="n">
        <v>0.0124072</v>
      </c>
      <c r="I23" s="215" t="n">
        <v>0.014</v>
      </c>
    </row>
    <row r="24" customFormat="false" ht="15" hidden="false" customHeight="true" outlineLevel="0" collapsed="false">
      <c r="A24" s="211" t="s">
        <v>507</v>
      </c>
      <c r="B24" s="202" t="s">
        <v>499</v>
      </c>
      <c r="C24" s="212" t="n">
        <v>0.045</v>
      </c>
      <c r="D24" s="212" t="n">
        <v>0.055</v>
      </c>
      <c r="E24" s="212" t="n">
        <v>0.065</v>
      </c>
      <c r="F24" s="212" t="n">
        <v>0.065</v>
      </c>
      <c r="G24" s="212" t="n">
        <v>0.065</v>
      </c>
      <c r="H24" s="212" t="n">
        <v>0.065</v>
      </c>
      <c r="I24" s="213" t="n">
        <v>0.065</v>
      </c>
      <c r="J24" s="81"/>
      <c r="K24" s="81"/>
      <c r="L24" s="81"/>
    </row>
    <row r="25" customFormat="false" ht="15" hidden="false" customHeight="true" outlineLevel="0" collapsed="false">
      <c r="A25" s="216" t="s">
        <v>508</v>
      </c>
      <c r="B25" s="205" t="s">
        <v>327</v>
      </c>
      <c r="C25" s="206" t="n">
        <v>0.1</v>
      </c>
      <c r="D25" s="206" t="n">
        <v>0.1</v>
      </c>
      <c r="E25" s="206" t="n">
        <v>0.09</v>
      </c>
      <c r="F25" s="206" t="n">
        <v>0.08</v>
      </c>
      <c r="G25" s="206" t="n">
        <v>0.07</v>
      </c>
      <c r="H25" s="206" t="n">
        <v>0.06</v>
      </c>
      <c r="I25" s="207" t="n">
        <v>0.05</v>
      </c>
      <c r="J25" s="81"/>
      <c r="K25" s="81"/>
      <c r="L25" s="81"/>
    </row>
    <row r="26" customFormat="false" ht="15" hidden="false" customHeight="true" outlineLevel="0" collapsed="false">
      <c r="A26" s="216" t="s">
        <v>509</v>
      </c>
      <c r="B26" s="205" t="s">
        <v>327</v>
      </c>
      <c r="C26" s="217" t="n">
        <v>0.05</v>
      </c>
      <c r="D26" s="217" t="n">
        <v>0.05</v>
      </c>
      <c r="E26" s="217" t="n">
        <v>0.05</v>
      </c>
      <c r="F26" s="217" t="n">
        <v>0.05</v>
      </c>
      <c r="G26" s="217" t="n">
        <v>0.05</v>
      </c>
      <c r="H26" s="217" t="n">
        <v>0.045</v>
      </c>
      <c r="I26" s="217" t="n">
        <v>0.04</v>
      </c>
      <c r="J26" s="81"/>
      <c r="K26" s="81"/>
      <c r="L26" s="81"/>
    </row>
    <row r="27" customFormat="false" ht="17.35" hidden="false" customHeight="false" outlineLevel="0" collapsed="false">
      <c r="A27" s="200" t="s">
        <v>710</v>
      </c>
      <c r="B27" s="200"/>
      <c r="C27" s="200"/>
      <c r="D27" s="200"/>
      <c r="E27" s="200"/>
      <c r="F27" s="200"/>
      <c r="G27" s="200"/>
      <c r="H27" s="200"/>
      <c r="I27" s="200"/>
    </row>
    <row r="28" customFormat="false" ht="15" hidden="false" customHeight="false" outlineLevel="0" collapsed="false">
      <c r="A28" s="218" t="s">
        <v>510</v>
      </c>
      <c r="B28" s="219" t="s">
        <v>146</v>
      </c>
      <c r="C28" s="220" t="n">
        <v>0</v>
      </c>
      <c r="D28" s="220" t="n">
        <v>0</v>
      </c>
      <c r="E28" s="220" t="n">
        <v>0</v>
      </c>
      <c r="F28" s="220" t="n">
        <v>0</v>
      </c>
      <c r="G28" s="220" t="n">
        <v>0</v>
      </c>
      <c r="H28" s="220" t="n">
        <v>0</v>
      </c>
      <c r="I28" s="220" t="n">
        <v>0</v>
      </c>
    </row>
    <row r="29" customFormat="false" ht="15" hidden="false" customHeight="false" outlineLevel="0" collapsed="false">
      <c r="G29" s="221"/>
      <c r="I29" s="221"/>
      <c r="J29" s="81"/>
      <c r="K29" s="81"/>
      <c r="L29" s="81"/>
    </row>
    <row r="30" customFormat="false" ht="17.35" hidden="false" customHeight="false" outlineLevel="0" collapsed="false">
      <c r="A30" s="200" t="s">
        <v>129</v>
      </c>
      <c r="B30" s="200"/>
      <c r="C30" s="200"/>
      <c r="D30" s="81"/>
      <c r="E30" s="81"/>
      <c r="F30" s="81"/>
      <c r="G30" s="81"/>
      <c r="H30" s="81"/>
      <c r="I30" s="160"/>
      <c r="J30" s="81"/>
      <c r="K30" s="81"/>
      <c r="L30" s="81"/>
      <c r="M30" s="81"/>
      <c r="N30" s="81"/>
      <c r="O30" s="81"/>
      <c r="P30" s="81"/>
      <c r="Q30" s="81"/>
    </row>
    <row r="31" customFormat="false" ht="15" hidden="false" customHeight="false" outlineLevel="0" collapsed="false">
      <c r="A31" s="222" t="s">
        <v>511</v>
      </c>
      <c r="B31" s="222"/>
      <c r="C31" s="222"/>
      <c r="E31" s="81"/>
      <c r="F31" s="81"/>
      <c r="G31" s="81"/>
      <c r="H31" s="160"/>
      <c r="I31" s="81"/>
      <c r="L31" s="75"/>
    </row>
    <row r="32" customFormat="false" ht="15" hidden="false" customHeight="false" outlineLevel="0" collapsed="false">
      <c r="A32" s="211" t="s">
        <v>512</v>
      </c>
      <c r="B32" s="202" t="s">
        <v>513</v>
      </c>
      <c r="C32" s="226" t="n">
        <v>0.1</v>
      </c>
      <c r="H32" s="160"/>
      <c r="K32" s="45"/>
      <c r="M32" s="81"/>
    </row>
    <row r="33" customFormat="false" ht="15" hidden="false" customHeight="false" outlineLevel="0" collapsed="false">
      <c r="A33" s="211" t="s">
        <v>514</v>
      </c>
      <c r="B33" s="202" t="s">
        <v>36</v>
      </c>
      <c r="C33" s="204" t="n">
        <v>2035</v>
      </c>
      <c r="E33" s="81"/>
      <c r="F33" s="81"/>
      <c r="G33" s="81"/>
      <c r="H33" s="160"/>
      <c r="I33" s="81"/>
      <c r="J33" s="62"/>
    </row>
    <row r="34" customFormat="false" ht="15" hidden="false" customHeight="false" outlineLevel="0" collapsed="false">
      <c r="A34" s="211" t="s">
        <v>515</v>
      </c>
      <c r="B34" s="202" t="s">
        <v>513</v>
      </c>
      <c r="C34" s="227" t="n">
        <v>0.25</v>
      </c>
      <c r="E34" s="81"/>
      <c r="F34" s="81"/>
      <c r="G34" s="81"/>
      <c r="H34" s="81"/>
      <c r="I34" s="81"/>
      <c r="J34" s="81"/>
      <c r="K34" s="81"/>
      <c r="L34" s="81"/>
      <c r="M34" s="81"/>
      <c r="N34" s="81"/>
      <c r="O34" s="81"/>
      <c r="P34" s="81"/>
      <c r="Q34" s="81"/>
      <c r="R34" s="81"/>
      <c r="S34" s="81"/>
      <c r="T34" s="81"/>
      <c r="U34" s="81"/>
      <c r="V34" s="81"/>
      <c r="W34" s="81"/>
      <c r="X34" s="81"/>
      <c r="Y34" s="81"/>
      <c r="Z34" s="81"/>
      <c r="AA34" s="81"/>
      <c r="AB34" s="81"/>
      <c r="AC34" s="81"/>
      <c r="AD34" s="81"/>
      <c r="AE34" s="81"/>
      <c r="AF34" s="81"/>
      <c r="AG34" s="81"/>
      <c r="AH34" s="81"/>
      <c r="AI34" s="81"/>
      <c r="AJ34" s="81"/>
      <c r="AK34" s="81"/>
      <c r="AL34" s="81"/>
      <c r="AM34" s="81"/>
      <c r="AN34" s="81"/>
      <c r="AO34" s="81"/>
      <c r="AP34" s="81"/>
      <c r="AQ34" s="81"/>
      <c r="AR34" s="81"/>
      <c r="AS34" s="81"/>
      <c r="AT34" s="81"/>
      <c r="AU34" s="81"/>
      <c r="AV34" s="81"/>
      <c r="AW34" s="81"/>
      <c r="AX34" s="81"/>
    </row>
    <row r="35" customFormat="false" ht="15" hidden="false" customHeight="false" outlineLevel="0" collapsed="false">
      <c r="A35" s="222" t="s">
        <v>516</v>
      </c>
      <c r="B35" s="222"/>
      <c r="C35" s="222"/>
      <c r="E35" s="81"/>
      <c r="F35" s="81"/>
      <c r="G35" s="81"/>
      <c r="H35" s="81"/>
      <c r="I35" s="81"/>
      <c r="J35" s="81"/>
      <c r="K35" s="81"/>
      <c r="L35" s="81"/>
      <c r="M35" s="81"/>
      <c r="N35" s="81"/>
      <c r="O35" s="81"/>
      <c r="P35" s="81"/>
      <c r="Q35" s="81"/>
      <c r="R35" s="81"/>
      <c r="S35" s="81"/>
      <c r="T35" s="81"/>
      <c r="U35" s="81"/>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row>
    <row r="36" customFormat="false" ht="15" hidden="false" customHeight="false" outlineLevel="0" collapsed="false">
      <c r="A36" s="211" t="s">
        <v>517</v>
      </c>
      <c r="B36" s="202" t="s">
        <v>36</v>
      </c>
      <c r="C36" s="204" t="n">
        <v>2020</v>
      </c>
      <c r="E36" s="81"/>
      <c r="F36" s="81"/>
      <c r="G36" s="81"/>
      <c r="H36" s="81"/>
      <c r="I36" s="81"/>
      <c r="J36" s="81"/>
      <c r="K36" s="81"/>
      <c r="L36" s="81"/>
      <c r="M36" s="81"/>
      <c r="N36" s="81"/>
      <c r="O36" s="81"/>
      <c r="P36" s="81"/>
      <c r="Q36" s="81"/>
      <c r="R36" s="81"/>
      <c r="S36" s="81"/>
      <c r="T36" s="81"/>
      <c r="U36" s="81"/>
      <c r="V36" s="81"/>
      <c r="W36" s="81"/>
      <c r="X36" s="81"/>
      <c r="Y36" s="81"/>
      <c r="Z36" s="81"/>
      <c r="AA36" s="81"/>
      <c r="AB36" s="81"/>
      <c r="AC36" s="81"/>
      <c r="AD36" s="81"/>
      <c r="AE36" s="81"/>
      <c r="AF36" s="81"/>
      <c r="AG36" s="81"/>
      <c r="AH36" s="81"/>
      <c r="AI36" s="81"/>
      <c r="AJ36" s="81"/>
      <c r="AK36" s="81"/>
      <c r="AL36" s="81"/>
      <c r="AM36" s="81"/>
      <c r="AN36" s="81"/>
      <c r="AO36" s="81"/>
      <c r="AP36" s="81"/>
      <c r="AQ36" s="81"/>
      <c r="AR36" s="81"/>
      <c r="AS36" s="81"/>
      <c r="AT36" s="81"/>
      <c r="AU36" s="81"/>
      <c r="AV36" s="81"/>
      <c r="AW36" s="81"/>
      <c r="AX36" s="81"/>
    </row>
    <row r="37" customFormat="false" ht="15" hidden="false" customHeight="false" outlineLevel="0" collapsed="false">
      <c r="A37" s="211" t="s">
        <v>518</v>
      </c>
      <c r="B37" s="202" t="s">
        <v>28</v>
      </c>
      <c r="C37" s="204" t="n">
        <v>0.25</v>
      </c>
      <c r="E37" s="81"/>
      <c r="F37" s="81"/>
      <c r="G37" s="81"/>
      <c r="H37" s="81"/>
      <c r="I37" s="81"/>
      <c r="J37" s="81"/>
      <c r="K37" s="81"/>
      <c r="L37" s="81"/>
      <c r="M37" s="81"/>
      <c r="N37" s="81"/>
      <c r="O37" s="81"/>
      <c r="P37" s="81"/>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row>
    <row r="38" customFormat="false" ht="15" hidden="false" customHeight="false" outlineLevel="0" collapsed="false">
      <c r="A38" s="211" t="s">
        <v>519</v>
      </c>
      <c r="B38" s="202" t="s">
        <v>513</v>
      </c>
      <c r="C38" s="227" t="n">
        <v>-0.00645054377302967</v>
      </c>
      <c r="D38" s="81"/>
      <c r="E38" s="81"/>
      <c r="F38" s="81"/>
      <c r="G38" s="81"/>
      <c r="H38" s="81"/>
      <c r="I38" s="81"/>
      <c r="J38" s="81"/>
      <c r="K38" s="81"/>
      <c r="L38" s="81"/>
      <c r="M38" s="81"/>
      <c r="N38" s="81"/>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row>
    <row r="39" customFormat="false" ht="15" hidden="false" customHeight="false" outlineLevel="0" collapsed="false">
      <c r="A39" s="211" t="s">
        <v>520</v>
      </c>
      <c r="B39" s="202" t="s">
        <v>36</v>
      </c>
      <c r="C39" s="204" t="n">
        <v>2020</v>
      </c>
      <c r="D39" s="81"/>
      <c r="E39" s="81"/>
      <c r="F39" s="81"/>
      <c r="G39" s="81"/>
      <c r="H39" s="81"/>
      <c r="I39" s="81"/>
      <c r="J39" s="81"/>
      <c r="K39" s="81"/>
      <c r="L39" s="81"/>
      <c r="M39" s="81"/>
      <c r="N39" s="81"/>
      <c r="O39" s="81"/>
      <c r="P39" s="81"/>
      <c r="Q39" s="81"/>
      <c r="R39" s="81"/>
      <c r="S39" s="81"/>
      <c r="T39" s="81"/>
      <c r="U39" s="81"/>
      <c r="V39" s="81"/>
      <c r="W39" s="81"/>
      <c r="X39" s="81"/>
      <c r="Y39" s="81"/>
      <c r="Z39" s="81"/>
      <c r="AA39" s="81"/>
      <c r="AB39" s="81"/>
      <c r="AC39" s="81"/>
      <c r="AD39" s="81"/>
      <c r="AE39" s="81"/>
      <c r="AF39" s="81"/>
      <c r="AG39" s="81"/>
      <c r="AH39" s="81"/>
      <c r="AI39" s="81"/>
      <c r="AJ39" s="81"/>
      <c r="AK39" s="81"/>
      <c r="AL39" s="81"/>
      <c r="AM39" s="81"/>
      <c r="AN39" s="81"/>
      <c r="AO39" s="81"/>
      <c r="AP39" s="81"/>
      <c r="AQ39" s="81"/>
      <c r="AR39" s="81"/>
      <c r="AS39" s="81"/>
      <c r="AT39" s="81"/>
      <c r="AU39" s="81"/>
      <c r="AV39" s="81"/>
      <c r="AW39" s="81"/>
      <c r="AX39" s="81"/>
    </row>
    <row r="40" customFormat="false" ht="15" hidden="false" customHeight="false" outlineLevel="0" collapsed="false">
      <c r="A40" s="211" t="s">
        <v>521</v>
      </c>
      <c r="B40" s="202" t="s">
        <v>513</v>
      </c>
      <c r="C40" s="227" t="n">
        <v>0.03495007449</v>
      </c>
      <c r="D40" s="81"/>
      <c r="E40" s="81"/>
      <c r="F40" s="81"/>
      <c r="G40" s="81"/>
      <c r="H40" s="81"/>
      <c r="I40" s="81"/>
      <c r="J40" s="81"/>
      <c r="K40" s="81"/>
      <c r="L40" s="81"/>
      <c r="M40" s="81"/>
      <c r="N40" s="81"/>
      <c r="O40" s="81"/>
      <c r="P40" s="81"/>
      <c r="Q40" s="81"/>
      <c r="R40" s="81"/>
      <c r="S40" s="81"/>
      <c r="T40" s="81"/>
      <c r="U40" s="81"/>
      <c r="V40" s="81"/>
      <c r="W40" s="81"/>
      <c r="X40" s="81"/>
      <c r="Y40" s="81"/>
      <c r="Z40" s="81"/>
      <c r="AA40" s="81"/>
      <c r="AB40" s="81"/>
      <c r="AC40" s="81"/>
      <c r="AD40" s="81"/>
      <c r="AE40" s="81"/>
      <c r="AF40" s="81"/>
      <c r="AG40" s="81"/>
      <c r="AH40" s="81"/>
      <c r="AI40" s="81"/>
      <c r="AJ40" s="81"/>
      <c r="AK40" s="81"/>
      <c r="AL40" s="81"/>
      <c r="AM40" s="81"/>
      <c r="AN40" s="81"/>
      <c r="AO40" s="81"/>
      <c r="AP40" s="81"/>
      <c r="AQ40" s="81"/>
      <c r="AR40" s="81"/>
      <c r="AS40" s="81"/>
      <c r="AT40" s="81"/>
      <c r="AU40" s="81"/>
      <c r="AV40" s="81"/>
      <c r="AW40" s="81"/>
      <c r="AX40" s="81"/>
    </row>
    <row r="41" customFormat="false" ht="15" hidden="false" customHeight="false" outlineLevel="0" collapsed="false">
      <c r="A41" s="222" t="s">
        <v>143</v>
      </c>
      <c r="B41" s="222"/>
      <c r="C41" s="222"/>
      <c r="D41" s="81"/>
      <c r="E41" s="81"/>
      <c r="F41" s="81"/>
      <c r="G41" s="81"/>
      <c r="H41" s="81"/>
      <c r="I41" s="81"/>
      <c r="J41" s="81"/>
      <c r="K41" s="81"/>
      <c r="L41" s="81"/>
      <c r="M41" s="81"/>
      <c r="N41" s="81"/>
      <c r="O41" s="81"/>
      <c r="P41" s="81"/>
      <c r="Q41" s="81"/>
      <c r="R41" s="81"/>
      <c r="S41" s="81"/>
      <c r="T41" s="81"/>
      <c r="U41" s="81"/>
      <c r="V41" s="81"/>
      <c r="W41" s="81"/>
      <c r="X41" s="81"/>
      <c r="Y41" s="81"/>
      <c r="Z41" s="81"/>
      <c r="AA41" s="81"/>
      <c r="AB41" s="81"/>
      <c r="AC41" s="81"/>
      <c r="AD41" s="81"/>
      <c r="AE41" s="81"/>
      <c r="AF41" s="81"/>
      <c r="AG41" s="81"/>
      <c r="AH41" s="81"/>
      <c r="AI41" s="81"/>
      <c r="AJ41" s="81"/>
      <c r="AK41" s="81"/>
      <c r="AL41" s="81"/>
      <c r="AM41" s="81"/>
      <c r="AN41" s="81"/>
      <c r="AO41" s="81"/>
      <c r="AP41" s="81"/>
      <c r="AQ41" s="81"/>
      <c r="AR41" s="81"/>
      <c r="AS41" s="81"/>
      <c r="AT41" s="81"/>
      <c r="AU41" s="81"/>
      <c r="AV41" s="81"/>
      <c r="AW41" s="81"/>
      <c r="AX41" s="81"/>
    </row>
    <row r="42" customFormat="false" ht="15" hidden="false" customHeight="false" outlineLevel="0" collapsed="false">
      <c r="A42" s="216" t="s">
        <v>522</v>
      </c>
      <c r="B42" s="205" t="s">
        <v>513</v>
      </c>
      <c r="C42" s="228" t="n">
        <v>0.02</v>
      </c>
      <c r="D42" s="81"/>
      <c r="E42" s="81"/>
      <c r="F42" s="81"/>
      <c r="G42" s="81"/>
      <c r="H42" s="81"/>
      <c r="I42" s="81"/>
      <c r="J42" s="81"/>
      <c r="K42" s="81"/>
      <c r="L42" s="81"/>
      <c r="M42" s="81"/>
      <c r="N42" s="81"/>
      <c r="O42" s="81"/>
      <c r="P42" s="81"/>
      <c r="Q42" s="81"/>
      <c r="R42" s="81"/>
      <c r="S42" s="81"/>
      <c r="T42" s="81"/>
      <c r="U42" s="81"/>
      <c r="V42" s="81"/>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row>
    <row r="44" customFormat="false" ht="17.35" hidden="false" customHeight="false" outlineLevel="0" collapsed="false">
      <c r="A44" s="200" t="s">
        <v>144</v>
      </c>
      <c r="B44" s="200"/>
      <c r="C44" s="200"/>
      <c r="D44" s="81"/>
      <c r="H44" s="81"/>
      <c r="I44" s="81"/>
      <c r="J44" s="81"/>
      <c r="K44" s="81"/>
      <c r="L44" s="81"/>
      <c r="M44" s="81"/>
      <c r="N44" s="81"/>
      <c r="O44" s="81"/>
      <c r="P44" s="81"/>
      <c r="Q44" s="81"/>
      <c r="R44" s="81"/>
      <c r="S44" s="81"/>
      <c r="T44" s="81"/>
      <c r="U44" s="81"/>
      <c r="V44" s="81"/>
      <c r="W44" s="81"/>
      <c r="X44" s="81"/>
      <c r="Y44" s="81"/>
      <c r="Z44" s="81"/>
      <c r="AA44" s="81"/>
      <c r="AB44" s="81"/>
      <c r="AC44" s="81"/>
      <c r="AD44" s="81"/>
      <c r="AE44" s="81"/>
      <c r="AF44" s="81"/>
      <c r="AG44" s="81"/>
      <c r="AH44" s="81"/>
      <c r="AI44" s="81"/>
      <c r="AJ44" s="81"/>
      <c r="AK44" s="81"/>
      <c r="AL44" s="81"/>
      <c r="AM44" s="81"/>
      <c r="AN44" s="81"/>
      <c r="AO44" s="81"/>
      <c r="AP44" s="81"/>
      <c r="AQ44" s="81"/>
      <c r="AR44" s="81"/>
      <c r="AS44" s="81"/>
      <c r="AT44" s="81"/>
      <c r="AU44" s="81"/>
      <c r="AV44" s="81"/>
      <c r="AW44" s="81"/>
      <c r="AX44" s="81"/>
    </row>
    <row r="45" customFormat="false" ht="15" hidden="false" customHeight="false" outlineLevel="0" collapsed="false">
      <c r="A45" s="216" t="s">
        <v>523</v>
      </c>
      <c r="B45" s="205" t="s">
        <v>513</v>
      </c>
      <c r="C45" s="228" t="n">
        <v>-0.0159</v>
      </c>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1"/>
      <c r="AJ45" s="81"/>
      <c r="AK45" s="81"/>
      <c r="AL45" s="81"/>
      <c r="AM45" s="81"/>
      <c r="AN45" s="81"/>
      <c r="AO45" s="81"/>
      <c r="AP45" s="81"/>
      <c r="AQ45" s="81"/>
      <c r="AR45" s="81"/>
      <c r="AS45" s="81"/>
      <c r="AT45" s="81"/>
      <c r="AU45" s="81"/>
      <c r="AV45" s="81"/>
      <c r="AW45" s="81"/>
      <c r="AX45" s="81"/>
      <c r="AY45" s="81"/>
    </row>
    <row r="47" customFormat="false" ht="17.35" hidden="false" customHeight="false" outlineLevel="0" collapsed="false">
      <c r="A47" s="200" t="s">
        <v>157</v>
      </c>
      <c r="B47" s="200"/>
      <c r="C47" s="200"/>
      <c r="D47" s="81"/>
      <c r="E47" s="81"/>
      <c r="F47" s="81"/>
      <c r="G47" s="81"/>
      <c r="H47" s="81"/>
      <c r="I47" s="81"/>
      <c r="J47" s="81"/>
      <c r="K47" s="81"/>
      <c r="L47" s="81"/>
      <c r="M47" s="81"/>
      <c r="N47" s="81"/>
      <c r="O47" s="81"/>
      <c r="P47" s="81"/>
      <c r="Q47" s="81"/>
      <c r="R47" s="81"/>
      <c r="S47" s="81"/>
      <c r="T47" s="81"/>
      <c r="U47" s="81"/>
      <c r="V47" s="81"/>
      <c r="W47" s="81"/>
      <c r="X47" s="81"/>
      <c r="Y47" s="81"/>
      <c r="Z47" s="81"/>
      <c r="AA47" s="81"/>
      <c r="AB47" s="81"/>
      <c r="AC47" s="81"/>
      <c r="AD47" s="81"/>
      <c r="AE47" s="81"/>
      <c r="AF47" s="81"/>
      <c r="AG47" s="81"/>
      <c r="AH47" s="81"/>
      <c r="AI47" s="81"/>
      <c r="AJ47" s="81"/>
      <c r="AK47" s="81"/>
      <c r="AL47" s="81"/>
      <c r="AM47" s="81"/>
      <c r="AN47" s="81"/>
      <c r="AO47" s="81"/>
      <c r="AP47" s="81"/>
      <c r="AQ47" s="81"/>
      <c r="AR47" s="81"/>
      <c r="AS47" s="81"/>
      <c r="AT47" s="81"/>
      <c r="AU47" s="81"/>
      <c r="AV47" s="81"/>
      <c r="AW47" s="81"/>
      <c r="AX47" s="81"/>
      <c r="AY47" s="81"/>
    </row>
    <row r="48" customFormat="false" ht="15" hidden="false" customHeight="false" outlineLevel="0" collapsed="false">
      <c r="A48" s="211" t="s">
        <v>524</v>
      </c>
      <c r="B48" s="202" t="s">
        <v>36</v>
      </c>
      <c r="C48" s="204" t="n">
        <v>2020</v>
      </c>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1"/>
      <c r="AK48" s="81"/>
      <c r="AL48" s="81"/>
      <c r="AM48" s="81"/>
      <c r="AN48" s="81"/>
      <c r="AO48" s="81"/>
      <c r="AP48" s="81"/>
      <c r="AQ48" s="81"/>
      <c r="AR48" s="81"/>
      <c r="AS48" s="81"/>
      <c r="AT48" s="81"/>
      <c r="AU48" s="81"/>
      <c r="AV48" s="81"/>
      <c r="AW48" s="81"/>
      <c r="AX48" s="81"/>
      <c r="AY48" s="81"/>
    </row>
    <row r="49" customFormat="false" ht="15" hidden="false" customHeight="false" outlineLevel="0" collapsed="false">
      <c r="A49" s="211" t="s">
        <v>525</v>
      </c>
      <c r="B49" s="202" t="s">
        <v>36</v>
      </c>
      <c r="C49" s="204" t="n">
        <v>2050</v>
      </c>
      <c r="D49" s="81"/>
      <c r="E49" s="81"/>
      <c r="F49" s="81"/>
      <c r="G49" s="81"/>
      <c r="H49" s="81"/>
      <c r="I49" s="81"/>
      <c r="J49" s="81"/>
      <c r="K49" s="81"/>
      <c r="L49" s="81"/>
      <c r="M49" s="81"/>
      <c r="N49" s="81"/>
      <c r="O49" s="81"/>
      <c r="P49" s="81"/>
      <c r="Q49" s="81"/>
      <c r="R49" s="81"/>
      <c r="S49" s="81"/>
      <c r="T49" s="81"/>
      <c r="U49" s="81"/>
      <c r="V49" s="81"/>
      <c r="W49" s="81"/>
      <c r="X49" s="81"/>
      <c r="Y49" s="81"/>
      <c r="Z49" s="81"/>
      <c r="AA49" s="81"/>
      <c r="AB49" s="81"/>
      <c r="AC49" s="81"/>
      <c r="AD49" s="81"/>
      <c r="AE49" s="81"/>
      <c r="AF49" s="81"/>
      <c r="AG49" s="81"/>
      <c r="AH49" s="81"/>
      <c r="AI49" s="81"/>
      <c r="AJ49" s="81"/>
      <c r="AK49" s="81"/>
      <c r="AL49" s="81"/>
      <c r="AM49" s="81"/>
      <c r="AN49" s="81"/>
      <c r="AO49" s="81"/>
      <c r="AP49" s="81"/>
      <c r="AQ49" s="81"/>
      <c r="AR49" s="81"/>
      <c r="AS49" s="81"/>
      <c r="AT49" s="81"/>
      <c r="AU49" s="81"/>
      <c r="AV49" s="81"/>
      <c r="AW49" s="81"/>
      <c r="AX49" s="81"/>
      <c r="AY49" s="81"/>
    </row>
    <row r="50" customFormat="false" ht="15" hidden="false" customHeight="false" outlineLevel="0" collapsed="false">
      <c r="A50" s="211" t="s">
        <v>526</v>
      </c>
      <c r="B50" s="202" t="s">
        <v>513</v>
      </c>
      <c r="C50" s="227" t="n">
        <v>0.1715</v>
      </c>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1"/>
      <c r="AF50" s="81"/>
      <c r="AG50" s="81"/>
      <c r="AH50" s="81"/>
      <c r="AI50" s="81"/>
      <c r="AJ50" s="81"/>
      <c r="AK50" s="81"/>
      <c r="AL50" s="81"/>
      <c r="AM50" s="81"/>
      <c r="AN50" s="81"/>
      <c r="AO50" s="81"/>
      <c r="AP50" s="81"/>
      <c r="AQ50" s="81"/>
      <c r="AR50" s="81"/>
      <c r="AS50" s="81"/>
      <c r="AT50" s="81"/>
      <c r="AU50" s="81"/>
      <c r="AV50" s="81"/>
      <c r="AW50" s="81"/>
      <c r="AX50" s="81"/>
      <c r="AY50" s="81"/>
    </row>
    <row r="51" customFormat="false" ht="15" hidden="false" customHeight="false" outlineLevel="0" collapsed="false">
      <c r="A51" s="211" t="s">
        <v>527</v>
      </c>
      <c r="B51" s="202" t="s">
        <v>513</v>
      </c>
      <c r="C51" s="227" t="n">
        <v>0.0387</v>
      </c>
      <c r="D51" s="81"/>
      <c r="E51" s="81"/>
      <c r="F51" s="81"/>
      <c r="G51" s="81"/>
      <c r="H51" s="81"/>
      <c r="I51" s="81"/>
      <c r="J51" s="81"/>
      <c r="K51" s="81"/>
      <c r="L51" s="81"/>
      <c r="M51" s="81"/>
      <c r="N51" s="81"/>
      <c r="O51" s="81"/>
      <c r="P51" s="81"/>
      <c r="Q51" s="81"/>
      <c r="R51" s="81"/>
      <c r="S51" s="81"/>
      <c r="T51" s="81"/>
      <c r="U51" s="81"/>
      <c r="V51" s="81"/>
      <c r="W51" s="81"/>
      <c r="X51" s="81"/>
      <c r="Y51" s="81"/>
      <c r="Z51" s="81"/>
      <c r="AA51" s="81"/>
      <c r="AB51" s="81"/>
      <c r="AC51" s="81"/>
      <c r="AD51" s="81"/>
      <c r="AE51" s="81"/>
      <c r="AF51" s="81"/>
      <c r="AG51" s="81"/>
      <c r="AH51" s="81"/>
      <c r="AI51" s="81"/>
      <c r="AJ51" s="81"/>
      <c r="AK51" s="81"/>
      <c r="AL51" s="81"/>
      <c r="AM51" s="81"/>
      <c r="AN51" s="81"/>
      <c r="AO51" s="81"/>
      <c r="AP51" s="81"/>
      <c r="AQ51" s="81"/>
      <c r="AR51" s="81"/>
      <c r="AS51" s="81"/>
      <c r="AT51" s="81"/>
      <c r="AU51" s="81"/>
      <c r="AV51" s="81"/>
      <c r="AW51" s="81"/>
      <c r="AX51" s="81"/>
      <c r="AY51" s="81"/>
    </row>
    <row r="52" customFormat="false" ht="15" hidden="false" customHeight="false" outlineLevel="0" collapsed="false">
      <c r="A52" s="216" t="s">
        <v>528</v>
      </c>
      <c r="B52" s="205" t="s">
        <v>513</v>
      </c>
      <c r="C52" s="229" t="n">
        <v>0.01</v>
      </c>
      <c r="D52" s="229" t="n">
        <v>-0.0628</v>
      </c>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1"/>
      <c r="AJ52" s="81"/>
      <c r="AK52" s="81"/>
      <c r="AL52" s="81"/>
      <c r="AM52" s="81"/>
      <c r="AN52" s="81"/>
      <c r="AO52" s="81"/>
      <c r="AP52" s="81"/>
      <c r="AQ52" s="81"/>
      <c r="AR52" s="81"/>
      <c r="AS52" s="81"/>
      <c r="AT52" s="81"/>
      <c r="AU52" s="81"/>
      <c r="AV52" s="81"/>
      <c r="AW52" s="81"/>
      <c r="AX52" s="81"/>
      <c r="AY52" s="81"/>
    </row>
    <row r="53" customFormat="false" ht="17.35" hidden="false" customHeight="false" outlineLevel="0" collapsed="false">
      <c r="A53" s="200" t="s">
        <v>529</v>
      </c>
      <c r="B53" s="200"/>
      <c r="C53" s="200"/>
      <c r="D53" s="81"/>
      <c r="E53" s="81"/>
      <c r="F53" s="81"/>
      <c r="G53" s="81"/>
      <c r="H53" s="81"/>
      <c r="I53" s="81"/>
      <c r="J53" s="81"/>
      <c r="K53" s="81"/>
      <c r="L53" s="81"/>
      <c r="M53" s="81"/>
      <c r="N53" s="81"/>
      <c r="O53" s="81"/>
      <c r="P53" s="81"/>
      <c r="Q53" s="81"/>
      <c r="R53" s="81"/>
      <c r="S53" s="81"/>
      <c r="T53" s="81"/>
      <c r="U53" s="81"/>
      <c r="V53" s="81"/>
      <c r="W53" s="81"/>
      <c r="X53" s="81"/>
      <c r="Y53" s="81"/>
      <c r="Z53" s="81"/>
      <c r="AA53" s="81"/>
      <c r="AB53" s="81"/>
      <c r="AC53" s="81"/>
      <c r="AD53" s="81"/>
      <c r="AE53" s="81"/>
      <c r="AF53" s="81"/>
      <c r="AG53" s="81"/>
      <c r="AH53" s="81"/>
      <c r="AI53" s="81"/>
      <c r="AJ53" s="81"/>
      <c r="AK53" s="81"/>
      <c r="AL53" s="81"/>
      <c r="AM53" s="81"/>
      <c r="AN53" s="81"/>
      <c r="AO53" s="81"/>
      <c r="AP53" s="81"/>
      <c r="AQ53" s="81"/>
      <c r="AR53" s="81"/>
      <c r="AS53" s="81"/>
      <c r="AT53" s="81"/>
      <c r="AU53" s="81"/>
      <c r="AV53" s="81"/>
      <c r="AW53" s="81"/>
      <c r="AX53" s="81"/>
      <c r="AY53" s="81"/>
      <c r="AZ53" s="81"/>
    </row>
    <row r="54" customFormat="false" ht="15" hidden="false" customHeight="false" outlineLevel="0" collapsed="false">
      <c r="A54" s="230" t="s">
        <v>530</v>
      </c>
      <c r="B54" s="202" t="s">
        <v>36</v>
      </c>
      <c r="C54" s="203" t="n">
        <v>2050</v>
      </c>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1"/>
      <c r="AF54" s="81"/>
      <c r="AG54" s="81"/>
      <c r="AH54" s="81"/>
      <c r="AI54" s="81"/>
      <c r="AJ54" s="81"/>
      <c r="AK54" s="81"/>
      <c r="AL54" s="81"/>
      <c r="AM54" s="81"/>
      <c r="AN54" s="81"/>
      <c r="AO54" s="81"/>
      <c r="AP54" s="81"/>
      <c r="AQ54" s="81"/>
      <c r="AR54" s="81"/>
      <c r="AS54" s="81"/>
      <c r="AT54" s="81"/>
      <c r="AU54" s="81"/>
      <c r="AV54" s="81"/>
      <c r="AW54" s="81"/>
      <c r="AX54" s="81"/>
      <c r="AY54" s="81"/>
      <c r="AZ54" s="81"/>
    </row>
    <row r="55" customFormat="false" ht="15" hidden="false" customHeight="false" outlineLevel="0" collapsed="false">
      <c r="A55" s="230" t="s">
        <v>531</v>
      </c>
      <c r="B55" s="202" t="s">
        <v>532</v>
      </c>
      <c r="C55" s="231" t="n">
        <v>0</v>
      </c>
      <c r="D55" s="81"/>
      <c r="E55" s="81"/>
      <c r="F55" s="81"/>
      <c r="G55" s="81"/>
      <c r="H55" s="81"/>
      <c r="I55" s="81"/>
      <c r="J55" s="81"/>
      <c r="K55" s="81"/>
      <c r="L55" s="81"/>
      <c r="M55" s="81"/>
      <c r="N55" s="81"/>
      <c r="O55" s="81"/>
      <c r="P55" s="81"/>
      <c r="Q55" s="81"/>
      <c r="R55" s="81"/>
      <c r="S55" s="81"/>
      <c r="T55" s="81"/>
      <c r="U55" s="81"/>
      <c r="V55" s="81"/>
      <c r="W55" s="81"/>
      <c r="X55" s="81"/>
      <c r="Y55" s="81"/>
      <c r="Z55" s="81"/>
      <c r="AA55" s="81"/>
      <c r="AB55" s="81"/>
      <c r="AC55" s="81"/>
      <c r="AD55" s="81"/>
      <c r="AE55" s="81"/>
      <c r="AF55" s="81"/>
      <c r="AG55" s="81"/>
      <c r="AH55" s="81"/>
      <c r="AI55" s="81"/>
      <c r="AJ55" s="81"/>
      <c r="AK55" s="81"/>
      <c r="AL55" s="81"/>
      <c r="AM55" s="81"/>
      <c r="AN55" s="81"/>
      <c r="AO55" s="81"/>
      <c r="AP55" s="81"/>
      <c r="AQ55" s="81"/>
      <c r="AR55" s="81"/>
      <c r="AS55" s="81"/>
      <c r="AT55" s="81"/>
      <c r="AU55" s="81"/>
      <c r="AV55" s="81"/>
      <c r="AW55" s="81"/>
      <c r="AX55" s="81"/>
      <c r="AY55" s="81"/>
      <c r="AZ55" s="81"/>
    </row>
    <row r="56" customFormat="false" ht="15" hidden="false" customHeight="false" outlineLevel="0" collapsed="false">
      <c r="A56" s="230" t="s">
        <v>533</v>
      </c>
      <c r="B56" s="202" t="s">
        <v>532</v>
      </c>
      <c r="C56" s="231" t="n">
        <v>0</v>
      </c>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1"/>
      <c r="AX56" s="81"/>
      <c r="AY56" s="81"/>
      <c r="AZ56" s="81"/>
    </row>
    <row r="57" customFormat="false" ht="15" hidden="false" customHeight="false" outlineLevel="0" collapsed="false">
      <c r="A57" s="230" t="s">
        <v>534</v>
      </c>
      <c r="B57" s="202" t="s">
        <v>532</v>
      </c>
      <c r="C57" s="231" t="n">
        <v>0.1</v>
      </c>
      <c r="D57" s="81"/>
      <c r="E57" s="81"/>
      <c r="F57" s="81"/>
      <c r="G57" s="81"/>
      <c r="H57" s="81"/>
      <c r="I57" s="81"/>
      <c r="J57" s="81"/>
      <c r="K57" s="81"/>
      <c r="L57" s="81"/>
      <c r="M57" s="81"/>
      <c r="N57" s="81"/>
      <c r="O57" s="81"/>
      <c r="P57" s="81"/>
      <c r="Q57" s="81"/>
      <c r="R57" s="81"/>
      <c r="S57" s="81"/>
      <c r="T57" s="81"/>
      <c r="U57" s="81"/>
      <c r="V57" s="81"/>
      <c r="W57" s="81"/>
      <c r="X57" s="81"/>
      <c r="Y57" s="81"/>
      <c r="Z57" s="81"/>
      <c r="AA57" s="81"/>
      <c r="AB57" s="81"/>
      <c r="AC57" s="81"/>
      <c r="AD57" s="81"/>
      <c r="AE57" s="81"/>
      <c r="AF57" s="81"/>
      <c r="AG57" s="81"/>
      <c r="AH57" s="81"/>
      <c r="AI57" s="81"/>
      <c r="AJ57" s="81"/>
      <c r="AK57" s="81"/>
      <c r="AL57" s="81"/>
      <c r="AM57" s="81"/>
      <c r="AN57" s="81"/>
      <c r="AO57" s="81"/>
      <c r="AP57" s="81"/>
      <c r="AQ57" s="81"/>
      <c r="AR57" s="81"/>
      <c r="AS57" s="81"/>
      <c r="AT57" s="81"/>
      <c r="AU57" s="81"/>
      <c r="AV57" s="81"/>
      <c r="AW57" s="81"/>
      <c r="AX57" s="81"/>
      <c r="AY57" s="81"/>
      <c r="AZ57" s="81"/>
    </row>
    <row r="58" customFormat="false" ht="15" hidden="false" customHeight="false" outlineLevel="0" collapsed="false">
      <c r="A58" s="230" t="s">
        <v>535</v>
      </c>
      <c r="B58" s="202" t="s">
        <v>532</v>
      </c>
      <c r="C58" s="231" t="n">
        <v>0.5</v>
      </c>
      <c r="D58" s="81"/>
      <c r="E58" s="81"/>
      <c r="F58" s="81"/>
      <c r="G58" s="81"/>
      <c r="H58" s="81"/>
      <c r="I58" s="81"/>
      <c r="J58" s="81"/>
      <c r="K58" s="81"/>
      <c r="L58" s="81"/>
      <c r="M58" s="81"/>
      <c r="N58" s="81"/>
      <c r="O58" s="81"/>
      <c r="P58" s="81"/>
      <c r="Q58" s="81"/>
      <c r="R58" s="81"/>
      <c r="S58" s="81"/>
      <c r="T58" s="81"/>
      <c r="U58" s="81"/>
      <c r="V58" s="81"/>
      <c r="W58" s="81"/>
      <c r="X58" s="81"/>
      <c r="Y58" s="81"/>
      <c r="Z58" s="81"/>
      <c r="AA58" s="81"/>
      <c r="AB58" s="81"/>
      <c r="AC58" s="81"/>
      <c r="AD58" s="81"/>
      <c r="AE58" s="81"/>
      <c r="AF58" s="81"/>
      <c r="AG58" s="81"/>
      <c r="AH58" s="81"/>
      <c r="AI58" s="81"/>
      <c r="AJ58" s="81"/>
      <c r="AK58" s="81"/>
      <c r="AL58" s="81"/>
      <c r="AM58" s="81"/>
      <c r="AN58" s="81"/>
      <c r="AO58" s="81"/>
      <c r="AP58" s="81"/>
      <c r="AQ58" s="81"/>
      <c r="AR58" s="81"/>
      <c r="AS58" s="81"/>
      <c r="AT58" s="81"/>
      <c r="AU58" s="81"/>
      <c r="AV58" s="81"/>
      <c r="AW58" s="81"/>
      <c r="AX58" s="81"/>
      <c r="AY58" s="81"/>
      <c r="AZ58" s="81"/>
    </row>
    <row r="59" customFormat="false" ht="15" hidden="false" customHeight="false" outlineLevel="0" collapsed="false">
      <c r="A59" s="81"/>
      <c r="B59" s="81"/>
      <c r="C59" s="81"/>
      <c r="D59" s="81"/>
      <c r="E59" s="81"/>
      <c r="F59" s="81"/>
      <c r="G59" s="81"/>
      <c r="H59" s="81"/>
      <c r="I59" s="81"/>
      <c r="J59" s="81"/>
      <c r="K59" s="81"/>
      <c r="L59" s="81"/>
      <c r="M59" s="81"/>
      <c r="N59" s="81"/>
      <c r="O59" s="81"/>
      <c r="P59" s="81"/>
      <c r="Q59" s="81"/>
      <c r="R59" s="81"/>
      <c r="S59" s="81"/>
      <c r="T59" s="81"/>
      <c r="U59" s="81"/>
      <c r="V59" s="81"/>
      <c r="W59" s="81"/>
      <c r="X59" s="81"/>
      <c r="Y59" s="81"/>
      <c r="Z59" s="81"/>
      <c r="AA59" s="81"/>
      <c r="AB59" s="81"/>
      <c r="AC59" s="81"/>
      <c r="AD59" s="81"/>
      <c r="AE59" s="81"/>
      <c r="AF59" s="81"/>
      <c r="AG59" s="81"/>
      <c r="AH59" s="81"/>
      <c r="AI59" s="81"/>
      <c r="AJ59" s="81"/>
      <c r="AK59" s="81"/>
      <c r="AL59" s="81"/>
      <c r="AM59" s="81"/>
      <c r="AN59" s="81"/>
      <c r="AO59" s="81"/>
      <c r="AP59" s="81"/>
      <c r="AQ59" s="81"/>
      <c r="AR59" s="81"/>
      <c r="AS59" s="81"/>
      <c r="AT59" s="81"/>
      <c r="AU59" s="81"/>
      <c r="AV59" s="81"/>
      <c r="AW59" s="81"/>
      <c r="AX59" s="81"/>
      <c r="AY59" s="81"/>
      <c r="AZ59" s="81"/>
    </row>
    <row r="60" customFormat="false" ht="17.35" hidden="false" customHeight="false" outlineLevel="0" collapsed="false">
      <c r="A60" s="200" t="s">
        <v>536</v>
      </c>
      <c r="B60" s="200"/>
      <c r="C60" s="200"/>
      <c r="D60" s="200"/>
      <c r="E60" s="200"/>
      <c r="F60" s="200"/>
      <c r="G60" s="200"/>
      <c r="H60" s="200"/>
      <c r="I60" s="200"/>
    </row>
    <row r="61" customFormat="false" ht="15" hidden="false" customHeight="false" outlineLevel="0" collapsed="false">
      <c r="A61" s="230" t="s">
        <v>36</v>
      </c>
      <c r="B61" s="202" t="s">
        <v>36</v>
      </c>
      <c r="C61" s="232" t="n">
        <v>2020</v>
      </c>
      <c r="D61" s="232" t="n">
        <v>2025</v>
      </c>
      <c r="E61" s="232" t="n">
        <v>2030</v>
      </c>
      <c r="F61" s="232" t="n">
        <v>2035</v>
      </c>
      <c r="G61" s="232" t="n">
        <v>2040</v>
      </c>
      <c r="H61" s="232" t="n">
        <v>2045</v>
      </c>
      <c r="I61" s="233" t="n">
        <v>2050</v>
      </c>
    </row>
    <row r="62" customFormat="false" ht="15" hidden="false" customHeight="false" outlineLevel="0" collapsed="false">
      <c r="A62" s="230" t="s">
        <v>537</v>
      </c>
      <c r="B62" s="202" t="s">
        <v>146</v>
      </c>
      <c r="C62" s="234" t="n">
        <v>0</v>
      </c>
      <c r="D62" s="234" t="n">
        <v>0</v>
      </c>
      <c r="E62" s="234" t="n">
        <v>0</v>
      </c>
      <c r="F62" s="234" t="n">
        <v>0</v>
      </c>
      <c r="G62" s="234" t="n">
        <v>0</v>
      </c>
      <c r="H62" s="234" t="n">
        <v>0</v>
      </c>
      <c r="I62" s="234" t="n">
        <v>0</v>
      </c>
      <c r="J62" s="221"/>
      <c r="K62" s="221"/>
    </row>
    <row r="63" customFormat="false" ht="15" hidden="false" customHeight="false" outlineLevel="0" collapsed="false">
      <c r="A63" s="230" t="s">
        <v>538</v>
      </c>
      <c r="B63" s="202" t="s">
        <v>146</v>
      </c>
      <c r="C63" s="234" t="n">
        <v>0</v>
      </c>
      <c r="D63" s="234" t="n">
        <v>0</v>
      </c>
      <c r="E63" s="234" t="n">
        <v>0.00189148985353949</v>
      </c>
      <c r="F63" s="234" t="n">
        <v>0.482964256198595</v>
      </c>
      <c r="G63" s="234" t="n">
        <v>1.23853129255308</v>
      </c>
      <c r="H63" s="234" t="n">
        <v>2.86141754184028</v>
      </c>
      <c r="I63" s="234" t="n">
        <v>2.81340799792693</v>
      </c>
      <c r="J63" s="221"/>
      <c r="K63" s="221"/>
    </row>
    <row r="64" customFormat="false" ht="15" hidden="false" customHeight="false" outlineLevel="0" collapsed="false">
      <c r="A64" s="230" t="s">
        <v>539</v>
      </c>
      <c r="B64" s="202" t="s">
        <v>146</v>
      </c>
      <c r="C64" s="234" t="n">
        <v>4.41217077793692E-005</v>
      </c>
      <c r="D64" s="234" t="n">
        <v>0.000751828466159761</v>
      </c>
      <c r="E64" s="234" t="n">
        <v>0.0152316875119172</v>
      </c>
      <c r="F64" s="234" t="n">
        <v>0.138807762777472</v>
      </c>
      <c r="G64" s="234" t="n">
        <v>0.868480719185939</v>
      </c>
      <c r="H64" s="234" t="n">
        <v>1.87867682957348</v>
      </c>
      <c r="I64" s="234" t="n">
        <v>2.78389156693196</v>
      </c>
    </row>
    <row r="65" customFormat="false" ht="15" hidden="false" customHeight="false" outlineLevel="0" collapsed="false">
      <c r="A65" s="230" t="s">
        <v>540</v>
      </c>
      <c r="B65" s="202" t="s">
        <v>146</v>
      </c>
      <c r="C65" s="234" t="n">
        <v>0</v>
      </c>
      <c r="D65" s="234" t="n">
        <v>0</v>
      </c>
      <c r="E65" s="234" t="n">
        <v>0</v>
      </c>
      <c r="F65" s="234" t="n">
        <v>0</v>
      </c>
      <c r="G65" s="234" t="n">
        <v>0</v>
      </c>
      <c r="H65" s="234" t="n">
        <v>0</v>
      </c>
      <c r="I65" s="234" t="n">
        <v>0</v>
      </c>
    </row>
    <row r="66" customFormat="false" ht="15" hidden="false" customHeight="false" outlineLevel="0" collapsed="false">
      <c r="A66" s="81"/>
      <c r="B66" s="81"/>
      <c r="C66" s="81"/>
      <c r="D66" s="81"/>
      <c r="E66" s="81"/>
      <c r="F66" s="81"/>
      <c r="G66" s="81"/>
      <c r="H66" s="81"/>
      <c r="I66" s="81"/>
      <c r="J66" s="81"/>
      <c r="K66" s="81"/>
      <c r="L66" s="81"/>
      <c r="M66" s="81"/>
      <c r="N66" s="81"/>
      <c r="O66" s="81"/>
      <c r="P66" s="81"/>
      <c r="Q66" s="81"/>
      <c r="R66" s="81"/>
      <c r="S66" s="81"/>
      <c r="T66" s="81"/>
      <c r="U66" s="81"/>
      <c r="V66" s="81"/>
      <c r="W66" s="81"/>
      <c r="X66" s="81"/>
      <c r="Y66" s="81"/>
      <c r="Z66" s="81"/>
      <c r="AA66" s="81"/>
      <c r="AB66" s="81"/>
      <c r="AC66" s="81"/>
      <c r="AD66" s="81"/>
      <c r="AE66" s="81"/>
      <c r="AF66" s="81"/>
      <c r="AG66" s="81"/>
      <c r="AH66" s="81"/>
      <c r="AI66" s="81"/>
      <c r="AJ66" s="81"/>
      <c r="AK66" s="81"/>
      <c r="AL66" s="81"/>
      <c r="AM66" s="81"/>
      <c r="AN66" s="81"/>
      <c r="AO66" s="81"/>
      <c r="AP66" s="81"/>
      <c r="AQ66" s="81"/>
      <c r="AR66" s="81"/>
      <c r="AS66" s="81"/>
      <c r="AT66" s="81"/>
      <c r="AU66" s="81"/>
      <c r="AV66" s="81"/>
      <c r="AW66" s="81"/>
      <c r="AX66" s="81"/>
      <c r="AY66" s="81"/>
      <c r="AZ66" s="81"/>
    </row>
    <row r="67" customFormat="false" ht="15" hidden="false" customHeight="false" outlineLevel="0" collapsed="false">
      <c r="A67" s="81"/>
      <c r="B67" s="81"/>
      <c r="C67" s="81"/>
      <c r="D67" s="81"/>
      <c r="E67" s="81"/>
      <c r="F67" s="81"/>
      <c r="G67" s="81"/>
      <c r="H67" s="81"/>
      <c r="I67" s="81"/>
      <c r="J67" s="81"/>
      <c r="K67" s="81"/>
      <c r="L67" s="81"/>
      <c r="M67" s="81"/>
      <c r="N67" s="81"/>
      <c r="O67" s="81"/>
      <c r="P67" s="81"/>
      <c r="Q67" s="81"/>
      <c r="R67" s="81"/>
      <c r="S67" s="81"/>
      <c r="T67" s="81"/>
      <c r="U67" s="81"/>
      <c r="V67" s="81"/>
      <c r="W67" s="81"/>
      <c r="X67" s="81"/>
      <c r="Y67" s="81"/>
      <c r="Z67" s="81"/>
      <c r="AA67" s="81"/>
      <c r="AB67" s="81"/>
      <c r="AC67" s="81"/>
      <c r="AD67" s="81"/>
      <c r="AE67" s="81"/>
      <c r="AF67" s="81"/>
      <c r="AG67" s="81"/>
      <c r="AH67" s="81"/>
      <c r="AI67" s="81"/>
      <c r="AJ67" s="81"/>
      <c r="AK67" s="81"/>
      <c r="AL67" s="81"/>
      <c r="AM67" s="81"/>
      <c r="AN67" s="81"/>
      <c r="AO67" s="81"/>
      <c r="AP67" s="81"/>
      <c r="AQ67" s="81"/>
      <c r="AR67" s="81"/>
      <c r="AS67" s="81"/>
      <c r="AT67" s="81"/>
      <c r="AU67" s="81"/>
      <c r="AV67" s="81"/>
      <c r="AW67" s="81"/>
      <c r="AX67" s="81"/>
      <c r="AY67" s="81"/>
      <c r="AZ67" s="81"/>
    </row>
    <row r="68" customFormat="false" ht="24.45" hidden="false" customHeight="false" outlineLevel="0" collapsed="false">
      <c r="A68" s="199" t="s">
        <v>541</v>
      </c>
      <c r="D68" s="81"/>
      <c r="E68" s="81"/>
      <c r="F68" s="81"/>
      <c r="G68" s="81"/>
      <c r="H68" s="81"/>
      <c r="I68" s="81"/>
      <c r="J68" s="81"/>
      <c r="K68" s="81"/>
      <c r="L68" s="81"/>
      <c r="M68" s="81"/>
      <c r="N68" s="81"/>
      <c r="O68" s="81"/>
      <c r="P68" s="81"/>
      <c r="Q68" s="81"/>
      <c r="R68" s="81"/>
      <c r="S68" s="81"/>
      <c r="T68" s="81"/>
      <c r="U68" s="81"/>
      <c r="V68" s="81"/>
      <c r="W68" s="81"/>
      <c r="X68" s="81"/>
      <c r="Y68" s="81"/>
      <c r="Z68" s="81"/>
      <c r="AA68" s="81"/>
      <c r="AB68" s="81"/>
      <c r="AC68" s="81"/>
      <c r="AD68" s="81"/>
      <c r="AE68" s="81"/>
      <c r="AF68" s="81"/>
      <c r="AG68" s="81"/>
      <c r="AH68" s="81"/>
      <c r="AI68" s="81"/>
      <c r="AJ68" s="81"/>
      <c r="AK68" s="81"/>
      <c r="AL68" s="81"/>
      <c r="AM68" s="81"/>
      <c r="AN68" s="81"/>
      <c r="AO68" s="81"/>
      <c r="AP68" s="81"/>
      <c r="AQ68" s="81"/>
      <c r="AR68" s="81"/>
      <c r="AS68" s="81"/>
      <c r="AT68" s="81"/>
      <c r="AU68" s="81"/>
      <c r="AV68" s="81"/>
      <c r="AW68" s="81"/>
      <c r="AX68" s="81"/>
      <c r="AY68" s="81"/>
    </row>
    <row r="69" customFormat="false" ht="15.75" hidden="false" customHeight="true" outlineLevel="0" collapsed="false">
      <c r="A69" s="235" t="s">
        <v>168</v>
      </c>
      <c r="B69" s="236"/>
      <c r="C69" s="237"/>
      <c r="D69" s="81"/>
      <c r="E69" s="81"/>
      <c r="F69" s="81"/>
      <c r="G69" s="81"/>
      <c r="H69" s="81"/>
      <c r="I69" s="81"/>
      <c r="J69" s="81"/>
      <c r="K69" s="81"/>
      <c r="L69" s="81"/>
      <c r="M69" s="81"/>
      <c r="N69" s="81"/>
      <c r="O69" s="81"/>
      <c r="P69" s="81"/>
      <c r="Q69" s="81"/>
      <c r="R69" s="81"/>
      <c r="S69" s="81"/>
      <c r="T69" s="81"/>
      <c r="U69" s="81"/>
      <c r="V69" s="81"/>
      <c r="W69" s="81"/>
      <c r="X69" s="81"/>
      <c r="Y69" s="81"/>
      <c r="Z69" s="81"/>
      <c r="AA69" s="81"/>
      <c r="AB69" s="81"/>
      <c r="AC69" s="81"/>
      <c r="AD69" s="81"/>
      <c r="AE69" s="81"/>
      <c r="AF69" s="81"/>
      <c r="AG69" s="81"/>
      <c r="AH69" s="81"/>
      <c r="AI69" s="81"/>
      <c r="AJ69" s="81"/>
      <c r="AK69" s="81"/>
      <c r="AL69" s="81"/>
      <c r="AM69" s="81"/>
      <c r="AN69" s="81"/>
      <c r="AO69" s="81"/>
      <c r="AP69" s="81"/>
      <c r="AQ69" s="81"/>
      <c r="AR69" s="81"/>
      <c r="AS69" s="81"/>
      <c r="AT69" s="81"/>
      <c r="AU69" s="81"/>
      <c r="AV69" s="81"/>
      <c r="AW69" s="81"/>
      <c r="AX69" s="81"/>
      <c r="AY69" s="81"/>
    </row>
    <row r="70" customFormat="false" ht="15" hidden="false" customHeight="true" outlineLevel="0" collapsed="false">
      <c r="A70" s="238" t="s">
        <v>187</v>
      </c>
      <c r="B70" s="202" t="s">
        <v>169</v>
      </c>
      <c r="C70" s="204" t="n">
        <v>0</v>
      </c>
      <c r="D70" s="81"/>
      <c r="E70" s="81"/>
      <c r="F70" s="81"/>
      <c r="G70" s="81"/>
      <c r="H70" s="81"/>
      <c r="I70" s="81"/>
      <c r="J70" s="81"/>
      <c r="K70" s="81"/>
      <c r="L70" s="81"/>
      <c r="M70" s="81"/>
      <c r="N70" s="81"/>
      <c r="O70" s="81"/>
      <c r="P70" s="81"/>
      <c r="Q70" s="81"/>
      <c r="R70" s="81"/>
      <c r="S70" s="81"/>
      <c r="T70" s="81"/>
      <c r="U70" s="81"/>
      <c r="V70" s="81"/>
      <c r="W70" s="81"/>
      <c r="X70" s="81"/>
      <c r="Y70" s="81"/>
      <c r="Z70" s="81"/>
      <c r="AA70" s="81"/>
      <c r="AB70" s="81"/>
      <c r="AC70" s="81"/>
      <c r="AD70" s="81"/>
      <c r="AE70" s="81"/>
      <c r="AF70" s="81"/>
      <c r="AG70" s="81"/>
      <c r="AH70" s="81"/>
      <c r="AI70" s="81"/>
      <c r="AJ70" s="81"/>
      <c r="AK70" s="81"/>
      <c r="AL70" s="81"/>
      <c r="AM70" s="81"/>
      <c r="AN70" s="81"/>
      <c r="AO70" s="81"/>
      <c r="AP70" s="81"/>
      <c r="AQ70" s="81"/>
      <c r="AR70" s="81"/>
      <c r="AS70" s="81"/>
      <c r="AT70" s="81"/>
      <c r="AU70" s="81"/>
      <c r="AV70" s="81"/>
      <c r="AW70" s="81"/>
      <c r="AX70" s="81"/>
      <c r="AY70" s="81"/>
    </row>
    <row r="71" customFormat="false" ht="15" hidden="false" customHeight="false" outlineLevel="0" collapsed="false">
      <c r="A71" s="238"/>
      <c r="B71" s="205" t="s">
        <v>542</v>
      </c>
      <c r="C71" s="229" t="n">
        <v>0.1</v>
      </c>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1"/>
      <c r="AF71" s="81"/>
      <c r="AG71" s="81"/>
      <c r="AH71" s="81"/>
      <c r="AI71" s="81"/>
      <c r="AJ71" s="81"/>
      <c r="AK71" s="81"/>
      <c r="AL71" s="81"/>
      <c r="AM71" s="81"/>
      <c r="AN71" s="81"/>
      <c r="AO71" s="81"/>
      <c r="AP71" s="81"/>
      <c r="AQ71" s="81"/>
      <c r="AR71" s="81"/>
      <c r="AS71" s="81"/>
      <c r="AT71" s="81"/>
      <c r="AU71" s="81"/>
      <c r="AV71" s="81"/>
      <c r="AW71" s="81"/>
      <c r="AX71" s="81"/>
      <c r="AY71" s="81"/>
    </row>
    <row r="72" customFormat="false" ht="15" hidden="false" customHeight="false" outlineLevel="0" collapsed="false">
      <c r="A72" s="81"/>
      <c r="B72" s="81"/>
      <c r="C72" s="81"/>
      <c r="D72" s="81"/>
      <c r="E72" s="81"/>
      <c r="F72" s="81"/>
      <c r="G72" s="81"/>
      <c r="H72" s="81"/>
      <c r="I72" s="81"/>
      <c r="J72" s="81"/>
      <c r="K72" s="81"/>
      <c r="L72" s="81"/>
      <c r="M72" s="81"/>
      <c r="N72" s="81"/>
      <c r="O72" s="81"/>
      <c r="P72" s="81"/>
      <c r="Q72" s="81"/>
      <c r="R72" s="81"/>
      <c r="S72" s="81"/>
      <c r="T72" s="81"/>
      <c r="U72" s="81"/>
      <c r="V72" s="81"/>
      <c r="W72" s="81"/>
      <c r="X72" s="81"/>
      <c r="Y72" s="81"/>
      <c r="Z72" s="81"/>
      <c r="AA72" s="81"/>
      <c r="AB72" s="81"/>
      <c r="AC72" s="81"/>
      <c r="AD72" s="81"/>
      <c r="AE72" s="81"/>
      <c r="AF72" s="81"/>
      <c r="AG72" s="81"/>
      <c r="AH72" s="81"/>
      <c r="AI72" s="81"/>
      <c r="AJ72" s="81"/>
      <c r="AK72" s="81"/>
      <c r="AL72" s="81"/>
      <c r="AM72" s="81"/>
      <c r="AN72" s="81"/>
      <c r="AO72" s="81"/>
      <c r="AP72" s="81"/>
      <c r="AQ72" s="81"/>
      <c r="AR72" s="81"/>
      <c r="AS72" s="81"/>
      <c r="AT72" s="81"/>
      <c r="AU72" s="81"/>
      <c r="AV72" s="81"/>
      <c r="AW72" s="81"/>
      <c r="AX72" s="81"/>
      <c r="AY72" s="81"/>
      <c r="AZ72" s="81"/>
    </row>
    <row r="73" customFormat="false" ht="15.75" hidden="false" customHeight="true" outlineLevel="0" collapsed="false">
      <c r="A73" s="200" t="s">
        <v>192</v>
      </c>
      <c r="B73" s="200"/>
      <c r="C73" s="200"/>
      <c r="D73" s="81"/>
      <c r="E73" s="81"/>
      <c r="F73" s="81"/>
      <c r="G73" s="81"/>
      <c r="H73" s="81"/>
      <c r="I73" s="81"/>
      <c r="J73" s="81"/>
      <c r="K73" s="81"/>
      <c r="L73" s="81"/>
      <c r="M73" s="81"/>
      <c r="N73" s="81"/>
      <c r="O73" s="81"/>
      <c r="P73" s="81"/>
      <c r="Q73" s="81"/>
      <c r="R73" s="81"/>
      <c r="S73" s="81"/>
      <c r="T73" s="81"/>
      <c r="U73" s="81"/>
      <c r="V73" s="81"/>
      <c r="W73" s="81"/>
      <c r="X73" s="81"/>
      <c r="Y73" s="81"/>
      <c r="Z73" s="81"/>
      <c r="AA73" s="81"/>
      <c r="AB73" s="81"/>
      <c r="AC73" s="81"/>
      <c r="AD73" s="81"/>
      <c r="AE73" s="81"/>
      <c r="AF73" s="81"/>
      <c r="AG73" s="81"/>
      <c r="AH73" s="81"/>
      <c r="AI73" s="81"/>
      <c r="AJ73" s="81"/>
      <c r="AK73" s="81"/>
      <c r="AL73" s="81"/>
      <c r="AM73" s="81"/>
      <c r="AN73" s="81"/>
      <c r="AO73" s="81"/>
      <c r="AP73" s="81"/>
      <c r="AQ73" s="81"/>
      <c r="AR73" s="81"/>
      <c r="AS73" s="81"/>
      <c r="AT73" s="81"/>
      <c r="AU73" s="81"/>
      <c r="AV73" s="81"/>
      <c r="AW73" s="81"/>
      <c r="AX73" s="81"/>
      <c r="AY73" s="81"/>
    </row>
    <row r="74" customFormat="false" ht="15" hidden="false" customHeight="true" outlineLevel="0" collapsed="false">
      <c r="A74" s="238" t="s">
        <v>208</v>
      </c>
      <c r="B74" s="202" t="s">
        <v>193</v>
      </c>
      <c r="C74" s="204" t="n">
        <v>0</v>
      </c>
      <c r="D74" s="81"/>
      <c r="E74" s="81"/>
      <c r="F74" s="81"/>
      <c r="G74" s="81"/>
      <c r="H74" s="81"/>
      <c r="I74" s="81"/>
      <c r="J74" s="81"/>
      <c r="K74" s="81"/>
      <c r="L74" s="81"/>
      <c r="M74" s="81"/>
      <c r="N74" s="81"/>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row>
    <row r="75" customFormat="false" ht="15" hidden="false" customHeight="false" outlineLevel="0" collapsed="false">
      <c r="A75" s="238"/>
      <c r="B75" s="205" t="s">
        <v>543</v>
      </c>
      <c r="C75" s="229" t="n">
        <v>-0.08</v>
      </c>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row>
    <row r="76" customFormat="false" ht="14.25" hidden="false" customHeight="true" outlineLevel="0" collapsed="false">
      <c r="A76" s="81"/>
      <c r="B76" s="81"/>
      <c r="C76" s="81"/>
      <c r="E76" s="81"/>
      <c r="F76" s="81"/>
      <c r="G76" s="81"/>
      <c r="H76" s="81"/>
      <c r="I76" s="81"/>
      <c r="J76" s="81"/>
      <c r="K76" s="81"/>
      <c r="L76" s="81"/>
      <c r="M76" s="81"/>
      <c r="N76" s="81"/>
      <c r="O76" s="81"/>
      <c r="P76" s="81"/>
      <c r="Q76" s="81"/>
      <c r="R76" s="81"/>
      <c r="S76" s="81"/>
      <c r="T76" s="81"/>
      <c r="U76" s="81"/>
      <c r="V76" s="81"/>
      <c r="W76" s="81"/>
      <c r="X76" s="81"/>
      <c r="Y76" s="81"/>
      <c r="Z76" s="81"/>
      <c r="AA76" s="81"/>
      <c r="AB76" s="81"/>
      <c r="AC76" s="81"/>
      <c r="AD76" s="81"/>
      <c r="AE76" s="81"/>
      <c r="AF76" s="81"/>
      <c r="AG76" s="81"/>
      <c r="AH76" s="81"/>
      <c r="AI76" s="81"/>
      <c r="AJ76" s="81"/>
      <c r="AK76" s="81"/>
      <c r="AL76" s="81"/>
      <c r="AM76" s="81"/>
      <c r="AN76" s="81"/>
      <c r="AO76" s="81"/>
      <c r="AP76" s="81"/>
      <c r="AQ76" s="81"/>
      <c r="AR76" s="81"/>
      <c r="AS76" s="81"/>
      <c r="AT76" s="81"/>
      <c r="AU76" s="81"/>
      <c r="AV76" s="81"/>
      <c r="AW76" s="81"/>
      <c r="AX76" s="81"/>
      <c r="AY76" s="81"/>
    </row>
    <row r="77" customFormat="false" ht="17.35" hidden="false" customHeight="false" outlineLevel="0" collapsed="false">
      <c r="A77" s="239" t="s">
        <v>228</v>
      </c>
      <c r="B77" s="239"/>
      <c r="C77" s="239"/>
      <c r="D77" s="240" t="s">
        <v>544</v>
      </c>
      <c r="E77" s="81"/>
      <c r="F77" s="81"/>
      <c r="G77" s="81"/>
      <c r="H77" s="81"/>
      <c r="I77" s="81"/>
      <c r="J77" s="81"/>
      <c r="K77" s="81"/>
      <c r="L77" s="81"/>
      <c r="M77" s="81"/>
      <c r="N77" s="81"/>
      <c r="O77" s="81"/>
      <c r="P77" s="81"/>
      <c r="Q77" s="81"/>
      <c r="R77" s="81"/>
      <c r="S77" s="81"/>
      <c r="T77" s="81"/>
      <c r="U77" s="81"/>
      <c r="V77" s="81"/>
      <c r="W77" s="81"/>
      <c r="X77" s="81"/>
      <c r="Y77" s="81"/>
      <c r="Z77" s="81"/>
      <c r="AA77" s="81"/>
      <c r="AB77" s="81"/>
      <c r="AC77" s="81"/>
      <c r="AD77" s="81"/>
      <c r="AE77" s="81"/>
      <c r="AF77" s="81"/>
      <c r="AG77" s="81"/>
      <c r="AH77" s="81"/>
      <c r="AI77" s="81"/>
      <c r="AJ77" s="81"/>
      <c r="AK77" s="81"/>
      <c r="AL77" s="81"/>
      <c r="AM77" s="81"/>
      <c r="AN77" s="81"/>
      <c r="AO77" s="81"/>
      <c r="AP77" s="81"/>
      <c r="AQ77" s="81"/>
      <c r="AR77" s="81"/>
      <c r="AS77" s="81"/>
      <c r="AT77" s="81"/>
      <c r="AU77" s="81"/>
      <c r="AV77" s="81"/>
      <c r="AW77" s="81"/>
      <c r="AX77" s="81"/>
      <c r="AY77" s="81"/>
    </row>
    <row r="78" customFormat="false" ht="15" hidden="false" customHeight="false" outlineLevel="0" collapsed="false">
      <c r="A78" s="211" t="s">
        <v>545</v>
      </c>
      <c r="B78" s="202" t="s">
        <v>546</v>
      </c>
      <c r="C78" s="231" t="n">
        <v>0.15</v>
      </c>
      <c r="D78" s="204" t="n">
        <v>1</v>
      </c>
      <c r="E78" s="81"/>
      <c r="F78" s="81"/>
      <c r="G78" s="81"/>
      <c r="H78" s="81"/>
      <c r="I78" s="81"/>
      <c r="J78" s="81"/>
      <c r="K78" s="81"/>
      <c r="L78" s="81"/>
      <c r="M78" s="81"/>
      <c r="N78" s="81"/>
      <c r="O78" s="81"/>
      <c r="P78" s="81"/>
      <c r="Q78" s="81"/>
      <c r="R78" s="81"/>
      <c r="S78" s="81"/>
      <c r="T78" s="81"/>
      <c r="U78" s="81"/>
      <c r="V78" s="81"/>
      <c r="W78" s="81"/>
      <c r="X78" s="81"/>
      <c r="Y78" s="81"/>
      <c r="Z78" s="81"/>
      <c r="AA78" s="81"/>
      <c r="AB78" s="81"/>
      <c r="AC78" s="81"/>
      <c r="AD78" s="81"/>
      <c r="AE78" s="81"/>
      <c r="AF78" s="81"/>
      <c r="AG78" s="81"/>
      <c r="AH78" s="81"/>
      <c r="AI78" s="81"/>
      <c r="AJ78" s="81"/>
      <c r="AK78" s="81"/>
      <c r="AL78" s="81"/>
      <c r="AM78" s="81"/>
      <c r="AN78" s="81"/>
      <c r="AO78" s="81"/>
      <c r="AP78" s="81"/>
      <c r="AQ78" s="81"/>
      <c r="AR78" s="81"/>
      <c r="AS78" s="81"/>
      <c r="AT78" s="81"/>
      <c r="AU78" s="81"/>
      <c r="AV78" s="81"/>
      <c r="AW78" s="81"/>
      <c r="AX78" s="81"/>
      <c r="AY78" s="81"/>
    </row>
    <row r="79" customFormat="false" ht="17.35" hidden="false" customHeight="false" outlineLevel="0" collapsed="false">
      <c r="A79" s="241" t="s">
        <v>230</v>
      </c>
      <c r="B79" s="241"/>
      <c r="C79" s="241"/>
      <c r="D79" s="242" t="s">
        <v>547</v>
      </c>
      <c r="E79" s="81"/>
      <c r="F79" s="81"/>
      <c r="G79" s="81"/>
      <c r="H79" s="81"/>
      <c r="I79" s="81"/>
      <c r="J79" s="81"/>
      <c r="K79" s="81"/>
      <c r="L79" s="81"/>
      <c r="M79" s="81"/>
      <c r="N79" s="81"/>
      <c r="O79" s="81"/>
      <c r="P79" s="81"/>
      <c r="Q79" s="81"/>
      <c r="R79" s="81"/>
      <c r="S79" s="81"/>
      <c r="T79" s="81"/>
      <c r="U79" s="81"/>
      <c r="V79" s="81"/>
      <c r="W79" s="81"/>
      <c r="X79" s="81"/>
      <c r="Y79" s="81"/>
      <c r="Z79" s="81"/>
      <c r="AA79" s="81"/>
      <c r="AB79" s="81"/>
      <c r="AC79" s="81"/>
      <c r="AD79" s="81"/>
      <c r="AE79" s="81"/>
      <c r="AF79" s="81"/>
      <c r="AG79" s="81"/>
      <c r="AH79" s="81"/>
      <c r="AI79" s="81"/>
      <c r="AJ79" s="81"/>
      <c r="AK79" s="81"/>
      <c r="AL79" s="81"/>
      <c r="AM79" s="81"/>
      <c r="AN79" s="81"/>
      <c r="AO79" s="81"/>
      <c r="AP79" s="81"/>
      <c r="AQ79" s="81"/>
      <c r="AR79" s="81"/>
      <c r="AS79" s="81"/>
      <c r="AT79" s="81"/>
      <c r="AU79" s="81"/>
      <c r="AV79" s="81"/>
      <c r="AW79" s="81"/>
      <c r="AX79" s="81"/>
      <c r="AY79" s="81"/>
    </row>
    <row r="80" customFormat="false" ht="14.25" hidden="false" customHeight="true" outlineLevel="0" collapsed="false">
      <c r="A80" s="216" t="s">
        <v>548</v>
      </c>
      <c r="B80" s="205" t="s">
        <v>546</v>
      </c>
      <c r="C80" s="243" t="n">
        <v>0.2</v>
      </c>
      <c r="D80" s="244" t="n">
        <v>1</v>
      </c>
      <c r="E80" s="81"/>
      <c r="F80" s="81"/>
      <c r="G80" s="81"/>
      <c r="H80" s="81"/>
      <c r="I80" s="81"/>
      <c r="J80" s="81"/>
      <c r="K80" s="81"/>
      <c r="L80" s="81"/>
      <c r="M80" s="81"/>
      <c r="N80" s="81"/>
      <c r="O80" s="81"/>
      <c r="P80" s="81"/>
      <c r="Q80" s="81"/>
      <c r="R80" s="81"/>
      <c r="S80" s="81"/>
      <c r="T80" s="81"/>
      <c r="U80" s="81"/>
      <c r="V80" s="81"/>
      <c r="W80" s="81"/>
      <c r="X80" s="81"/>
      <c r="Y80" s="81"/>
      <c r="Z80" s="81"/>
      <c r="AA80" s="81"/>
      <c r="AB80" s="81"/>
      <c r="AC80" s="81"/>
      <c r="AD80" s="81"/>
      <c r="AE80" s="81"/>
      <c r="AF80" s="81"/>
      <c r="AG80" s="81"/>
      <c r="AH80" s="81"/>
      <c r="AI80" s="81"/>
      <c r="AJ80" s="81"/>
      <c r="AK80" s="81"/>
      <c r="AL80" s="81"/>
      <c r="AM80" s="81"/>
      <c r="AN80" s="81"/>
      <c r="AO80" s="81"/>
      <c r="AP80" s="81"/>
      <c r="AQ80" s="81"/>
      <c r="AR80" s="81"/>
      <c r="AS80" s="81"/>
      <c r="AT80" s="81"/>
      <c r="AU80" s="81"/>
      <c r="AV80" s="81"/>
      <c r="AW80" s="81"/>
      <c r="AX80" s="81"/>
      <c r="AY80" s="81"/>
    </row>
    <row r="81" customFormat="false" ht="15" hidden="false" customHeight="false" outlineLevel="0" collapsed="false">
      <c r="A81" s="81"/>
      <c r="B81" s="81"/>
      <c r="C81" s="81"/>
      <c r="D81" s="81"/>
      <c r="E81" s="81"/>
      <c r="F81" s="81"/>
      <c r="G81" s="81"/>
      <c r="H81" s="81"/>
      <c r="I81" s="81"/>
      <c r="J81" s="81"/>
      <c r="K81" s="81"/>
      <c r="L81" s="81"/>
      <c r="M81" s="81"/>
      <c r="N81" s="81"/>
      <c r="O81" s="81"/>
      <c r="P81" s="81"/>
      <c r="Q81" s="81"/>
      <c r="R81" s="81"/>
      <c r="S81" s="81"/>
      <c r="T81" s="81"/>
      <c r="U81" s="81"/>
      <c r="V81" s="81"/>
      <c r="W81" s="81"/>
      <c r="X81" s="81"/>
      <c r="Y81" s="81"/>
      <c r="Z81" s="81"/>
      <c r="AA81" s="81"/>
      <c r="AB81" s="81"/>
      <c r="AC81" s="81"/>
      <c r="AD81" s="81"/>
      <c r="AE81" s="81"/>
      <c r="AF81" s="81"/>
      <c r="AG81" s="81"/>
      <c r="AH81" s="81"/>
      <c r="AI81" s="81"/>
      <c r="AJ81" s="81"/>
      <c r="AK81" s="81"/>
      <c r="AL81" s="81"/>
      <c r="AM81" s="81"/>
      <c r="AN81" s="81"/>
      <c r="AO81" s="81"/>
      <c r="AP81" s="81"/>
      <c r="AQ81" s="81"/>
      <c r="AR81" s="81"/>
      <c r="AS81" s="81"/>
      <c r="AT81" s="81"/>
      <c r="AU81" s="81"/>
      <c r="AV81" s="81"/>
      <c r="AW81" s="81"/>
      <c r="AX81" s="81"/>
      <c r="AY81" s="81"/>
      <c r="AZ81" s="81"/>
    </row>
    <row r="82" customFormat="false" ht="17.35" hidden="false" customHeight="false" outlineLevel="0" collapsed="false">
      <c r="A82" s="200" t="s">
        <v>236</v>
      </c>
      <c r="B82" s="200"/>
      <c r="C82" s="200"/>
    </row>
    <row r="83" customFormat="false" ht="15" hidden="false" customHeight="false" outlineLevel="0" collapsed="false">
      <c r="A83" s="245" t="s">
        <v>549</v>
      </c>
      <c r="B83" s="202" t="s">
        <v>550</v>
      </c>
      <c r="C83" s="246" t="n">
        <v>0</v>
      </c>
    </row>
    <row r="84" customFormat="false" ht="15" hidden="false" customHeight="false" outlineLevel="0" collapsed="false">
      <c r="A84" s="245"/>
      <c r="B84" s="202" t="s">
        <v>551</v>
      </c>
      <c r="C84" s="246" t="n">
        <v>2023</v>
      </c>
    </row>
    <row r="85" customFormat="false" ht="15" hidden="false" customHeight="false" outlineLevel="0" collapsed="false">
      <c r="A85" s="245" t="s">
        <v>237</v>
      </c>
      <c r="B85" s="202" t="s">
        <v>238</v>
      </c>
      <c r="C85" s="246" t="n">
        <v>2015</v>
      </c>
      <c r="G85" s="118"/>
      <c r="H85" s="118"/>
      <c r="I85" s="127"/>
      <c r="J85" s="127"/>
      <c r="K85" s="127"/>
      <c r="L85" s="127"/>
      <c r="M85" s="127"/>
      <c r="N85" s="127"/>
      <c r="O85" s="127"/>
      <c r="P85" s="127"/>
      <c r="Q85" s="127"/>
      <c r="R85" s="127"/>
      <c r="S85" s="127"/>
      <c r="T85" s="127"/>
    </row>
    <row r="86" customFormat="false" ht="15" hidden="false" customHeight="false" outlineLevel="0" collapsed="false">
      <c r="A86" s="245"/>
      <c r="B86" s="202" t="s">
        <v>241</v>
      </c>
      <c r="C86" s="247" t="n">
        <v>0</v>
      </c>
      <c r="G86" s="118"/>
      <c r="H86" s="118"/>
      <c r="I86" s="127"/>
      <c r="J86" s="127"/>
      <c r="K86" s="127"/>
      <c r="L86" s="127"/>
      <c r="M86" s="127"/>
      <c r="N86" s="127"/>
      <c r="O86" s="127"/>
      <c r="P86" s="127"/>
      <c r="Q86" s="127"/>
      <c r="R86" s="127"/>
      <c r="S86" s="127"/>
      <c r="T86" s="127"/>
    </row>
    <row r="87" customFormat="false" ht="15" hidden="false" customHeight="false" outlineLevel="0" collapsed="false">
      <c r="A87" s="245" t="s">
        <v>243</v>
      </c>
      <c r="B87" s="202" t="s">
        <v>238</v>
      </c>
      <c r="C87" s="246" t="n">
        <v>2015</v>
      </c>
    </row>
    <row r="88" customFormat="false" ht="15" hidden="false" customHeight="false" outlineLevel="0" collapsed="false">
      <c r="A88" s="245"/>
      <c r="B88" s="202" t="s">
        <v>241</v>
      </c>
      <c r="C88" s="247" t="n">
        <v>0</v>
      </c>
    </row>
    <row r="89" customFormat="false" ht="15" hidden="false" customHeight="false" outlineLevel="0" collapsed="false">
      <c r="A89" s="245" t="s">
        <v>244</v>
      </c>
      <c r="B89" s="202" t="s">
        <v>238</v>
      </c>
      <c r="C89" s="246" t="n">
        <v>2023</v>
      </c>
    </row>
    <row r="90" customFormat="false" ht="15" hidden="false" customHeight="false" outlineLevel="0" collapsed="false">
      <c r="A90" s="245"/>
      <c r="B90" s="202" t="s">
        <v>241</v>
      </c>
      <c r="C90" s="247" t="n">
        <v>0</v>
      </c>
    </row>
    <row r="91" customFormat="false" ht="15" hidden="false" customHeight="false" outlineLevel="0" collapsed="false">
      <c r="A91" s="245" t="s">
        <v>246</v>
      </c>
      <c r="B91" s="202" t="s">
        <v>238</v>
      </c>
      <c r="C91" s="246" t="n">
        <v>2023</v>
      </c>
      <c r="G91" s="138"/>
      <c r="I91" s="125"/>
      <c r="J91" s="125"/>
      <c r="K91" s="125"/>
      <c r="L91" s="125"/>
      <c r="M91" s="125"/>
      <c r="N91" s="125"/>
      <c r="O91" s="125"/>
      <c r="P91" s="125"/>
      <c r="Q91" s="125"/>
      <c r="R91" s="125"/>
      <c r="S91" s="125"/>
      <c r="T91" s="125"/>
    </row>
    <row r="92" customFormat="false" ht="15" hidden="false" customHeight="false" outlineLevel="0" collapsed="false">
      <c r="A92" s="245"/>
      <c r="B92" s="202" t="s">
        <v>241</v>
      </c>
      <c r="C92" s="247" t="n">
        <v>0</v>
      </c>
    </row>
    <row r="93" customFormat="false" ht="15" hidden="false" customHeight="false" outlineLevel="0" collapsed="false">
      <c r="A93" s="245" t="s">
        <v>211</v>
      </c>
      <c r="B93" s="202" t="s">
        <v>238</v>
      </c>
      <c r="C93" s="246" t="n">
        <v>2023</v>
      </c>
    </row>
    <row r="94" customFormat="false" ht="15" hidden="false" customHeight="false" outlineLevel="0" collapsed="false">
      <c r="A94" s="245"/>
      <c r="B94" s="202" t="s">
        <v>241</v>
      </c>
      <c r="C94" s="247" t="n">
        <v>0.97</v>
      </c>
    </row>
    <row r="95" customFormat="false" ht="15" hidden="false" customHeight="false" outlineLevel="0" collapsed="false">
      <c r="A95" s="245" t="s">
        <v>240</v>
      </c>
      <c r="B95" s="202" t="s">
        <v>238</v>
      </c>
      <c r="C95" s="246" t="n">
        <v>2023</v>
      </c>
    </row>
    <row r="96" customFormat="false" ht="15" hidden="false" customHeight="false" outlineLevel="0" collapsed="false">
      <c r="A96" s="245"/>
      <c r="B96" s="202" t="s">
        <v>241</v>
      </c>
      <c r="C96" s="247" t="n">
        <v>0.74</v>
      </c>
    </row>
    <row r="97" customFormat="false" ht="15" hidden="false" customHeight="false" outlineLevel="0" collapsed="false">
      <c r="A97" s="238" t="s">
        <v>245</v>
      </c>
      <c r="B97" s="202" t="s">
        <v>238</v>
      </c>
      <c r="C97" s="246" t="n">
        <v>2023</v>
      </c>
    </row>
    <row r="98" customFormat="false" ht="15" hidden="false" customHeight="false" outlineLevel="0" collapsed="false">
      <c r="A98" s="238"/>
      <c r="B98" s="205" t="s">
        <v>241</v>
      </c>
      <c r="C98" s="248" t="n">
        <v>0.87</v>
      </c>
    </row>
    <row r="99" customFormat="false" ht="15" hidden="false" customHeight="false" outlineLevel="0" collapsed="false">
      <c r="A99" s="139" t="s">
        <v>247</v>
      </c>
    </row>
    <row r="100" customFormat="false" ht="15" hidden="false" customHeight="false" outlineLevel="0" collapsed="false">
      <c r="F100" s="1" t="s">
        <v>734</v>
      </c>
      <c r="G100" s="1" t="n">
        <v>2020</v>
      </c>
      <c r="H100" s="1" t="n">
        <v>2025</v>
      </c>
      <c r="I100" s="1" t="n">
        <v>2030</v>
      </c>
      <c r="J100" s="1" t="n">
        <v>2035</v>
      </c>
      <c r="K100" s="1" t="n">
        <v>2040</v>
      </c>
      <c r="L100" s="1" t="n">
        <v>2045</v>
      </c>
      <c r="M100" s="1" t="n">
        <v>2050</v>
      </c>
    </row>
    <row r="101" customFormat="false" ht="14.25" hidden="false" customHeight="true" outlineLevel="0" collapsed="false">
      <c r="A101" s="200" t="s">
        <v>248</v>
      </c>
      <c r="B101" s="200"/>
      <c r="C101" s="200"/>
      <c r="F101" s="1" t="s">
        <v>563</v>
      </c>
      <c r="G101" s="79" t="n">
        <v>0.7196</v>
      </c>
      <c r="H101" s="79" t="n">
        <v>0.6</v>
      </c>
      <c r="I101" s="79" t="n">
        <v>0.48</v>
      </c>
      <c r="J101" s="79" t="n">
        <v>0.36</v>
      </c>
      <c r="K101" s="79" t="n">
        <v>0.24</v>
      </c>
      <c r="L101" s="79" t="n">
        <v>0.12</v>
      </c>
      <c r="M101" s="79" t="n">
        <v>0</v>
      </c>
    </row>
    <row r="102" customFormat="false" ht="15" hidden="false" customHeight="false" outlineLevel="0" collapsed="false">
      <c r="A102" s="211" t="s">
        <v>249</v>
      </c>
      <c r="B102" s="202" t="s">
        <v>28</v>
      </c>
      <c r="C102" s="246" t="n">
        <v>1</v>
      </c>
      <c r="F102" s="1" t="s">
        <v>564</v>
      </c>
      <c r="G102" s="79" t="n">
        <v>0.0361</v>
      </c>
      <c r="H102" s="79" t="n">
        <v>0.037</v>
      </c>
      <c r="I102" s="79" t="n">
        <v>0.037</v>
      </c>
      <c r="J102" s="79" t="n">
        <v>0.037</v>
      </c>
      <c r="K102" s="79" t="n">
        <v>0.037</v>
      </c>
      <c r="L102" s="79" t="n">
        <v>0.037</v>
      </c>
      <c r="M102" s="79" t="n">
        <v>0.037</v>
      </c>
    </row>
    <row r="103" customFormat="false" ht="15" hidden="false" customHeight="false" outlineLevel="0" collapsed="false">
      <c r="A103" s="211" t="s">
        <v>256</v>
      </c>
      <c r="B103" s="202" t="s">
        <v>28</v>
      </c>
      <c r="C103" s="246" t="n">
        <v>1</v>
      </c>
      <c r="F103" s="1" t="s">
        <v>565</v>
      </c>
      <c r="G103" s="79" t="n">
        <v>0.1582</v>
      </c>
      <c r="H103" s="79" t="n">
        <v>0.213</v>
      </c>
      <c r="I103" s="79" t="n">
        <v>0.283</v>
      </c>
      <c r="J103" s="79" t="n">
        <v>0.353</v>
      </c>
      <c r="K103" s="79" t="n">
        <v>0.423</v>
      </c>
      <c r="L103" s="79" t="n">
        <v>0.493</v>
      </c>
      <c r="M103" s="79" t="n">
        <v>0.55</v>
      </c>
    </row>
    <row r="104" customFormat="false" ht="15" hidden="false" customHeight="false" outlineLevel="0" collapsed="false">
      <c r="A104" s="211" t="s">
        <v>552</v>
      </c>
      <c r="B104" s="202" t="s">
        <v>36</v>
      </c>
      <c r="C104" s="246" t="n">
        <v>2020</v>
      </c>
      <c r="F104" s="1" t="s">
        <v>566</v>
      </c>
      <c r="G104" s="79" t="n">
        <v>0.0861</v>
      </c>
      <c r="H104" s="79" t="n">
        <v>0.15</v>
      </c>
      <c r="I104" s="79" t="n">
        <v>0.2</v>
      </c>
      <c r="J104" s="79" t="n">
        <v>0.25</v>
      </c>
      <c r="K104" s="79" t="n">
        <v>0.3</v>
      </c>
      <c r="L104" s="79" t="n">
        <v>0.35</v>
      </c>
      <c r="M104" s="79" t="n">
        <v>0.413</v>
      </c>
    </row>
    <row r="105" customFormat="false" ht="15" hidden="false" customHeight="false" outlineLevel="0" collapsed="false">
      <c r="A105" s="211" t="s">
        <v>553</v>
      </c>
      <c r="B105" s="202" t="s">
        <v>36</v>
      </c>
      <c r="C105" s="246" t="n">
        <v>2025</v>
      </c>
      <c r="F105" s="1" t="s">
        <v>567</v>
      </c>
      <c r="G105" s="79" t="n">
        <v>0.0001</v>
      </c>
      <c r="H105" s="79" t="n">
        <v>0</v>
      </c>
      <c r="I105" s="79" t="n">
        <v>0</v>
      </c>
      <c r="J105" s="79" t="n">
        <v>0</v>
      </c>
      <c r="K105" s="79" t="n">
        <v>0</v>
      </c>
      <c r="L105" s="79" t="n">
        <v>0</v>
      </c>
      <c r="M105" s="79" t="n">
        <v>0</v>
      </c>
    </row>
    <row r="106" customFormat="false" ht="15" hidden="false" customHeight="false" outlineLevel="0" collapsed="false">
      <c r="A106" s="211" t="s">
        <v>554</v>
      </c>
      <c r="B106" s="202" t="s">
        <v>36</v>
      </c>
      <c r="C106" s="246" t="n">
        <v>2035</v>
      </c>
    </row>
    <row r="107" customFormat="false" ht="15" hidden="false" customHeight="false" outlineLevel="0" collapsed="false">
      <c r="A107" s="211" t="s">
        <v>555</v>
      </c>
      <c r="B107" s="202" t="s">
        <v>36</v>
      </c>
      <c r="C107" s="246" t="n">
        <v>2050</v>
      </c>
    </row>
    <row r="108" customFormat="false" ht="26.85" hidden="false" customHeight="false" outlineLevel="0" collapsed="false">
      <c r="A108" s="211" t="s">
        <v>255</v>
      </c>
      <c r="B108" s="202" t="s">
        <v>28</v>
      </c>
      <c r="C108" s="246" t="n">
        <v>0</v>
      </c>
      <c r="G108" s="343" t="s">
        <v>734</v>
      </c>
      <c r="H108" s="343" t="s">
        <v>735</v>
      </c>
      <c r="I108" s="343" t="n">
        <v>2025</v>
      </c>
      <c r="J108" s="343" t="n">
        <v>2030</v>
      </c>
      <c r="K108" s="343" t="n">
        <v>2035</v>
      </c>
      <c r="L108" s="343" t="n">
        <v>2040</v>
      </c>
      <c r="M108" s="343" t="n">
        <v>2045</v>
      </c>
      <c r="N108" s="343" t="s">
        <v>736</v>
      </c>
    </row>
    <row r="109" customFormat="false" ht="15" hidden="false" customHeight="false" outlineLevel="0" collapsed="false">
      <c r="A109" s="211" t="s">
        <v>261</v>
      </c>
      <c r="B109" s="202" t="s">
        <v>28</v>
      </c>
      <c r="C109" s="246" t="n">
        <v>0</v>
      </c>
      <c r="G109" s="343" t="s">
        <v>565</v>
      </c>
      <c r="H109" s="349" t="n">
        <v>0.0651</v>
      </c>
      <c r="I109" s="350" t="n">
        <v>0.1747</v>
      </c>
      <c r="J109" s="350" t="n">
        <v>0.2843</v>
      </c>
      <c r="K109" s="350" t="n">
        <v>0.394</v>
      </c>
      <c r="L109" s="350" t="n">
        <v>0.5036</v>
      </c>
      <c r="M109" s="350" t="n">
        <v>0.6132</v>
      </c>
      <c r="N109" s="349" t="n">
        <v>0.7228</v>
      </c>
    </row>
    <row r="110" customFormat="false" ht="15" hidden="false" customHeight="false" outlineLevel="0" collapsed="false">
      <c r="A110" s="211" t="s">
        <v>556</v>
      </c>
      <c r="B110" s="202"/>
      <c r="C110" s="204" t="n">
        <v>2050</v>
      </c>
      <c r="G110" s="343" t="s">
        <v>737</v>
      </c>
      <c r="H110" s="349" t="n">
        <v>0.8552</v>
      </c>
      <c r="I110" s="350" t="n">
        <v>0.7554</v>
      </c>
      <c r="J110" s="350" t="n">
        <v>0.6557</v>
      </c>
      <c r="K110" s="350" t="n">
        <v>0.5559</v>
      </c>
      <c r="L110" s="350" t="n">
        <v>0.4561</v>
      </c>
      <c r="M110" s="350" t="n">
        <v>0.3564</v>
      </c>
      <c r="N110" s="349" t="n">
        <v>0.2566</v>
      </c>
    </row>
    <row r="111" customFormat="false" ht="15" hidden="false" customHeight="false" outlineLevel="0" collapsed="false">
      <c r="A111" s="216" t="s">
        <v>557</v>
      </c>
      <c r="B111" s="205" t="s">
        <v>28</v>
      </c>
      <c r="C111" s="244" t="n">
        <v>0.8</v>
      </c>
      <c r="G111" s="343" t="s">
        <v>738</v>
      </c>
      <c r="H111" s="349" t="n">
        <v>0.0687</v>
      </c>
      <c r="I111" s="350" t="n">
        <v>0.0607</v>
      </c>
      <c r="J111" s="350" t="n">
        <v>0.0527</v>
      </c>
      <c r="K111" s="350" t="n">
        <v>0.0446</v>
      </c>
      <c r="L111" s="350" t="n">
        <v>0.0366</v>
      </c>
      <c r="M111" s="350" t="n">
        <v>0.0286</v>
      </c>
      <c r="N111" s="349" t="n">
        <v>0.0206</v>
      </c>
    </row>
    <row r="112" customFormat="false" ht="14.25" hidden="false" customHeight="true" outlineLevel="0" collapsed="false">
      <c r="G112" s="343" t="s">
        <v>739</v>
      </c>
      <c r="H112" s="349" t="n">
        <v>0.011</v>
      </c>
      <c r="I112" s="350" t="n">
        <v>0.0092</v>
      </c>
      <c r="J112" s="350" t="n">
        <v>0.0073</v>
      </c>
      <c r="K112" s="350" t="n">
        <v>0.0055</v>
      </c>
      <c r="L112" s="350" t="n">
        <v>0.0037</v>
      </c>
      <c r="M112" s="350" t="n">
        <v>0.0018</v>
      </c>
      <c r="N112" s="349" t="n">
        <v>0</v>
      </c>
    </row>
    <row r="113" customFormat="false" ht="14.25" hidden="false" customHeight="true" outlineLevel="0" collapsed="false">
      <c r="A113" s="200" t="s">
        <v>58</v>
      </c>
      <c r="B113" s="200"/>
      <c r="C113" s="200"/>
      <c r="D113" s="200"/>
      <c r="E113" s="200"/>
    </row>
    <row r="114" customFormat="false" ht="14.25" hidden="false" customHeight="true" outlineLevel="0" collapsed="false">
      <c r="A114" s="238" t="s">
        <v>59</v>
      </c>
      <c r="B114" s="250" t="n">
        <v>4</v>
      </c>
      <c r="C114" s="230" t="s">
        <v>60</v>
      </c>
      <c r="D114" s="202" t="s">
        <v>65</v>
      </c>
      <c r="E114" s="227" t="n">
        <v>-0.012</v>
      </c>
    </row>
    <row r="115" customFormat="false" ht="14.25" hidden="false" customHeight="true" outlineLevel="0" collapsed="false">
      <c r="A115" s="238"/>
      <c r="B115" s="250"/>
      <c r="C115" s="230" t="s">
        <v>62</v>
      </c>
      <c r="D115" s="202" t="s">
        <v>559</v>
      </c>
      <c r="E115" s="204" t="n">
        <v>2017</v>
      </c>
    </row>
    <row r="116" customFormat="false" ht="14.25" hidden="false" customHeight="true" outlineLevel="0" collapsed="false">
      <c r="A116" s="238"/>
      <c r="B116" s="250"/>
      <c r="C116" s="230" t="s">
        <v>63</v>
      </c>
      <c r="D116" s="252"/>
      <c r="E116" s="252"/>
      <c r="F116" s="253"/>
      <c r="G116" s="253"/>
      <c r="H116" s="253"/>
      <c r="I116" s="253"/>
      <c r="J116" s="253"/>
      <c r="K116" s="253"/>
      <c r="L116" s="254"/>
    </row>
    <row r="117" customFormat="false" ht="14.25" hidden="false" customHeight="true" outlineLevel="0" collapsed="false">
      <c r="A117" s="238"/>
      <c r="B117" s="250"/>
      <c r="C117" s="255" t="s">
        <v>64</v>
      </c>
      <c r="D117" s="252"/>
      <c r="E117" s="252"/>
    </row>
    <row r="118" customFormat="false" ht="14.25" hidden="false" customHeight="true" outlineLevel="0" collapsed="false"/>
    <row r="119" customFormat="false" ht="14.25" hidden="false" customHeight="true" outlineLevel="0" collapsed="false">
      <c r="D119" s="79"/>
      <c r="E119" s="79"/>
    </row>
    <row r="120" customFormat="false" ht="24.45" hidden="false" customHeight="false" outlineLevel="0" collapsed="false">
      <c r="A120" s="199" t="s">
        <v>560</v>
      </c>
    </row>
    <row r="121" customFormat="false" ht="17.35" hidden="false" customHeight="false" outlineLevel="0" collapsed="false">
      <c r="A121" s="200" t="s">
        <v>561</v>
      </c>
      <c r="B121" s="200"/>
      <c r="C121" s="200"/>
      <c r="D121" s="200"/>
      <c r="E121" s="200"/>
      <c r="F121" s="200"/>
      <c r="G121" s="200"/>
      <c r="H121" s="200"/>
      <c r="I121" s="200"/>
      <c r="J121" s="200"/>
    </row>
    <row r="122" customFormat="false" ht="15" hidden="false" customHeight="false" outlineLevel="0" collapsed="false">
      <c r="A122" s="208" t="s">
        <v>36</v>
      </c>
      <c r="B122" s="203"/>
      <c r="C122" s="202" t="s">
        <v>36</v>
      </c>
      <c r="D122" s="203" t="n">
        <v>2020</v>
      </c>
      <c r="E122" s="203" t="n">
        <v>2025</v>
      </c>
      <c r="F122" s="203" t="n">
        <v>2030</v>
      </c>
      <c r="G122" s="203" t="n">
        <v>2035</v>
      </c>
      <c r="H122" s="203" t="n">
        <v>2040</v>
      </c>
      <c r="I122" s="203" t="n">
        <v>2045</v>
      </c>
      <c r="J122" s="204" t="n">
        <v>2050</v>
      </c>
    </row>
    <row r="123" customFormat="false" ht="15" hidden="false" customHeight="false" outlineLevel="0" collapsed="false">
      <c r="A123" s="256" t="s">
        <v>562</v>
      </c>
      <c r="B123" s="203" t="s">
        <v>563</v>
      </c>
      <c r="C123" s="202" t="s">
        <v>28</v>
      </c>
      <c r="D123" s="257" t="n">
        <v>0.7196</v>
      </c>
      <c r="E123" s="257" t="n">
        <v>0.726</v>
      </c>
      <c r="F123" s="257" t="n">
        <v>0.5808</v>
      </c>
      <c r="G123" s="257" t="n">
        <v>0.4356</v>
      </c>
      <c r="H123" s="257" t="n">
        <v>0.2904</v>
      </c>
      <c r="I123" s="257" t="n">
        <v>0.1452</v>
      </c>
      <c r="J123" s="258" t="n">
        <v>0</v>
      </c>
    </row>
    <row r="124" customFormat="false" ht="15" hidden="false" customHeight="false" outlineLevel="0" collapsed="false">
      <c r="A124" s="256"/>
      <c r="B124" s="203" t="s">
        <v>564</v>
      </c>
      <c r="C124" s="202" t="s">
        <v>28</v>
      </c>
      <c r="D124" s="257" t="n">
        <v>0.0361</v>
      </c>
      <c r="E124" s="257" t="n">
        <v>0.0415</v>
      </c>
      <c r="F124" s="257" t="n">
        <v>0.0406</v>
      </c>
      <c r="G124" s="257" t="n">
        <v>0.0397</v>
      </c>
      <c r="H124" s="257" t="n">
        <v>0.0388</v>
      </c>
      <c r="I124" s="257" t="n">
        <v>0.0379</v>
      </c>
      <c r="J124" s="258" t="n">
        <v>0.037</v>
      </c>
    </row>
    <row r="125" customFormat="false" ht="15" hidden="false" customHeight="false" outlineLevel="0" collapsed="false">
      <c r="A125" s="256"/>
      <c r="B125" s="203" t="s">
        <v>565</v>
      </c>
      <c r="C125" s="202" t="s">
        <v>28</v>
      </c>
      <c r="D125" s="257" t="n">
        <v>0.1582</v>
      </c>
      <c r="E125" s="257" t="n">
        <v>0.156</v>
      </c>
      <c r="F125" s="257" t="n">
        <v>0.3002</v>
      </c>
      <c r="G125" s="257" t="n">
        <v>0.4444</v>
      </c>
      <c r="H125" s="257" t="n">
        <v>0.5885</v>
      </c>
      <c r="I125" s="257" t="n">
        <v>0.7327</v>
      </c>
      <c r="J125" s="258" t="n">
        <v>0.8769</v>
      </c>
    </row>
    <row r="126" customFormat="false" ht="15" hidden="false" customHeight="false" outlineLevel="0" collapsed="false">
      <c r="A126" s="256"/>
      <c r="B126" s="203" t="s">
        <v>566</v>
      </c>
      <c r="C126" s="202" t="s">
        <v>28</v>
      </c>
      <c r="D126" s="257" t="n">
        <v>0.0861</v>
      </c>
      <c r="E126" s="257" t="n">
        <v>0.0765</v>
      </c>
      <c r="F126" s="257" t="n">
        <v>0.0784</v>
      </c>
      <c r="G126" s="257" t="n">
        <v>0.0803</v>
      </c>
      <c r="H126" s="257" t="n">
        <v>0.0823</v>
      </c>
      <c r="I126" s="257" t="n">
        <v>0.0842</v>
      </c>
      <c r="J126" s="258" t="n">
        <v>0.0861</v>
      </c>
    </row>
    <row r="127" customFormat="false" ht="15" hidden="false" customHeight="false" outlineLevel="0" collapsed="false">
      <c r="A127" s="256"/>
      <c r="B127" s="203" t="s">
        <v>567</v>
      </c>
      <c r="C127" s="202" t="s">
        <v>28</v>
      </c>
      <c r="D127" s="259" t="n">
        <v>9.48371043676489E-005</v>
      </c>
      <c r="E127" s="259" t="n">
        <v>0</v>
      </c>
      <c r="F127" s="259" t="n">
        <v>0</v>
      </c>
      <c r="G127" s="259" t="n">
        <v>0</v>
      </c>
      <c r="H127" s="259" t="n">
        <v>0</v>
      </c>
      <c r="I127" s="259" t="n">
        <v>0</v>
      </c>
      <c r="J127" s="226" t="n">
        <v>0</v>
      </c>
    </row>
    <row r="128" customFormat="false" ht="15" hidden="false" customHeight="false" outlineLevel="0" collapsed="false">
      <c r="A128" s="256" t="s">
        <v>568</v>
      </c>
      <c r="B128" s="203" t="s">
        <v>569</v>
      </c>
      <c r="C128" s="202" t="s">
        <v>28</v>
      </c>
      <c r="D128" s="259" t="n">
        <v>0.0687</v>
      </c>
      <c r="E128" s="259" t="n">
        <v>0.079</v>
      </c>
      <c r="F128" s="259" t="n">
        <v>0.0832</v>
      </c>
      <c r="G128" s="259" t="n">
        <v>0.0874</v>
      </c>
      <c r="H128" s="259" t="n">
        <v>0.0916</v>
      </c>
      <c r="I128" s="259" t="n">
        <v>0.0958</v>
      </c>
      <c r="J128" s="226" t="n">
        <v>0.1</v>
      </c>
    </row>
    <row r="129" customFormat="false" ht="15" hidden="false" customHeight="false" outlineLevel="0" collapsed="false">
      <c r="A129" s="256"/>
      <c r="B129" s="260" t="s">
        <v>570</v>
      </c>
      <c r="C129" s="202" t="s">
        <v>28</v>
      </c>
      <c r="D129" s="259" t="n">
        <v>0.8552</v>
      </c>
      <c r="E129" s="259" t="n">
        <v>0.803</v>
      </c>
      <c r="F129" s="259" t="n">
        <v>0.7024</v>
      </c>
      <c r="G129" s="259" t="n">
        <v>0.6018</v>
      </c>
      <c r="H129" s="259" t="n">
        <v>0.5012</v>
      </c>
      <c r="I129" s="259" t="n">
        <v>0.4006</v>
      </c>
      <c r="J129" s="226" t="n">
        <v>0.3</v>
      </c>
    </row>
    <row r="130" customFormat="false" ht="15" hidden="false" customHeight="false" outlineLevel="0" collapsed="false">
      <c r="A130" s="256"/>
      <c r="B130" s="203" t="s">
        <v>565</v>
      </c>
      <c r="C130" s="202" t="s">
        <v>28</v>
      </c>
      <c r="D130" s="259" t="n">
        <v>0.0651</v>
      </c>
      <c r="E130" s="259" t="n">
        <v>0.0975</v>
      </c>
      <c r="F130" s="259" t="n">
        <v>0.198</v>
      </c>
      <c r="G130" s="259" t="n">
        <v>0.2985</v>
      </c>
      <c r="H130" s="259" t="n">
        <v>0.399</v>
      </c>
      <c r="I130" s="259" t="n">
        <v>0.4995</v>
      </c>
      <c r="J130" s="226" t="n">
        <v>0.6</v>
      </c>
    </row>
    <row r="131" customFormat="false" ht="15" hidden="false" customHeight="false" outlineLevel="0" collapsed="false">
      <c r="A131" s="256"/>
      <c r="B131" s="203" t="s">
        <v>566</v>
      </c>
      <c r="C131" s="202" t="s">
        <v>28</v>
      </c>
      <c r="D131" s="259" t="n">
        <v>0</v>
      </c>
      <c r="E131" s="259" t="n">
        <v>0</v>
      </c>
      <c r="F131" s="259" t="n">
        <v>0</v>
      </c>
      <c r="G131" s="259" t="n">
        <v>0</v>
      </c>
      <c r="H131" s="259" t="n">
        <v>0</v>
      </c>
      <c r="I131" s="259" t="n">
        <v>0</v>
      </c>
      <c r="J131" s="226" t="n">
        <v>0</v>
      </c>
    </row>
    <row r="132" customFormat="false" ht="15" hidden="false" customHeight="false" outlineLevel="0" collapsed="false">
      <c r="A132" s="256"/>
      <c r="B132" s="203" t="s">
        <v>567</v>
      </c>
      <c r="C132" s="202" t="s">
        <v>28</v>
      </c>
      <c r="D132" s="259" t="n">
        <v>0.011</v>
      </c>
      <c r="E132" s="259" t="n">
        <v>0.0205</v>
      </c>
      <c r="F132" s="259" t="n">
        <v>0.0164</v>
      </c>
      <c r="G132" s="259" t="n">
        <v>0.0123</v>
      </c>
      <c r="H132" s="259" t="n">
        <v>0.0082</v>
      </c>
      <c r="I132" s="259" t="n">
        <v>0.0041</v>
      </c>
      <c r="J132" s="226" t="n">
        <v>0</v>
      </c>
    </row>
    <row r="133" customFormat="false" ht="15" hidden="false" customHeight="false" outlineLevel="0" collapsed="false">
      <c r="A133" s="208" t="s">
        <v>571</v>
      </c>
      <c r="B133" s="261"/>
      <c r="C133" s="202" t="s">
        <v>572</v>
      </c>
      <c r="D133" s="262" t="n">
        <v>1.00009483710437</v>
      </c>
      <c r="E133" s="262" t="n">
        <v>1</v>
      </c>
      <c r="F133" s="262" t="n">
        <v>1</v>
      </c>
      <c r="G133" s="262" t="n">
        <v>1</v>
      </c>
      <c r="H133" s="262" t="n">
        <v>1</v>
      </c>
      <c r="I133" s="262" t="n">
        <v>1</v>
      </c>
      <c r="J133" s="262" t="n">
        <v>1</v>
      </c>
    </row>
    <row r="134" customFormat="false" ht="15" hidden="false" customHeight="false" outlineLevel="0" collapsed="false">
      <c r="A134" s="263" t="s">
        <v>573</v>
      </c>
      <c r="B134" s="261"/>
      <c r="C134" s="205" t="s">
        <v>572</v>
      </c>
      <c r="D134" s="262" t="n">
        <v>1</v>
      </c>
      <c r="E134" s="262" t="n">
        <v>1</v>
      </c>
      <c r="F134" s="262" t="n">
        <v>1</v>
      </c>
      <c r="G134" s="262" t="n">
        <v>1</v>
      </c>
      <c r="H134" s="262" t="n">
        <v>1</v>
      </c>
      <c r="I134" s="262" t="n">
        <v>1</v>
      </c>
      <c r="J134" s="262" t="n">
        <v>1</v>
      </c>
    </row>
    <row r="136" customFormat="false" ht="17.35" hidden="false" customHeight="false" outlineLevel="0" collapsed="false">
      <c r="A136" s="200" t="s">
        <v>574</v>
      </c>
      <c r="B136" s="200"/>
      <c r="C136" s="200"/>
      <c r="D136" s="200"/>
      <c r="E136" s="200"/>
      <c r="F136" s="200"/>
      <c r="G136" s="200"/>
      <c r="H136" s="200"/>
    </row>
    <row r="137" customFormat="false" ht="15" hidden="false" customHeight="false" outlineLevel="0" collapsed="false">
      <c r="A137" s="208" t="s">
        <v>36</v>
      </c>
      <c r="B137" s="202" t="s">
        <v>36</v>
      </c>
      <c r="C137" s="345" t="n">
        <v>2025</v>
      </c>
      <c r="D137" s="345" t="n">
        <v>2030</v>
      </c>
      <c r="E137" s="345" t="n">
        <v>2035</v>
      </c>
      <c r="F137" s="345" t="n">
        <v>2040</v>
      </c>
      <c r="G137" s="345" t="n">
        <v>2045</v>
      </c>
      <c r="H137" s="346" t="n">
        <v>2050</v>
      </c>
    </row>
    <row r="138" customFormat="false" ht="15" hidden="false" customHeight="false" outlineLevel="0" collapsed="false">
      <c r="A138" s="264" t="s">
        <v>565</v>
      </c>
      <c r="B138" s="202" t="s">
        <v>575</v>
      </c>
      <c r="C138" s="347" t="n">
        <v>0.2826</v>
      </c>
      <c r="D138" s="347" t="n">
        <v>0.2261</v>
      </c>
      <c r="E138" s="347" t="n">
        <v>0.1695</v>
      </c>
      <c r="F138" s="347" t="n">
        <v>0.113</v>
      </c>
      <c r="G138" s="347" t="n">
        <v>0.0565</v>
      </c>
      <c r="H138" s="347" t="n">
        <v>0</v>
      </c>
    </row>
    <row r="139" customFormat="false" ht="15" hidden="false" customHeight="false" outlineLevel="0" collapsed="false">
      <c r="A139" s="264"/>
      <c r="B139" s="202" t="s">
        <v>192</v>
      </c>
      <c r="C139" s="347" t="n">
        <v>0</v>
      </c>
      <c r="D139" s="347" t="n">
        <v>0</v>
      </c>
      <c r="E139" s="347" t="n">
        <v>0</v>
      </c>
      <c r="F139" s="347" t="n">
        <v>0</v>
      </c>
      <c r="G139" s="347" t="n">
        <v>0</v>
      </c>
      <c r="H139" s="347" t="n">
        <v>0</v>
      </c>
    </row>
    <row r="140" customFormat="false" ht="15" hidden="false" customHeight="false" outlineLevel="0" collapsed="false">
      <c r="A140" s="264"/>
      <c r="B140" s="202" t="s">
        <v>374</v>
      </c>
      <c r="C140" s="347" t="n">
        <v>0.7174</v>
      </c>
      <c r="D140" s="347" t="n">
        <v>0.7739</v>
      </c>
      <c r="E140" s="347" t="n">
        <v>0.8305</v>
      </c>
      <c r="F140" s="347" t="n">
        <v>0.887</v>
      </c>
      <c r="G140" s="347" t="n">
        <v>0.9435</v>
      </c>
      <c r="H140" s="347" t="n">
        <v>1</v>
      </c>
    </row>
    <row r="141" customFormat="false" ht="15" hidden="false" customHeight="false" outlineLevel="0" collapsed="false">
      <c r="A141" s="264"/>
      <c r="B141" s="202" t="s">
        <v>576</v>
      </c>
      <c r="C141" s="347" t="n">
        <v>0</v>
      </c>
      <c r="D141" s="347" t="n">
        <v>0</v>
      </c>
      <c r="E141" s="347" t="n">
        <v>0</v>
      </c>
      <c r="F141" s="347" t="n">
        <v>0</v>
      </c>
      <c r="G141" s="347" t="n">
        <v>0</v>
      </c>
      <c r="H141" s="347" t="n">
        <v>0</v>
      </c>
    </row>
    <row r="142" customFormat="false" ht="15" hidden="false" customHeight="false" outlineLevel="0" collapsed="false">
      <c r="A142" s="264" t="s">
        <v>563</v>
      </c>
      <c r="B142" s="202" t="s">
        <v>575</v>
      </c>
      <c r="C142" s="348" t="n">
        <v>0.9407</v>
      </c>
      <c r="D142" s="348" t="n">
        <v>0.7926</v>
      </c>
      <c r="E142" s="348" t="n">
        <v>0.6444</v>
      </c>
      <c r="F142" s="348" t="n">
        <v>0.4963</v>
      </c>
      <c r="G142" s="348" t="n">
        <v>0.3481</v>
      </c>
      <c r="H142" s="347" t="n">
        <v>0.2</v>
      </c>
    </row>
    <row r="143" customFormat="false" ht="15" hidden="false" customHeight="false" outlineLevel="0" collapsed="false">
      <c r="A143" s="264"/>
      <c r="B143" s="202" t="s">
        <v>192</v>
      </c>
      <c r="C143" s="348" t="n">
        <v>0.0111</v>
      </c>
      <c r="D143" s="348" t="n">
        <v>0.0389</v>
      </c>
      <c r="E143" s="348" t="n">
        <v>0.0667</v>
      </c>
      <c r="F143" s="348" t="n">
        <v>0.0944</v>
      </c>
      <c r="G143" s="348" t="n">
        <v>0.1222</v>
      </c>
      <c r="H143" s="347" t="n">
        <v>0.15</v>
      </c>
    </row>
    <row r="144" customFormat="false" ht="15" hidden="false" customHeight="false" outlineLevel="0" collapsed="false">
      <c r="A144" s="264"/>
      <c r="B144" s="202" t="s">
        <v>374</v>
      </c>
      <c r="C144" s="348" t="n">
        <v>0.0482</v>
      </c>
      <c r="D144" s="348" t="n">
        <v>0.1685</v>
      </c>
      <c r="E144" s="348" t="n">
        <v>0.2889</v>
      </c>
      <c r="F144" s="348" t="n">
        <v>0.4093</v>
      </c>
      <c r="G144" s="348" t="n">
        <v>0.5297</v>
      </c>
      <c r="H144" s="347" t="n">
        <v>0.65</v>
      </c>
    </row>
    <row r="145" customFormat="false" ht="15" hidden="false" customHeight="false" outlineLevel="0" collapsed="false">
      <c r="A145" s="264"/>
      <c r="B145" s="202" t="s">
        <v>576</v>
      </c>
      <c r="C145" s="348" t="n">
        <v>0</v>
      </c>
      <c r="D145" s="348" t="n">
        <v>0</v>
      </c>
      <c r="E145" s="348" t="n">
        <v>0</v>
      </c>
      <c r="F145" s="348" t="n">
        <v>0</v>
      </c>
      <c r="G145" s="348" t="n">
        <v>0</v>
      </c>
      <c r="H145" s="347" t="n">
        <v>0</v>
      </c>
    </row>
    <row r="146" customFormat="false" ht="15" hidden="false" customHeight="false" outlineLevel="0" collapsed="false">
      <c r="A146" s="256" t="s">
        <v>564</v>
      </c>
      <c r="B146" s="202" t="s">
        <v>575</v>
      </c>
      <c r="C146" s="348" t="n">
        <v>0.9221</v>
      </c>
      <c r="D146" s="348" t="n">
        <v>0.7477</v>
      </c>
      <c r="E146" s="348" t="n">
        <v>0.5733</v>
      </c>
      <c r="F146" s="348" t="n">
        <v>0.3988</v>
      </c>
      <c r="G146" s="348" t="n">
        <v>0.2244</v>
      </c>
      <c r="H146" s="347" t="n">
        <v>0.05</v>
      </c>
    </row>
    <row r="147" customFormat="false" ht="15" hidden="false" customHeight="false" outlineLevel="0" collapsed="false">
      <c r="A147" s="256"/>
      <c r="B147" s="202" t="s">
        <v>192</v>
      </c>
      <c r="C147" s="348" t="n">
        <v>0.009</v>
      </c>
      <c r="D147" s="348" t="n">
        <v>0.0172</v>
      </c>
      <c r="E147" s="348" t="n">
        <v>0.0254</v>
      </c>
      <c r="F147" s="348" t="n">
        <v>0.0336</v>
      </c>
      <c r="G147" s="348" t="n">
        <v>0.0418</v>
      </c>
      <c r="H147" s="347" t="n">
        <v>0.05</v>
      </c>
    </row>
    <row r="148" customFormat="false" ht="15" hidden="false" customHeight="false" outlineLevel="0" collapsed="false">
      <c r="A148" s="256"/>
      <c r="B148" s="202" t="s">
        <v>374</v>
      </c>
      <c r="C148" s="348" t="n">
        <v>0.0689</v>
      </c>
      <c r="D148" s="348" t="n">
        <v>0.2351</v>
      </c>
      <c r="E148" s="348" t="n">
        <v>0.4013</v>
      </c>
      <c r="F148" s="348" t="n">
        <v>0.5676</v>
      </c>
      <c r="G148" s="348" t="n">
        <v>0.7338</v>
      </c>
      <c r="H148" s="347" t="n">
        <v>0.9</v>
      </c>
    </row>
    <row r="149" customFormat="false" ht="15" hidden="false" customHeight="false" outlineLevel="0" collapsed="false">
      <c r="A149" s="256"/>
      <c r="B149" s="202" t="s">
        <v>576</v>
      </c>
      <c r="C149" s="348" t="n">
        <v>0</v>
      </c>
      <c r="D149" s="348" t="n">
        <v>0</v>
      </c>
      <c r="E149" s="348" t="n">
        <v>0</v>
      </c>
      <c r="F149" s="348" t="n">
        <v>0</v>
      </c>
      <c r="G149" s="348" t="n">
        <v>0</v>
      </c>
      <c r="H149" s="347" t="n">
        <v>0</v>
      </c>
    </row>
    <row r="150" customFormat="false" ht="15" hidden="false" customHeight="false" outlineLevel="0" collapsed="false">
      <c r="A150" s="256" t="s">
        <v>566</v>
      </c>
      <c r="B150" s="202" t="s">
        <v>575</v>
      </c>
      <c r="C150" s="348" t="n">
        <v>0.98</v>
      </c>
      <c r="D150" s="348" t="n">
        <v>0.93</v>
      </c>
      <c r="E150" s="348" t="n">
        <v>0.88</v>
      </c>
      <c r="F150" s="348" t="n">
        <v>0.83</v>
      </c>
      <c r="G150" s="348" t="n">
        <v>0.78</v>
      </c>
      <c r="H150" s="347" t="n">
        <v>0.73</v>
      </c>
    </row>
    <row r="151" customFormat="false" ht="15" hidden="false" customHeight="false" outlineLevel="0" collapsed="false">
      <c r="A151" s="256"/>
      <c r="B151" s="202" t="s">
        <v>192</v>
      </c>
      <c r="C151" s="348" t="n">
        <v>0.02</v>
      </c>
      <c r="D151" s="348" t="n">
        <v>0.07</v>
      </c>
      <c r="E151" s="348" t="n">
        <v>0.12</v>
      </c>
      <c r="F151" s="348" t="n">
        <v>0.17</v>
      </c>
      <c r="G151" s="348" t="n">
        <v>0.22</v>
      </c>
      <c r="H151" s="347" t="n">
        <v>0.27</v>
      </c>
    </row>
    <row r="152" customFormat="false" ht="15" hidden="false" customHeight="false" outlineLevel="0" collapsed="false">
      <c r="A152" s="256"/>
      <c r="B152" s="202" t="s">
        <v>374</v>
      </c>
      <c r="C152" s="348" t="n">
        <v>0</v>
      </c>
      <c r="D152" s="348" t="n">
        <v>0</v>
      </c>
      <c r="E152" s="348" t="n">
        <v>0</v>
      </c>
      <c r="F152" s="348" t="n">
        <v>0</v>
      </c>
      <c r="G152" s="348" t="n">
        <v>0</v>
      </c>
      <c r="H152" s="347" t="n">
        <v>0</v>
      </c>
    </row>
    <row r="153" customFormat="false" ht="15" hidden="false" customHeight="false" outlineLevel="0" collapsed="false">
      <c r="A153" s="256"/>
      <c r="B153" s="202" t="s">
        <v>576</v>
      </c>
      <c r="C153" s="348" t="n">
        <v>0</v>
      </c>
      <c r="D153" s="348" t="n">
        <v>0</v>
      </c>
      <c r="E153" s="348" t="n">
        <v>0</v>
      </c>
      <c r="F153" s="348" t="n">
        <v>0</v>
      </c>
      <c r="G153" s="348" t="n">
        <v>0</v>
      </c>
      <c r="H153" s="347" t="n">
        <v>0</v>
      </c>
    </row>
    <row r="154" customFormat="false" ht="15" hidden="false" customHeight="false" outlineLevel="0" collapsed="false">
      <c r="A154" s="256" t="s">
        <v>567</v>
      </c>
      <c r="B154" s="202" t="s">
        <v>575</v>
      </c>
      <c r="C154" s="348" t="n">
        <v>1</v>
      </c>
      <c r="D154" s="348" t="n">
        <v>1</v>
      </c>
      <c r="E154" s="348" t="n">
        <v>1</v>
      </c>
      <c r="F154" s="348" t="n">
        <v>1</v>
      </c>
      <c r="G154" s="348" t="n">
        <v>1</v>
      </c>
      <c r="H154" s="348" t="n">
        <v>1</v>
      </c>
    </row>
    <row r="155" customFormat="false" ht="15" hidden="false" customHeight="false" outlineLevel="0" collapsed="false">
      <c r="A155" s="256"/>
      <c r="B155" s="202" t="s">
        <v>192</v>
      </c>
      <c r="C155" s="348" t="n">
        <v>0</v>
      </c>
      <c r="D155" s="348" t="n">
        <v>0</v>
      </c>
      <c r="E155" s="348" t="n">
        <v>0</v>
      </c>
      <c r="F155" s="348" t="n">
        <v>0</v>
      </c>
      <c r="G155" s="348" t="n">
        <v>0</v>
      </c>
      <c r="H155" s="347" t="n">
        <v>0</v>
      </c>
    </row>
    <row r="156" customFormat="false" ht="15" hidden="false" customHeight="false" outlineLevel="0" collapsed="false">
      <c r="A156" s="256"/>
      <c r="B156" s="202" t="s">
        <v>374</v>
      </c>
      <c r="C156" s="348" t="n">
        <v>0</v>
      </c>
      <c r="D156" s="348" t="n">
        <v>0</v>
      </c>
      <c r="E156" s="348" t="n">
        <v>0</v>
      </c>
      <c r="F156" s="348" t="n">
        <v>0</v>
      </c>
      <c r="G156" s="348" t="n">
        <v>0</v>
      </c>
      <c r="H156" s="347" t="n">
        <v>0</v>
      </c>
    </row>
    <row r="157" customFormat="false" ht="15" hidden="false" customHeight="false" outlineLevel="0" collapsed="false">
      <c r="A157" s="256"/>
      <c r="B157" s="202" t="s">
        <v>576</v>
      </c>
      <c r="C157" s="348" t="n">
        <v>0</v>
      </c>
      <c r="D157" s="348" t="n">
        <v>0</v>
      </c>
      <c r="E157" s="348" t="n">
        <v>0</v>
      </c>
      <c r="F157" s="348" t="n">
        <v>0</v>
      </c>
      <c r="G157" s="348" t="n">
        <v>0</v>
      </c>
      <c r="H157" s="347" t="n">
        <v>0</v>
      </c>
    </row>
    <row r="158" customFormat="false" ht="17.35" hidden="false" customHeight="false" outlineLevel="0" collapsed="false">
      <c r="A158" s="265" t="s">
        <v>578</v>
      </c>
      <c r="B158" s="265"/>
      <c r="C158" s="265"/>
      <c r="D158" s="265"/>
      <c r="E158" s="265"/>
      <c r="F158" s="265"/>
      <c r="G158" s="265"/>
      <c r="H158" s="265"/>
    </row>
    <row r="159" customFormat="false" ht="15" hidden="false" customHeight="false" outlineLevel="0" collapsed="false">
      <c r="A159" s="208" t="s">
        <v>36</v>
      </c>
      <c r="B159" s="202" t="s">
        <v>36</v>
      </c>
      <c r="C159" s="203" t="n">
        <v>2025</v>
      </c>
      <c r="D159" s="203" t="n">
        <v>2030</v>
      </c>
      <c r="E159" s="203" t="n">
        <v>2035</v>
      </c>
      <c r="F159" s="203" t="n">
        <v>2040</v>
      </c>
      <c r="G159" s="203" t="n">
        <v>2045</v>
      </c>
      <c r="H159" s="204" t="n">
        <v>2050</v>
      </c>
    </row>
    <row r="160" customFormat="false" ht="15" hidden="false" customHeight="false" outlineLevel="0" collapsed="false">
      <c r="A160" s="256" t="s">
        <v>565</v>
      </c>
      <c r="B160" s="202" t="s">
        <v>575</v>
      </c>
      <c r="C160" s="259" t="n">
        <v>0.1596</v>
      </c>
      <c r="D160" s="259" t="n">
        <v>0.1277</v>
      </c>
      <c r="E160" s="259" t="n">
        <v>0.0958</v>
      </c>
      <c r="F160" s="259" t="n">
        <v>0.0638</v>
      </c>
      <c r="G160" s="259" t="n">
        <v>0.0319</v>
      </c>
      <c r="H160" s="259" t="n">
        <v>0</v>
      </c>
    </row>
    <row r="161" customFormat="false" ht="15" hidden="false" customHeight="false" outlineLevel="0" collapsed="false">
      <c r="A161" s="256"/>
      <c r="B161" s="202" t="s">
        <v>192</v>
      </c>
      <c r="C161" s="259" t="n">
        <v>0</v>
      </c>
      <c r="D161" s="259" t="n">
        <v>0</v>
      </c>
      <c r="E161" s="259" t="n">
        <v>0</v>
      </c>
      <c r="F161" s="259" t="n">
        <v>0</v>
      </c>
      <c r="G161" s="259" t="n">
        <v>0</v>
      </c>
      <c r="H161" s="259" t="n">
        <v>0</v>
      </c>
    </row>
    <row r="162" customFormat="false" ht="15" hidden="false" customHeight="false" outlineLevel="0" collapsed="false">
      <c r="A162" s="256"/>
      <c r="B162" s="202" t="s">
        <v>374</v>
      </c>
      <c r="C162" s="259" t="n">
        <v>0.8404</v>
      </c>
      <c r="D162" s="259" t="n">
        <v>0.8723</v>
      </c>
      <c r="E162" s="259" t="n">
        <v>0.9042</v>
      </c>
      <c r="F162" s="259" t="n">
        <v>0.9362</v>
      </c>
      <c r="G162" s="259" t="n">
        <v>0.9681</v>
      </c>
      <c r="H162" s="259" t="n">
        <v>1</v>
      </c>
    </row>
    <row r="163" customFormat="false" ht="15" hidden="false" customHeight="false" outlineLevel="0" collapsed="false">
      <c r="A163" s="256"/>
      <c r="B163" s="202" t="s">
        <v>576</v>
      </c>
      <c r="C163" s="259" t="n">
        <v>0</v>
      </c>
      <c r="D163" s="259" t="n">
        <v>0</v>
      </c>
      <c r="E163" s="259" t="n">
        <v>0</v>
      </c>
      <c r="F163" s="259" t="n">
        <v>0</v>
      </c>
      <c r="G163" s="259" t="n">
        <v>0</v>
      </c>
      <c r="H163" s="259" t="n">
        <v>0</v>
      </c>
    </row>
    <row r="164" customFormat="false" ht="15" hidden="false" customHeight="false" outlineLevel="0" collapsed="false">
      <c r="A164" s="256" t="s">
        <v>733</v>
      </c>
      <c r="B164" s="202" t="s">
        <v>575</v>
      </c>
      <c r="C164" s="259" t="n">
        <v>0.8339</v>
      </c>
      <c r="D164" s="259" t="n">
        <v>0.6671</v>
      </c>
      <c r="E164" s="259" t="n">
        <v>0.5003</v>
      </c>
      <c r="F164" s="259" t="n">
        <v>0.3335</v>
      </c>
      <c r="G164" s="259" t="n">
        <v>0.1668</v>
      </c>
      <c r="H164" s="226" t="n">
        <v>0</v>
      </c>
    </row>
    <row r="165" customFormat="false" ht="15" hidden="false" customHeight="false" outlineLevel="0" collapsed="false">
      <c r="A165" s="256"/>
      <c r="B165" s="202" t="s">
        <v>192</v>
      </c>
      <c r="C165" s="259" t="n">
        <v>0.09</v>
      </c>
      <c r="D165" s="259" t="n">
        <v>0.104</v>
      </c>
      <c r="E165" s="259" t="n">
        <v>0.118</v>
      </c>
      <c r="F165" s="259" t="n">
        <v>0.132</v>
      </c>
      <c r="G165" s="259" t="n">
        <v>0.146</v>
      </c>
      <c r="H165" s="226" t="n">
        <v>0.16</v>
      </c>
    </row>
    <row r="166" customFormat="false" ht="15" hidden="false" customHeight="false" outlineLevel="0" collapsed="false">
      <c r="A166" s="256"/>
      <c r="B166" s="202" t="s">
        <v>374</v>
      </c>
      <c r="C166" s="259" t="n">
        <v>0.0761</v>
      </c>
      <c r="D166" s="259" t="n">
        <v>0.2289</v>
      </c>
      <c r="E166" s="259" t="n">
        <v>0.3817</v>
      </c>
      <c r="F166" s="259" t="n">
        <v>0.5345</v>
      </c>
      <c r="G166" s="259" t="n">
        <v>0.6872</v>
      </c>
      <c r="H166" s="226" t="n">
        <v>0.84</v>
      </c>
    </row>
    <row r="167" customFormat="false" ht="15" hidden="false" customHeight="false" outlineLevel="0" collapsed="false">
      <c r="A167" s="256"/>
      <c r="B167" s="202" t="s">
        <v>576</v>
      </c>
      <c r="C167" s="259" t="n">
        <v>0.0071</v>
      </c>
      <c r="D167" s="259" t="n">
        <v>0.005</v>
      </c>
      <c r="E167" s="259" t="n">
        <v>0.005</v>
      </c>
      <c r="F167" s="259" t="n">
        <v>0.005</v>
      </c>
      <c r="G167" s="259" t="n">
        <v>0</v>
      </c>
      <c r="H167" s="226" t="n">
        <v>0</v>
      </c>
    </row>
    <row r="168" customFormat="false" ht="15" hidden="false" customHeight="false" outlineLevel="0" collapsed="false">
      <c r="A168" s="256" t="s">
        <v>566</v>
      </c>
      <c r="B168" s="202" t="s">
        <v>575</v>
      </c>
      <c r="C168" s="259" t="n">
        <v>0.98</v>
      </c>
      <c r="D168" s="259" t="n">
        <v>0.93</v>
      </c>
      <c r="E168" s="259" t="n">
        <v>0.88</v>
      </c>
      <c r="F168" s="259" t="n">
        <v>0.83</v>
      </c>
      <c r="G168" s="259" t="n">
        <v>0.78</v>
      </c>
      <c r="H168" s="226" t="n">
        <v>0.73</v>
      </c>
    </row>
    <row r="169" customFormat="false" ht="15" hidden="false" customHeight="false" outlineLevel="0" collapsed="false">
      <c r="A169" s="256"/>
      <c r="B169" s="202" t="s">
        <v>192</v>
      </c>
      <c r="C169" s="259" t="n">
        <v>0.02</v>
      </c>
      <c r="D169" s="259" t="n">
        <v>0.07</v>
      </c>
      <c r="E169" s="259" t="n">
        <v>0.12</v>
      </c>
      <c r="F169" s="259" t="n">
        <v>0.17</v>
      </c>
      <c r="G169" s="259" t="n">
        <v>0.22</v>
      </c>
      <c r="H169" s="226" t="n">
        <v>0.27</v>
      </c>
    </row>
    <row r="170" customFormat="false" ht="15" hidden="false" customHeight="false" outlineLevel="0" collapsed="false">
      <c r="A170" s="256"/>
      <c r="B170" s="202" t="s">
        <v>374</v>
      </c>
      <c r="C170" s="259" t="n">
        <v>0</v>
      </c>
      <c r="D170" s="259" t="n">
        <v>0</v>
      </c>
      <c r="E170" s="259" t="n">
        <v>0</v>
      </c>
      <c r="F170" s="259" t="n">
        <v>0</v>
      </c>
      <c r="G170" s="259" t="n">
        <v>0</v>
      </c>
      <c r="H170" s="226" t="n">
        <v>0</v>
      </c>
    </row>
    <row r="171" customFormat="false" ht="15" hidden="false" customHeight="false" outlineLevel="0" collapsed="false">
      <c r="A171" s="256"/>
      <c r="B171" s="202" t="s">
        <v>576</v>
      </c>
      <c r="C171" s="259" t="n">
        <v>0</v>
      </c>
      <c r="D171" s="259" t="n">
        <v>0</v>
      </c>
      <c r="E171" s="259" t="n">
        <v>0</v>
      </c>
      <c r="F171" s="259" t="n">
        <v>0</v>
      </c>
      <c r="G171" s="259" t="n">
        <v>0</v>
      </c>
      <c r="H171" s="226" t="n">
        <v>0</v>
      </c>
    </row>
    <row r="172" customFormat="false" ht="15" hidden="false" customHeight="false" outlineLevel="0" collapsed="false">
      <c r="A172" s="256" t="s">
        <v>567</v>
      </c>
      <c r="B172" s="202" t="s">
        <v>575</v>
      </c>
      <c r="C172" s="259" t="n">
        <v>0.994397759103642</v>
      </c>
      <c r="D172" s="259" t="n">
        <v>0.991596638655462</v>
      </c>
      <c r="E172" s="259" t="n">
        <v>0.988795518207283</v>
      </c>
      <c r="F172" s="259" t="n">
        <v>0.985994397759104</v>
      </c>
      <c r="G172" s="259" t="n">
        <v>0.983193277310924</v>
      </c>
      <c r="H172" s="226" t="n">
        <v>0.980392156862745</v>
      </c>
    </row>
    <row r="173" customFormat="false" ht="15" hidden="false" customHeight="false" outlineLevel="0" collapsed="false">
      <c r="A173" s="256"/>
      <c r="B173" s="202" t="s">
        <v>192</v>
      </c>
      <c r="C173" s="259" t="n">
        <v>0</v>
      </c>
      <c r="D173" s="259" t="n">
        <v>0</v>
      </c>
      <c r="E173" s="259" t="n">
        <v>0</v>
      </c>
      <c r="F173" s="259" t="n">
        <v>0</v>
      </c>
      <c r="G173" s="259" t="n">
        <v>0</v>
      </c>
      <c r="H173" s="226" t="n">
        <v>0</v>
      </c>
    </row>
    <row r="174" customFormat="false" ht="15" hidden="false" customHeight="false" outlineLevel="0" collapsed="false">
      <c r="A174" s="256"/>
      <c r="B174" s="202" t="s">
        <v>374</v>
      </c>
      <c r="C174" s="259" t="n">
        <v>0.00560224089635854</v>
      </c>
      <c r="D174" s="259" t="n">
        <v>0.00840336134453782</v>
      </c>
      <c r="E174" s="259" t="n">
        <v>0.0112044817927171</v>
      </c>
      <c r="F174" s="259" t="n">
        <v>0.0140056022408964</v>
      </c>
      <c r="G174" s="259" t="n">
        <v>0.0168067226890756</v>
      </c>
      <c r="H174" s="226" t="n">
        <v>0.0196078431372549</v>
      </c>
    </row>
    <row r="175" customFormat="false" ht="15" hidden="false" customHeight="false" outlineLevel="0" collapsed="false">
      <c r="A175" s="256"/>
      <c r="B175" s="202" t="s">
        <v>576</v>
      </c>
      <c r="C175" s="259" t="n">
        <v>0</v>
      </c>
      <c r="D175" s="259" t="n">
        <v>0</v>
      </c>
      <c r="E175" s="259" t="n">
        <v>0</v>
      </c>
      <c r="F175" s="259" t="n">
        <v>0</v>
      </c>
      <c r="G175" s="259" t="n">
        <v>0</v>
      </c>
      <c r="H175" s="226" t="n">
        <v>0</v>
      </c>
    </row>
    <row r="176" customFormat="false" ht="15" hidden="false" customHeight="false" outlineLevel="0" collapsed="false">
      <c r="A176" s="201" t="s">
        <v>580</v>
      </c>
      <c r="B176" s="202" t="s">
        <v>575</v>
      </c>
      <c r="C176" s="259" t="n">
        <v>0.9122</v>
      </c>
      <c r="D176" s="259" t="n">
        <v>0.7297</v>
      </c>
      <c r="E176" s="259" t="n">
        <v>0.5473</v>
      </c>
      <c r="F176" s="259" t="n">
        <v>0.3649</v>
      </c>
      <c r="G176" s="259" t="n">
        <v>0.1824</v>
      </c>
      <c r="H176" s="226" t="n">
        <v>0</v>
      </c>
    </row>
    <row r="177" customFormat="false" ht="15" hidden="false" customHeight="false" outlineLevel="0" collapsed="false">
      <c r="A177" s="201"/>
      <c r="B177" s="202" t="s">
        <v>192</v>
      </c>
      <c r="C177" s="259" t="n">
        <v>0.0584</v>
      </c>
      <c r="D177" s="259" t="n">
        <v>0.0767</v>
      </c>
      <c r="E177" s="259" t="n">
        <v>0.095</v>
      </c>
      <c r="F177" s="259" t="n">
        <v>0.1134</v>
      </c>
      <c r="G177" s="259" t="n">
        <v>0.1317</v>
      </c>
      <c r="H177" s="226" t="n">
        <v>0.15</v>
      </c>
    </row>
    <row r="178" customFormat="false" ht="15" hidden="false" customHeight="false" outlineLevel="0" collapsed="false">
      <c r="A178" s="201"/>
      <c r="B178" s="202" t="s">
        <v>374</v>
      </c>
      <c r="C178" s="259" t="n">
        <v>0.0294</v>
      </c>
      <c r="D178" s="259" t="n">
        <v>0.1936</v>
      </c>
      <c r="E178" s="259" t="n">
        <v>0.3577</v>
      </c>
      <c r="F178" s="259" t="n">
        <v>0.5217</v>
      </c>
      <c r="G178" s="259" t="n">
        <v>0.6859</v>
      </c>
      <c r="H178" s="226" t="n">
        <v>0.85</v>
      </c>
    </row>
    <row r="179" customFormat="false" ht="15" hidden="false" customHeight="false" outlineLevel="0" collapsed="false">
      <c r="A179" s="201"/>
      <c r="B179" s="205" t="s">
        <v>576</v>
      </c>
      <c r="C179" s="206" t="n">
        <v>0.0056</v>
      </c>
      <c r="D179" s="206" t="n">
        <v>0.005</v>
      </c>
      <c r="E179" s="206" t="n">
        <v>0.005</v>
      </c>
      <c r="F179" s="206" t="n">
        <v>0.005</v>
      </c>
      <c r="G179" s="206" t="n">
        <v>0</v>
      </c>
      <c r="H179" s="207" t="n">
        <v>0</v>
      </c>
    </row>
    <row r="180" customFormat="false" ht="15" hidden="false" customHeight="false" outlineLevel="0" collapsed="false">
      <c r="A180" s="266"/>
      <c r="B180" s="266"/>
      <c r="C180" s="266"/>
      <c r="D180" s="266"/>
      <c r="E180" s="266"/>
      <c r="F180" s="266"/>
      <c r="G180" s="266"/>
      <c r="H180" s="266"/>
      <c r="I180" s="266"/>
      <c r="J180" s="266"/>
      <c r="K180" s="266"/>
      <c r="L180" s="266"/>
      <c r="M180" s="266"/>
      <c r="N180" s="266"/>
      <c r="O180" s="266"/>
      <c r="P180" s="266"/>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AN180" s="266"/>
      <c r="AO180" s="266"/>
      <c r="AP180" s="266"/>
      <c r="AQ180" s="266"/>
      <c r="AR180" s="266"/>
      <c r="AS180" s="266"/>
      <c r="AT180" s="266"/>
      <c r="AU180" s="266"/>
      <c r="AV180" s="266"/>
      <c r="AW180" s="266"/>
      <c r="AX180" s="266"/>
      <c r="AY180" s="266"/>
      <c r="AZ180" s="266"/>
    </row>
    <row r="181" customFormat="false" ht="17.35" hidden="false" customHeight="false" outlineLevel="0" collapsed="false">
      <c r="A181" s="265" t="s">
        <v>581</v>
      </c>
      <c r="B181" s="265"/>
      <c r="C181" s="265"/>
      <c r="D181" s="265"/>
      <c r="E181" s="265"/>
      <c r="F181" s="265"/>
      <c r="G181" s="265"/>
      <c r="H181" s="265"/>
      <c r="I181" s="266"/>
      <c r="J181" s="266"/>
      <c r="K181" s="266"/>
      <c r="L181" s="266"/>
      <c r="M181" s="266"/>
      <c r="N181" s="266"/>
      <c r="O181" s="266"/>
      <c r="P181" s="266"/>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AN181" s="266"/>
      <c r="AO181" s="266"/>
      <c r="AP181" s="266"/>
      <c r="AQ181" s="266"/>
      <c r="AR181" s="266"/>
      <c r="AS181" s="266"/>
      <c r="AT181" s="266"/>
      <c r="AU181" s="266"/>
      <c r="AV181" s="266"/>
      <c r="AW181" s="266"/>
      <c r="AX181" s="266"/>
      <c r="AY181" s="266"/>
      <c r="AZ181" s="266"/>
    </row>
    <row r="182" customFormat="false" ht="15" hidden="false" customHeight="false" outlineLevel="0" collapsed="false">
      <c r="A182" s="208" t="s">
        <v>36</v>
      </c>
      <c r="B182" s="202" t="s">
        <v>36</v>
      </c>
      <c r="C182" s="203" t="n">
        <v>2025</v>
      </c>
      <c r="D182" s="203" t="n">
        <v>2030</v>
      </c>
      <c r="E182" s="203" t="n">
        <v>2035</v>
      </c>
      <c r="F182" s="203" t="n">
        <v>2040</v>
      </c>
      <c r="G182" s="203" t="n">
        <v>2045</v>
      </c>
      <c r="H182" s="204" t="n">
        <v>2050</v>
      </c>
    </row>
    <row r="183" customFormat="false" ht="15" hidden="false" customHeight="false" outlineLevel="0" collapsed="false">
      <c r="A183" s="267" t="s">
        <v>582</v>
      </c>
      <c r="B183" s="202" t="s">
        <v>583</v>
      </c>
      <c r="C183" s="259" t="n">
        <v>0</v>
      </c>
      <c r="D183" s="259" t="n">
        <v>0</v>
      </c>
      <c r="E183" s="259" t="n">
        <v>0</v>
      </c>
      <c r="F183" s="259" t="n">
        <v>0</v>
      </c>
      <c r="G183" s="259" t="n">
        <v>0</v>
      </c>
      <c r="H183" s="259" t="n">
        <v>0</v>
      </c>
      <c r="I183" s="266"/>
      <c r="J183" s="266"/>
      <c r="K183" s="266"/>
      <c r="L183" s="266"/>
      <c r="M183" s="266"/>
      <c r="N183" s="266"/>
      <c r="O183" s="266"/>
      <c r="P183" s="266"/>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AN183" s="266"/>
      <c r="AO183" s="266"/>
      <c r="AP183" s="266"/>
      <c r="AQ183" s="266"/>
      <c r="AR183" s="266"/>
      <c r="AS183" s="266"/>
      <c r="AT183" s="266"/>
      <c r="AU183" s="266"/>
      <c r="AV183" s="266"/>
      <c r="AW183" s="266"/>
      <c r="AX183" s="266"/>
      <c r="AY183" s="266"/>
      <c r="AZ183" s="266"/>
    </row>
    <row r="184" customFormat="false" ht="15" hidden="false" customHeight="false" outlineLevel="0" collapsed="false">
      <c r="A184" s="267"/>
      <c r="B184" s="202" t="s">
        <v>584</v>
      </c>
      <c r="C184" s="259" t="n">
        <v>0.35</v>
      </c>
      <c r="D184" s="259" t="n">
        <v>0.45</v>
      </c>
      <c r="E184" s="259" t="n">
        <v>0.5</v>
      </c>
      <c r="F184" s="259" t="n">
        <v>0.55</v>
      </c>
      <c r="G184" s="259" t="n">
        <v>0.58</v>
      </c>
      <c r="H184" s="259" t="n">
        <v>0.6</v>
      </c>
      <c r="I184" s="266"/>
      <c r="J184" s="266"/>
      <c r="K184" s="266"/>
      <c r="L184" s="266"/>
      <c r="M184" s="266"/>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AN184" s="266"/>
      <c r="AO184" s="266"/>
      <c r="AP184" s="266"/>
      <c r="AQ184" s="266"/>
      <c r="AR184" s="266"/>
      <c r="AS184" s="266"/>
      <c r="AT184" s="266"/>
      <c r="AU184" s="266"/>
      <c r="AV184" s="266"/>
      <c r="AW184" s="266"/>
      <c r="AX184" s="266"/>
      <c r="AY184" s="266"/>
      <c r="AZ184" s="266"/>
    </row>
    <row r="185" customFormat="false" ht="15" hidden="false" customHeight="false" outlineLevel="0" collapsed="false">
      <c r="A185" s="267"/>
      <c r="B185" s="202" t="s">
        <v>585</v>
      </c>
      <c r="C185" s="259" t="n">
        <v>0.15</v>
      </c>
      <c r="D185" s="259" t="n">
        <v>0.05</v>
      </c>
      <c r="E185" s="259" t="n">
        <v>0</v>
      </c>
      <c r="F185" s="259" t="n">
        <v>0</v>
      </c>
      <c r="G185" s="259" t="n">
        <v>0</v>
      </c>
      <c r="H185" s="259" t="n">
        <v>0</v>
      </c>
      <c r="I185" s="266"/>
      <c r="J185" s="266"/>
      <c r="K185" s="266"/>
      <c r="L185" s="266"/>
      <c r="M185" s="266"/>
      <c r="N185" s="266"/>
      <c r="O185" s="266"/>
      <c r="P185" s="266"/>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AN185" s="266"/>
      <c r="AO185" s="266"/>
      <c r="AP185" s="266"/>
      <c r="AQ185" s="266"/>
      <c r="AR185" s="266"/>
      <c r="AS185" s="266"/>
      <c r="AT185" s="266"/>
      <c r="AU185" s="266"/>
      <c r="AV185" s="266"/>
      <c r="AW185" s="266"/>
      <c r="AX185" s="266"/>
      <c r="AY185" s="266"/>
      <c r="AZ185" s="266"/>
    </row>
    <row r="186" customFormat="false" ht="15" hidden="false" customHeight="false" outlineLevel="0" collapsed="false">
      <c r="A186" s="267"/>
      <c r="B186" s="202" t="s">
        <v>586</v>
      </c>
      <c r="C186" s="259" t="n">
        <v>0.4</v>
      </c>
      <c r="D186" s="259" t="n">
        <v>0.45</v>
      </c>
      <c r="E186" s="259" t="n">
        <v>0.45</v>
      </c>
      <c r="F186" s="259" t="n">
        <v>0.4</v>
      </c>
      <c r="G186" s="259" t="n">
        <v>0.37</v>
      </c>
      <c r="H186" s="259" t="n">
        <v>0.35</v>
      </c>
      <c r="I186" s="266"/>
      <c r="J186" s="266"/>
      <c r="K186" s="266"/>
      <c r="L186" s="266"/>
      <c r="M186" s="266"/>
      <c r="N186" s="266"/>
      <c r="O186" s="266"/>
      <c r="P186" s="266"/>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AN186" s="266"/>
      <c r="AO186" s="266"/>
      <c r="AP186" s="266"/>
      <c r="AQ186" s="266"/>
      <c r="AR186" s="266"/>
      <c r="AS186" s="266"/>
      <c r="AT186" s="266"/>
      <c r="AU186" s="266"/>
      <c r="AV186" s="266"/>
      <c r="AW186" s="266"/>
      <c r="AX186" s="266"/>
      <c r="AY186" s="266"/>
      <c r="AZ186" s="266"/>
    </row>
    <row r="187" customFormat="false" ht="15" hidden="false" customHeight="false" outlineLevel="0" collapsed="false">
      <c r="A187" s="267"/>
      <c r="B187" s="202" t="s">
        <v>587</v>
      </c>
      <c r="C187" s="259" t="n">
        <v>0.1</v>
      </c>
      <c r="D187" s="259" t="n">
        <v>0.05</v>
      </c>
      <c r="E187" s="259" t="n">
        <v>0.05</v>
      </c>
      <c r="F187" s="259" t="n">
        <v>0.05</v>
      </c>
      <c r="G187" s="259" t="n">
        <v>0.05</v>
      </c>
      <c r="H187" s="259" t="n">
        <v>0.05</v>
      </c>
      <c r="I187" s="266"/>
      <c r="J187" s="266"/>
      <c r="K187" s="266"/>
      <c r="L187" s="266"/>
      <c r="M187" s="266"/>
      <c r="N187" s="266"/>
      <c r="O187" s="266"/>
      <c r="P187" s="266"/>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AN187" s="266"/>
      <c r="AO187" s="266"/>
      <c r="AP187" s="266"/>
      <c r="AQ187" s="266"/>
      <c r="AR187" s="266"/>
      <c r="AS187" s="266"/>
      <c r="AT187" s="266"/>
      <c r="AU187" s="266"/>
      <c r="AV187" s="266"/>
      <c r="AW187" s="266"/>
      <c r="AX187" s="266"/>
      <c r="AY187" s="266"/>
      <c r="AZ187" s="266"/>
    </row>
    <row r="188" customFormat="false" ht="15" hidden="false" customHeight="false" outlineLevel="0" collapsed="false">
      <c r="A188" s="267" t="s">
        <v>579</v>
      </c>
      <c r="B188" s="202" t="s">
        <v>583</v>
      </c>
      <c r="C188" s="259" t="n">
        <v>0</v>
      </c>
      <c r="D188" s="259" t="n">
        <v>0</v>
      </c>
      <c r="E188" s="259" t="n">
        <v>0</v>
      </c>
      <c r="F188" s="259" t="n">
        <v>0</v>
      </c>
      <c r="G188" s="259" t="n">
        <v>0</v>
      </c>
      <c r="H188" s="259" t="n">
        <v>0</v>
      </c>
      <c r="I188" s="266"/>
      <c r="J188" s="266"/>
      <c r="K188" s="266"/>
      <c r="L188" s="266"/>
      <c r="M188" s="266"/>
      <c r="N188" s="266"/>
      <c r="O188" s="266"/>
      <c r="P188" s="266"/>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AN188" s="266"/>
      <c r="AO188" s="266"/>
      <c r="AP188" s="266"/>
      <c r="AQ188" s="266"/>
      <c r="AR188" s="266"/>
      <c r="AS188" s="266"/>
      <c r="AT188" s="266"/>
      <c r="AU188" s="266"/>
      <c r="AV188" s="266"/>
      <c r="AW188" s="266"/>
      <c r="AX188" s="266"/>
      <c r="AY188" s="266"/>
      <c r="AZ188" s="266"/>
    </row>
    <row r="189" customFormat="false" ht="15" hidden="false" customHeight="false" outlineLevel="0" collapsed="false">
      <c r="A189" s="267"/>
      <c r="B189" s="202" t="s">
        <v>584</v>
      </c>
      <c r="C189" s="259" t="n">
        <v>0.65</v>
      </c>
      <c r="D189" s="259" t="n">
        <v>0.85</v>
      </c>
      <c r="E189" s="259" t="n">
        <v>0.95</v>
      </c>
      <c r="F189" s="259" t="n">
        <v>0.95</v>
      </c>
      <c r="G189" s="259" t="n">
        <v>0.95</v>
      </c>
      <c r="H189" s="259" t="n">
        <v>0.95</v>
      </c>
      <c r="I189" s="266"/>
      <c r="J189" s="266"/>
      <c r="K189" s="266"/>
      <c r="L189" s="266"/>
      <c r="M189" s="266"/>
      <c r="N189" s="266"/>
      <c r="O189" s="266"/>
      <c r="P189" s="266"/>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66"/>
      <c r="AV189" s="266"/>
      <c r="AW189" s="266"/>
      <c r="AX189" s="266"/>
      <c r="AY189" s="266"/>
      <c r="AZ189" s="266"/>
    </row>
    <row r="190" customFormat="false" ht="15" hidden="false" customHeight="false" outlineLevel="0" collapsed="false">
      <c r="A190" s="267"/>
      <c r="B190" s="202" t="s">
        <v>585</v>
      </c>
      <c r="C190" s="259" t="n">
        <v>0.25</v>
      </c>
      <c r="D190" s="259" t="n">
        <v>0.15</v>
      </c>
      <c r="E190" s="259" t="n">
        <v>0.05</v>
      </c>
      <c r="F190" s="259" t="n">
        <v>0.05</v>
      </c>
      <c r="G190" s="259" t="n">
        <v>0.05</v>
      </c>
      <c r="H190" s="259" t="n">
        <v>0.05</v>
      </c>
      <c r="I190" s="266"/>
      <c r="J190" s="266"/>
      <c r="K190" s="266"/>
      <c r="L190" s="266"/>
      <c r="M190" s="26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AN190" s="266"/>
      <c r="AO190" s="266"/>
      <c r="AP190" s="266"/>
      <c r="AQ190" s="266"/>
      <c r="AR190" s="266"/>
      <c r="AS190" s="266"/>
      <c r="AT190" s="266"/>
      <c r="AU190" s="266"/>
      <c r="AV190" s="266"/>
      <c r="AW190" s="266"/>
      <c r="AX190" s="266"/>
      <c r="AY190" s="266"/>
      <c r="AZ190" s="266"/>
    </row>
    <row r="191" customFormat="false" ht="15" hidden="false" customHeight="false" outlineLevel="0" collapsed="false">
      <c r="A191" s="267"/>
      <c r="B191" s="202" t="s">
        <v>586</v>
      </c>
      <c r="C191" s="259" t="n">
        <v>0.1</v>
      </c>
      <c r="D191" s="259" t="n">
        <v>0</v>
      </c>
      <c r="E191" s="259" t="n">
        <v>0</v>
      </c>
      <c r="F191" s="259" t="n">
        <v>0</v>
      </c>
      <c r="G191" s="259" t="n">
        <v>0</v>
      </c>
      <c r="H191" s="259" t="n">
        <v>0</v>
      </c>
      <c r="I191" s="266"/>
      <c r="J191" s="266"/>
      <c r="K191" s="266"/>
      <c r="L191" s="266"/>
      <c r="M191" s="26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AN191" s="266"/>
      <c r="AO191" s="266"/>
      <c r="AP191" s="266"/>
      <c r="AQ191" s="266"/>
      <c r="AR191" s="266"/>
      <c r="AS191" s="266"/>
      <c r="AT191" s="266"/>
      <c r="AU191" s="266"/>
      <c r="AV191" s="266"/>
      <c r="AW191" s="266"/>
      <c r="AX191" s="266"/>
      <c r="AY191" s="266"/>
      <c r="AZ191" s="266"/>
    </row>
    <row r="192" customFormat="false" ht="15" hidden="false" customHeight="false" outlineLevel="0" collapsed="false">
      <c r="A192" s="267"/>
      <c r="B192" s="202" t="s">
        <v>587</v>
      </c>
      <c r="C192" s="259" t="n">
        <v>0</v>
      </c>
      <c r="D192" s="259" t="n">
        <v>0</v>
      </c>
      <c r="E192" s="259" t="n">
        <v>0</v>
      </c>
      <c r="F192" s="259" t="n">
        <v>0</v>
      </c>
      <c r="G192" s="259" t="n">
        <v>0</v>
      </c>
      <c r="H192" s="259" t="n">
        <v>0</v>
      </c>
      <c r="I192" s="266"/>
      <c r="J192" s="266"/>
      <c r="K192" s="266"/>
      <c r="L192" s="266"/>
      <c r="M192" s="266"/>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AN192" s="266"/>
      <c r="AO192" s="266"/>
      <c r="AP192" s="266"/>
      <c r="AQ192" s="266"/>
      <c r="AR192" s="266"/>
      <c r="AS192" s="266"/>
      <c r="AT192" s="266"/>
      <c r="AU192" s="266"/>
      <c r="AV192" s="266"/>
      <c r="AW192" s="266"/>
      <c r="AX192" s="266"/>
      <c r="AY192" s="266"/>
      <c r="AZ192" s="266"/>
    </row>
    <row r="193" customFormat="false" ht="15" hidden="false" customHeight="false" outlineLevel="0" collapsed="false">
      <c r="A193" s="267" t="s">
        <v>588</v>
      </c>
      <c r="B193" s="202" t="s">
        <v>583</v>
      </c>
      <c r="C193" s="259" t="n">
        <v>0</v>
      </c>
      <c r="D193" s="259" t="n">
        <v>0</v>
      </c>
      <c r="E193" s="259" t="n">
        <v>0</v>
      </c>
      <c r="F193" s="259" t="n">
        <v>0</v>
      </c>
      <c r="G193" s="259" t="n">
        <v>0</v>
      </c>
      <c r="H193" s="259" t="n">
        <v>0</v>
      </c>
      <c r="I193" s="266"/>
      <c r="J193" s="266"/>
      <c r="K193" s="266"/>
      <c r="L193" s="266"/>
      <c r="M193" s="266"/>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AN193" s="266"/>
      <c r="AO193" s="266"/>
      <c r="AP193" s="266"/>
      <c r="AQ193" s="266"/>
      <c r="AR193" s="266"/>
      <c r="AS193" s="266"/>
      <c r="AT193" s="266"/>
      <c r="AU193" s="266"/>
      <c r="AV193" s="266"/>
      <c r="AW193" s="266"/>
      <c r="AX193" s="266"/>
      <c r="AY193" s="266"/>
      <c r="AZ193" s="266"/>
    </row>
    <row r="194" customFormat="false" ht="15" hidden="false" customHeight="false" outlineLevel="0" collapsed="false">
      <c r="A194" s="267"/>
      <c r="B194" s="202" t="s">
        <v>584</v>
      </c>
      <c r="C194" s="259" t="n">
        <v>0.2</v>
      </c>
      <c r="D194" s="259" t="n">
        <v>0.35</v>
      </c>
      <c r="E194" s="259" t="n">
        <v>0.45</v>
      </c>
      <c r="F194" s="259" t="n">
        <v>0.5</v>
      </c>
      <c r="G194" s="259" t="n">
        <v>0.52</v>
      </c>
      <c r="H194" s="259" t="n">
        <v>0.55</v>
      </c>
      <c r="I194" s="266"/>
      <c r="J194" s="266"/>
      <c r="K194" s="266"/>
      <c r="L194" s="266"/>
      <c r="M194" s="26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AN194" s="266"/>
      <c r="AO194" s="266"/>
      <c r="AP194" s="266"/>
      <c r="AQ194" s="266"/>
      <c r="AR194" s="266"/>
      <c r="AS194" s="266"/>
      <c r="AT194" s="266"/>
      <c r="AU194" s="266"/>
      <c r="AV194" s="266"/>
      <c r="AW194" s="266"/>
      <c r="AX194" s="266"/>
      <c r="AY194" s="266"/>
      <c r="AZ194" s="266"/>
    </row>
    <row r="195" customFormat="false" ht="15" hidden="false" customHeight="false" outlineLevel="0" collapsed="false">
      <c r="A195" s="267"/>
      <c r="B195" s="202" t="s">
        <v>585</v>
      </c>
      <c r="C195" s="259" t="n">
        <v>0.65</v>
      </c>
      <c r="D195" s="259" t="n">
        <v>0.65</v>
      </c>
      <c r="E195" s="259" t="n">
        <v>0.55</v>
      </c>
      <c r="F195" s="259" t="n">
        <v>0.5</v>
      </c>
      <c r="G195" s="259" t="n">
        <v>0.48</v>
      </c>
      <c r="H195" s="259" t="n">
        <v>0.45</v>
      </c>
      <c r="I195" s="266"/>
      <c r="J195" s="266"/>
      <c r="K195" s="266"/>
      <c r="L195" s="266"/>
      <c r="M195" s="266"/>
      <c r="N195" s="266"/>
      <c r="O195" s="266"/>
      <c r="P195" s="266"/>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AN195" s="266"/>
      <c r="AO195" s="266"/>
      <c r="AP195" s="266"/>
      <c r="AQ195" s="266"/>
      <c r="AR195" s="266"/>
      <c r="AS195" s="266"/>
      <c r="AT195" s="266"/>
      <c r="AU195" s="266"/>
      <c r="AV195" s="266"/>
      <c r="AW195" s="266"/>
      <c r="AX195" s="266"/>
      <c r="AY195" s="266"/>
      <c r="AZ195" s="266"/>
    </row>
    <row r="196" customFormat="false" ht="15" hidden="false" customHeight="false" outlineLevel="0" collapsed="false">
      <c r="A196" s="267"/>
      <c r="B196" s="202" t="s">
        <v>586</v>
      </c>
      <c r="C196" s="259" t="n">
        <v>0.15</v>
      </c>
      <c r="D196" s="259" t="n">
        <v>0</v>
      </c>
      <c r="E196" s="259" t="n">
        <v>0</v>
      </c>
      <c r="F196" s="259" t="n">
        <v>0</v>
      </c>
      <c r="G196" s="259" t="n">
        <v>0</v>
      </c>
      <c r="H196" s="259" t="n">
        <v>0</v>
      </c>
      <c r="I196" s="266"/>
      <c r="J196" s="266"/>
      <c r="K196" s="266"/>
      <c r="L196" s="266"/>
      <c r="M196" s="26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AN196" s="266"/>
      <c r="AO196" s="266"/>
      <c r="AP196" s="266"/>
      <c r="AQ196" s="266"/>
      <c r="AR196" s="266"/>
      <c r="AS196" s="266"/>
      <c r="AT196" s="266"/>
      <c r="AU196" s="266"/>
      <c r="AV196" s="266"/>
      <c r="AW196" s="266"/>
      <c r="AX196" s="266"/>
      <c r="AY196" s="266"/>
      <c r="AZ196" s="266"/>
    </row>
    <row r="197" customFormat="false" ht="15" hidden="false" customHeight="false" outlineLevel="0" collapsed="false">
      <c r="A197" s="267"/>
      <c r="B197" s="202" t="s">
        <v>587</v>
      </c>
      <c r="C197" s="259" t="n">
        <v>0</v>
      </c>
      <c r="D197" s="259" t="n">
        <v>0</v>
      </c>
      <c r="E197" s="259" t="n">
        <v>0</v>
      </c>
      <c r="F197" s="259" t="n">
        <v>0</v>
      </c>
      <c r="G197" s="259" t="n">
        <v>0</v>
      </c>
      <c r="H197" s="259" t="n">
        <v>0</v>
      </c>
      <c r="I197" s="266"/>
      <c r="J197" s="266"/>
      <c r="K197" s="266"/>
      <c r="L197" s="266"/>
      <c r="M197" s="26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AN197" s="266"/>
      <c r="AO197" s="266"/>
      <c r="AP197" s="266"/>
      <c r="AQ197" s="266"/>
      <c r="AR197" s="266"/>
      <c r="AS197" s="266"/>
      <c r="AT197" s="266"/>
      <c r="AU197" s="266"/>
      <c r="AV197" s="266"/>
      <c r="AW197" s="266"/>
      <c r="AX197" s="266"/>
      <c r="AY197" s="266"/>
      <c r="AZ197" s="266"/>
    </row>
    <row r="198" customFormat="false" ht="15" hidden="false" customHeight="false" outlineLevel="0" collapsed="false">
      <c r="A198" s="267" t="s">
        <v>589</v>
      </c>
      <c r="B198" s="202" t="s">
        <v>583</v>
      </c>
      <c r="C198" s="259" t="n">
        <v>0</v>
      </c>
      <c r="D198" s="259" t="n">
        <v>0</v>
      </c>
      <c r="E198" s="259" t="n">
        <v>0</v>
      </c>
      <c r="F198" s="259" t="n">
        <v>0</v>
      </c>
      <c r="G198" s="259" t="n">
        <v>0</v>
      </c>
      <c r="H198" s="259" t="n">
        <v>0</v>
      </c>
      <c r="I198" s="266"/>
      <c r="J198" s="266"/>
      <c r="K198" s="266"/>
      <c r="L198" s="266"/>
      <c r="M198" s="26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row>
    <row r="199" customFormat="false" ht="15" hidden="false" customHeight="false" outlineLevel="0" collapsed="false">
      <c r="A199" s="267"/>
      <c r="B199" s="202" t="s">
        <v>584</v>
      </c>
      <c r="C199" s="259" t="n">
        <v>0.15</v>
      </c>
      <c r="D199" s="259" t="n">
        <v>0.25</v>
      </c>
      <c r="E199" s="259" t="n">
        <v>0.3</v>
      </c>
      <c r="F199" s="259" t="n">
        <v>0.35</v>
      </c>
      <c r="G199" s="259" t="n">
        <v>0.38</v>
      </c>
      <c r="H199" s="259" t="n">
        <v>0.4</v>
      </c>
      <c r="I199" s="266"/>
      <c r="J199" s="266"/>
      <c r="K199" s="266"/>
      <c r="L199" s="266"/>
      <c r="M199" s="26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row>
    <row r="200" customFormat="false" ht="15" hidden="false" customHeight="false" outlineLevel="0" collapsed="false">
      <c r="A200" s="267"/>
      <c r="B200" s="202" t="s">
        <v>585</v>
      </c>
      <c r="C200" s="259" t="n">
        <v>0.7</v>
      </c>
      <c r="D200" s="259" t="n">
        <v>0.75</v>
      </c>
      <c r="E200" s="259" t="n">
        <v>0.7</v>
      </c>
      <c r="F200" s="259" t="n">
        <v>0.65</v>
      </c>
      <c r="G200" s="259" t="n">
        <v>0.62</v>
      </c>
      <c r="H200" s="259" t="n">
        <v>0.6</v>
      </c>
      <c r="I200" s="266"/>
      <c r="J200" s="266"/>
      <c r="K200" s="266"/>
      <c r="L200" s="266"/>
      <c r="M200" s="26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AN200" s="266"/>
      <c r="AO200" s="266"/>
      <c r="AP200" s="266"/>
      <c r="AQ200" s="266"/>
      <c r="AR200" s="266"/>
      <c r="AS200" s="266"/>
      <c r="AT200" s="266"/>
      <c r="AU200" s="266"/>
      <c r="AV200" s="266"/>
      <c r="AW200" s="266"/>
      <c r="AX200" s="266"/>
      <c r="AY200" s="266"/>
      <c r="AZ200" s="266"/>
    </row>
    <row r="201" customFormat="false" ht="15" hidden="false" customHeight="false" outlineLevel="0" collapsed="false">
      <c r="A201" s="267"/>
      <c r="B201" s="202" t="s">
        <v>586</v>
      </c>
      <c r="C201" s="259" t="n">
        <v>0.15</v>
      </c>
      <c r="D201" s="259" t="n">
        <v>0</v>
      </c>
      <c r="E201" s="259" t="n">
        <v>0</v>
      </c>
      <c r="F201" s="259" t="n">
        <v>0</v>
      </c>
      <c r="G201" s="259" t="n">
        <v>0</v>
      </c>
      <c r="H201" s="259" t="n">
        <v>0</v>
      </c>
      <c r="I201" s="266"/>
      <c r="J201" s="266"/>
      <c r="K201" s="266"/>
      <c r="L201" s="266"/>
      <c r="M201" s="26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AN201" s="266"/>
      <c r="AO201" s="266"/>
      <c r="AP201" s="266"/>
      <c r="AQ201" s="266"/>
      <c r="AR201" s="266"/>
      <c r="AS201" s="266"/>
      <c r="AT201" s="266"/>
      <c r="AU201" s="266"/>
      <c r="AV201" s="266"/>
      <c r="AW201" s="266"/>
      <c r="AX201" s="266"/>
      <c r="AY201" s="266"/>
      <c r="AZ201" s="266"/>
    </row>
    <row r="202" customFormat="false" ht="15" hidden="false" customHeight="false" outlineLevel="0" collapsed="false">
      <c r="A202" s="267"/>
      <c r="B202" s="202" t="s">
        <v>587</v>
      </c>
      <c r="C202" s="259" t="n">
        <v>0</v>
      </c>
      <c r="D202" s="259" t="n">
        <v>0</v>
      </c>
      <c r="E202" s="259" t="n">
        <v>0</v>
      </c>
      <c r="F202" s="259" t="n">
        <v>0</v>
      </c>
      <c r="G202" s="259" t="n">
        <v>0</v>
      </c>
      <c r="H202" s="259" t="n">
        <v>0</v>
      </c>
      <c r="I202" s="266"/>
      <c r="J202" s="266"/>
      <c r="K202" s="266"/>
      <c r="L202" s="266"/>
      <c r="M202" s="26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AN202" s="266"/>
      <c r="AO202" s="266"/>
      <c r="AP202" s="266"/>
      <c r="AQ202" s="266"/>
      <c r="AR202" s="266"/>
      <c r="AS202" s="266"/>
      <c r="AT202" s="266"/>
      <c r="AU202" s="266"/>
      <c r="AV202" s="266"/>
      <c r="AW202" s="266"/>
      <c r="AX202" s="266"/>
      <c r="AY202" s="266"/>
      <c r="AZ202" s="266"/>
    </row>
    <row r="203" customFormat="false" ht="15" hidden="false" customHeight="true" outlineLevel="0" collapsed="false"/>
    <row r="204" customFormat="false" ht="21.75" hidden="false" customHeight="true" outlineLevel="0" collapsed="false">
      <c r="A204" s="199" t="s">
        <v>590</v>
      </c>
    </row>
    <row r="205" customFormat="false" ht="17.35" hidden="false" customHeight="false" outlineLevel="0" collapsed="false">
      <c r="A205" s="200" t="s">
        <v>317</v>
      </c>
      <c r="B205" s="200"/>
      <c r="C205" s="200"/>
      <c r="D205" s="200"/>
      <c r="E205" s="200"/>
    </row>
    <row r="206" customFormat="false" ht="85.5" hidden="false" customHeight="true" outlineLevel="0" collapsed="false">
      <c r="A206" s="268" t="s">
        <v>318</v>
      </c>
      <c r="B206" s="268"/>
      <c r="C206" s="268"/>
      <c r="D206" s="268"/>
      <c r="E206" s="268"/>
    </row>
    <row r="207" customFormat="false" ht="15" hidden="false" customHeight="true" outlineLevel="0" collapsed="false">
      <c r="A207" s="78"/>
      <c r="B207" s="78"/>
      <c r="C207" s="78"/>
      <c r="D207" s="78"/>
      <c r="E207" s="78"/>
      <c r="F207" s="78"/>
      <c r="G207" s="78" t="s">
        <v>591</v>
      </c>
      <c r="H207" s="78" t="n">
        <v>2025</v>
      </c>
      <c r="I207" s="78" t="n">
        <v>2030</v>
      </c>
      <c r="J207" s="78" t="n">
        <v>2035</v>
      </c>
      <c r="K207" s="78" t="n">
        <v>2040</v>
      </c>
      <c r="L207" s="78" t="n">
        <v>2045</v>
      </c>
      <c r="M207" s="78" t="n">
        <v>2050</v>
      </c>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row>
    <row r="208" customFormat="false" ht="13.5" hidden="false" customHeight="true" outlineLevel="0" collapsed="false">
      <c r="A208" s="269" t="s">
        <v>319</v>
      </c>
      <c r="B208" s="270" t="s">
        <v>320</v>
      </c>
      <c r="C208" s="271" t="n">
        <v>3</v>
      </c>
      <c r="D208" s="78"/>
      <c r="F208" s="78"/>
      <c r="G208" s="78" t="s">
        <v>592</v>
      </c>
      <c r="H208" s="78" t="n">
        <v>0.11765198</v>
      </c>
      <c r="I208" s="78" t="n">
        <v>0.09412158</v>
      </c>
      <c r="J208" s="78" t="n">
        <v>0.07059119</v>
      </c>
      <c r="K208" s="149" t="n">
        <v>0.04706079</v>
      </c>
      <c r="L208" s="149" t="n">
        <v>0.02353039</v>
      </c>
      <c r="M208" s="78" t="n">
        <v>0</v>
      </c>
      <c r="N208" s="78"/>
    </row>
    <row r="209" customFormat="false" ht="15.75" hidden="false" customHeight="false" outlineLevel="0" collapsed="false">
      <c r="A209" s="269"/>
      <c r="B209" s="202" t="s">
        <v>321</v>
      </c>
      <c r="C209" s="271"/>
      <c r="D209" s="151"/>
      <c r="E209" s="151"/>
      <c r="F209" s="151"/>
      <c r="G209" s="151" t="s">
        <v>593</v>
      </c>
      <c r="H209" s="151" t="n">
        <v>0</v>
      </c>
      <c r="I209" s="151" t="n">
        <v>0</v>
      </c>
      <c r="J209" s="151" t="n">
        <v>0</v>
      </c>
      <c r="K209" s="151" t="n">
        <v>0</v>
      </c>
      <c r="L209" s="151" t="n">
        <v>0</v>
      </c>
      <c r="M209" s="151" t="n">
        <v>0</v>
      </c>
      <c r="N209" s="151"/>
    </row>
    <row r="210" customFormat="false" ht="28.5" hidden="false" customHeight="true" outlineLevel="0" collapsed="false">
      <c r="A210" s="269"/>
      <c r="B210" s="205" t="s">
        <v>322</v>
      </c>
      <c r="C210" s="271"/>
      <c r="D210" s="78"/>
      <c r="E210" s="78"/>
      <c r="F210" s="78"/>
      <c r="G210" s="78" t="s">
        <v>594</v>
      </c>
      <c r="H210" s="78" t="n">
        <v>0.88234802</v>
      </c>
      <c r="I210" s="78" t="n">
        <v>0.90587842</v>
      </c>
      <c r="J210" s="78" t="n">
        <v>0.92940881</v>
      </c>
      <c r="K210" s="78" t="n">
        <v>0.95293921</v>
      </c>
      <c r="L210" s="78" t="n">
        <v>0.97646961</v>
      </c>
      <c r="M210" s="78" t="n">
        <v>1</v>
      </c>
      <c r="N210" s="78"/>
    </row>
    <row r="211" customFormat="false" ht="15" hidden="false" customHeight="false" outlineLevel="0" collapsed="false">
      <c r="G211" s="1" t="s">
        <v>595</v>
      </c>
      <c r="H211" s="1" t="n">
        <v>0</v>
      </c>
      <c r="I211" s="1" t="n">
        <v>0</v>
      </c>
      <c r="J211" s="1" t="n">
        <v>0</v>
      </c>
      <c r="K211" s="1" t="n">
        <v>0</v>
      </c>
      <c r="L211" s="1" t="n">
        <v>0</v>
      </c>
      <c r="M211" s="1" t="n">
        <v>0</v>
      </c>
    </row>
    <row r="212" customFormat="false" ht="15.75" hidden="false" customHeight="true" outlineLevel="0" collapsed="false">
      <c r="A212" s="200" t="s">
        <v>323</v>
      </c>
      <c r="B212" s="200"/>
      <c r="C212" s="200"/>
    </row>
    <row r="213" customFormat="false" ht="15" hidden="false" customHeight="false" outlineLevel="0" collapsed="false">
      <c r="A213" s="208" t="s">
        <v>324</v>
      </c>
      <c r="B213" s="202" t="s">
        <v>28</v>
      </c>
      <c r="C213" s="204" t="n">
        <v>0.3</v>
      </c>
    </row>
    <row r="214" customFormat="false" ht="30.75" hidden="false" customHeight="false" outlineLevel="0" collapsed="false">
      <c r="A214" s="272" t="s">
        <v>326</v>
      </c>
      <c r="B214" s="205" t="s">
        <v>327</v>
      </c>
      <c r="C214" s="248" t="n">
        <v>0.031</v>
      </c>
    </row>
    <row r="215" customFormat="false" ht="15.75" hidden="false" customHeight="true" outlineLevel="0" collapsed="false">
      <c r="A215" s="239" t="s">
        <v>596</v>
      </c>
      <c r="B215" s="239"/>
      <c r="C215" s="273" t="s">
        <v>580</v>
      </c>
      <c r="D215" s="273" t="s">
        <v>597</v>
      </c>
      <c r="E215" s="273" t="s">
        <v>598</v>
      </c>
      <c r="F215" s="273" t="s">
        <v>599</v>
      </c>
      <c r="G215" s="273" t="s">
        <v>600</v>
      </c>
      <c r="H215" s="273" t="s">
        <v>601</v>
      </c>
      <c r="I215" s="273" t="s">
        <v>602</v>
      </c>
      <c r="J215" s="273" t="s">
        <v>603</v>
      </c>
      <c r="K215" s="273" t="s">
        <v>354</v>
      </c>
      <c r="L215" s="273" t="s">
        <v>369</v>
      </c>
      <c r="M215" s="273" t="s">
        <v>604</v>
      </c>
      <c r="N215" s="273" t="s">
        <v>605</v>
      </c>
      <c r="O215" s="273" t="s">
        <v>606</v>
      </c>
      <c r="P215" s="273" t="s">
        <v>607</v>
      </c>
      <c r="Q215" s="274" t="s">
        <v>608</v>
      </c>
      <c r="R215" s="274" t="s">
        <v>609</v>
      </c>
      <c r="S215" s="274" t="s">
        <v>610</v>
      </c>
      <c r="T215" s="274" t="s">
        <v>611</v>
      </c>
      <c r="U215" s="274" t="s">
        <v>612</v>
      </c>
      <c r="V215" s="274" t="s">
        <v>613</v>
      </c>
      <c r="W215" s="274" t="s">
        <v>614</v>
      </c>
      <c r="X215" s="274" t="s">
        <v>615</v>
      </c>
      <c r="Y215" s="274" t="s">
        <v>616</v>
      </c>
      <c r="Z215" s="274" t="s">
        <v>617</v>
      </c>
      <c r="AA215" s="274" t="s">
        <v>618</v>
      </c>
      <c r="AB215" s="274" t="s">
        <v>619</v>
      </c>
      <c r="AC215" s="274" t="s">
        <v>620</v>
      </c>
      <c r="AD215" s="274" t="s">
        <v>621</v>
      </c>
      <c r="AE215" s="1" t="s">
        <v>622</v>
      </c>
      <c r="AF215" s="1" t="s">
        <v>623</v>
      </c>
      <c r="AG215" s="1" t="s">
        <v>624</v>
      </c>
      <c r="AH215" s="1" t="s">
        <v>625</v>
      </c>
      <c r="AI215" s="1" t="s">
        <v>626</v>
      </c>
      <c r="AJ215" s="1" t="s">
        <v>627</v>
      </c>
      <c r="AK215" s="1" t="s">
        <v>628</v>
      </c>
      <c r="AL215" s="1" t="s">
        <v>629</v>
      </c>
      <c r="AM215" s="1" t="s">
        <v>630</v>
      </c>
      <c r="AN215" s="1" t="s">
        <v>631</v>
      </c>
      <c r="AO215" s="1" t="s">
        <v>632</v>
      </c>
      <c r="AP215" s="1" t="s">
        <v>633</v>
      </c>
      <c r="AQ215" s="1" t="s">
        <v>634</v>
      </c>
      <c r="AR215" s="1" t="s">
        <v>635</v>
      </c>
      <c r="AS215" s="1" t="s">
        <v>636</v>
      </c>
      <c r="AT215" s="1" t="s">
        <v>637</v>
      </c>
      <c r="AU215" s="1" t="s">
        <v>638</v>
      </c>
      <c r="AV215" s="1" t="s">
        <v>639</v>
      </c>
      <c r="AW215" s="1" t="s">
        <v>640</v>
      </c>
      <c r="AX215" s="1" t="s">
        <v>641</v>
      </c>
      <c r="AY215" s="1" t="s">
        <v>642</v>
      </c>
      <c r="AZ215" s="1" t="s">
        <v>643</v>
      </c>
    </row>
    <row r="216" customFormat="false" ht="15" hidden="false" customHeight="false" outlineLevel="0" collapsed="false">
      <c r="A216" s="275" t="s">
        <v>374</v>
      </c>
      <c r="B216" s="275"/>
      <c r="C216" s="276" t="n">
        <v>2030</v>
      </c>
      <c r="D216" s="276" t="n">
        <v>2030</v>
      </c>
      <c r="E216" s="276" t="n">
        <v>2030</v>
      </c>
      <c r="F216" s="276" t="n">
        <v>2030</v>
      </c>
      <c r="G216" s="276" t="n">
        <v>2030</v>
      </c>
      <c r="H216" s="276" t="n">
        <v>2030</v>
      </c>
      <c r="I216" s="276" t="n">
        <v>2030</v>
      </c>
      <c r="J216" s="276" t="n">
        <v>2030</v>
      </c>
      <c r="K216" s="276" t="n">
        <v>2030</v>
      </c>
      <c r="L216" s="276" t="n">
        <v>2030</v>
      </c>
      <c r="M216" s="276" t="n">
        <v>2030</v>
      </c>
      <c r="N216" s="276" t="n">
        <v>2030</v>
      </c>
      <c r="O216" s="276" t="n">
        <v>2030</v>
      </c>
      <c r="P216" s="276" t="n">
        <v>2030</v>
      </c>
      <c r="Q216" s="277" t="n">
        <v>2030</v>
      </c>
      <c r="R216" s="277" t="n">
        <v>2030</v>
      </c>
      <c r="S216" s="277" t="n">
        <v>2030</v>
      </c>
      <c r="T216" s="277" t="n">
        <v>2030</v>
      </c>
      <c r="U216" s="277" t="n">
        <v>2030</v>
      </c>
      <c r="V216" s="277" t="n">
        <v>2030</v>
      </c>
      <c r="W216" s="277" t="n">
        <v>2030</v>
      </c>
      <c r="X216" s="277" t="n">
        <v>2030</v>
      </c>
      <c r="Y216" s="277" t="n">
        <v>2030</v>
      </c>
      <c r="Z216" s="277" t="n">
        <v>2030</v>
      </c>
      <c r="AA216" s="277" t="n">
        <v>2030</v>
      </c>
      <c r="AB216" s="277" t="n">
        <v>2030</v>
      </c>
      <c r="AC216" s="277" t="n">
        <v>2030</v>
      </c>
      <c r="AD216" s="277" t="n">
        <v>2030</v>
      </c>
      <c r="AE216" s="277" t="n">
        <v>2030</v>
      </c>
      <c r="AF216" s="277" t="n">
        <v>2030</v>
      </c>
      <c r="AG216" s="277" t="n">
        <v>2030</v>
      </c>
      <c r="AH216" s="277" t="n">
        <v>2030</v>
      </c>
      <c r="AI216" s="277" t="n">
        <v>2030</v>
      </c>
      <c r="AJ216" s="277" t="n">
        <v>2030</v>
      </c>
      <c r="AK216" s="277" t="n">
        <v>2030</v>
      </c>
      <c r="AL216" s="277" t="n">
        <v>2030</v>
      </c>
      <c r="AM216" s="277" t="n">
        <v>2030</v>
      </c>
      <c r="AN216" s="277" t="n">
        <v>2030</v>
      </c>
      <c r="AO216" s="277" t="n">
        <v>2030</v>
      </c>
      <c r="AP216" s="277" t="n">
        <v>2030</v>
      </c>
      <c r="AQ216" s="277" t="n">
        <v>2030</v>
      </c>
      <c r="AR216" s="277" t="n">
        <v>2030</v>
      </c>
      <c r="AS216" s="277" t="n">
        <v>2030</v>
      </c>
      <c r="AT216" s="277" t="n">
        <v>2030</v>
      </c>
      <c r="AU216" s="277" t="n">
        <v>2030</v>
      </c>
      <c r="AV216" s="277" t="n">
        <v>2030</v>
      </c>
      <c r="AW216" s="277" t="n">
        <v>2030</v>
      </c>
      <c r="AX216" s="277" t="n">
        <v>2030</v>
      </c>
      <c r="AY216" s="277" t="n">
        <v>2030</v>
      </c>
      <c r="AZ216" s="277" t="n">
        <v>2030</v>
      </c>
    </row>
    <row r="217" customFormat="false" ht="15" hidden="false" customHeight="false" outlineLevel="0" collapsed="false">
      <c r="A217" s="275" t="s">
        <v>375</v>
      </c>
      <c r="B217" s="275"/>
      <c r="C217" s="276" t="n">
        <v>2030</v>
      </c>
      <c r="D217" s="276" t="n">
        <v>2030</v>
      </c>
      <c r="E217" s="276" t="n">
        <v>2030</v>
      </c>
      <c r="F217" s="276" t="n">
        <v>2030</v>
      </c>
      <c r="G217" s="276" t="n">
        <v>2030</v>
      </c>
      <c r="H217" s="276" t="n">
        <v>2030</v>
      </c>
      <c r="I217" s="276" t="n">
        <v>2030</v>
      </c>
      <c r="J217" s="276" t="n">
        <v>2030</v>
      </c>
      <c r="K217" s="276" t="n">
        <v>2030</v>
      </c>
      <c r="L217" s="276" t="n">
        <v>2030</v>
      </c>
      <c r="M217" s="276" t="n">
        <v>2030</v>
      </c>
      <c r="N217" s="276" t="n">
        <v>2030</v>
      </c>
      <c r="O217" s="276" t="n">
        <v>2030</v>
      </c>
      <c r="P217" s="276" t="n">
        <v>2030</v>
      </c>
      <c r="Q217" s="277" t="n">
        <v>2030</v>
      </c>
      <c r="R217" s="277" t="n">
        <v>2030</v>
      </c>
      <c r="S217" s="277" t="n">
        <v>2030</v>
      </c>
      <c r="T217" s="277" t="n">
        <v>2030</v>
      </c>
      <c r="U217" s="277" t="n">
        <v>2030</v>
      </c>
      <c r="V217" s="277" t="n">
        <v>2030</v>
      </c>
      <c r="W217" s="277" t="n">
        <v>2030</v>
      </c>
      <c r="X217" s="277" t="n">
        <v>2030</v>
      </c>
      <c r="Y217" s="277" t="n">
        <v>2030</v>
      </c>
      <c r="Z217" s="277" t="n">
        <v>2030</v>
      </c>
      <c r="AA217" s="277" t="n">
        <v>2030</v>
      </c>
      <c r="AB217" s="277" t="n">
        <v>2030</v>
      </c>
      <c r="AC217" s="277" t="n">
        <v>2030</v>
      </c>
      <c r="AD217" s="277" t="n">
        <v>2030</v>
      </c>
      <c r="AE217" s="277" t="n">
        <v>2030</v>
      </c>
      <c r="AF217" s="277" t="n">
        <v>2030</v>
      </c>
      <c r="AG217" s="277" t="n">
        <v>2030</v>
      </c>
      <c r="AH217" s="277" t="n">
        <v>2030</v>
      </c>
      <c r="AI217" s="277" t="n">
        <v>2030</v>
      </c>
      <c r="AJ217" s="277" t="n">
        <v>2030</v>
      </c>
      <c r="AK217" s="277" t="n">
        <v>2030</v>
      </c>
      <c r="AL217" s="277" t="n">
        <v>2030</v>
      </c>
      <c r="AM217" s="277" t="n">
        <v>2030</v>
      </c>
      <c r="AN217" s="277" t="n">
        <v>2030</v>
      </c>
      <c r="AO217" s="277" t="n">
        <v>2030</v>
      </c>
      <c r="AP217" s="277" t="n">
        <v>2030</v>
      </c>
      <c r="AQ217" s="277" t="n">
        <v>2030</v>
      </c>
      <c r="AR217" s="277" t="n">
        <v>2030</v>
      </c>
      <c r="AS217" s="277" t="n">
        <v>2030</v>
      </c>
      <c r="AT217" s="277" t="n">
        <v>2030</v>
      </c>
      <c r="AU217" s="277" t="n">
        <v>2030</v>
      </c>
      <c r="AV217" s="277" t="n">
        <v>2030</v>
      </c>
      <c r="AW217" s="277" t="n">
        <v>2030</v>
      </c>
      <c r="AX217" s="277" t="n">
        <v>2030</v>
      </c>
      <c r="AY217" s="277" t="n">
        <v>2030</v>
      </c>
      <c r="AZ217" s="277" t="n">
        <v>2030</v>
      </c>
    </row>
    <row r="218" customFormat="false" ht="15" hidden="false" customHeight="false" outlineLevel="0" collapsed="false">
      <c r="A218" s="275" t="s">
        <v>376</v>
      </c>
      <c r="B218" s="275"/>
      <c r="C218" s="276" t="n">
        <v>2030</v>
      </c>
      <c r="D218" s="276" t="n">
        <v>2030</v>
      </c>
      <c r="E218" s="276" t="n">
        <v>2030</v>
      </c>
      <c r="F218" s="276" t="n">
        <v>2030</v>
      </c>
      <c r="G218" s="276" t="n">
        <v>2030</v>
      </c>
      <c r="H218" s="276" t="n">
        <v>2030</v>
      </c>
      <c r="I218" s="276" t="n">
        <v>2030</v>
      </c>
      <c r="J218" s="276" t="n">
        <v>2030</v>
      </c>
      <c r="K218" s="276" t="n">
        <v>2030</v>
      </c>
      <c r="L218" s="276" t="n">
        <v>2030</v>
      </c>
      <c r="M218" s="276" t="n">
        <v>2030</v>
      </c>
      <c r="N218" s="276" t="n">
        <v>2030</v>
      </c>
      <c r="O218" s="276" t="n">
        <v>2030</v>
      </c>
      <c r="P218" s="276" t="n">
        <v>2030</v>
      </c>
      <c r="Q218" s="277" t="n">
        <v>2030</v>
      </c>
      <c r="R218" s="277" t="n">
        <v>2030</v>
      </c>
      <c r="S218" s="277" t="n">
        <v>2030</v>
      </c>
      <c r="T218" s="277" t="n">
        <v>2030</v>
      </c>
      <c r="U218" s="277" t="n">
        <v>2030</v>
      </c>
      <c r="V218" s="277" t="n">
        <v>2030</v>
      </c>
      <c r="W218" s="277" t="n">
        <v>2030</v>
      </c>
      <c r="X218" s="277" t="n">
        <v>2030</v>
      </c>
      <c r="Y218" s="277" t="n">
        <v>2030</v>
      </c>
      <c r="Z218" s="277" t="n">
        <v>2030</v>
      </c>
      <c r="AA218" s="277" t="n">
        <v>2030</v>
      </c>
      <c r="AB218" s="277" t="n">
        <v>2030</v>
      </c>
      <c r="AC218" s="277" t="n">
        <v>2030</v>
      </c>
      <c r="AD218" s="277" t="n">
        <v>2030</v>
      </c>
      <c r="AE218" s="277" t="n">
        <v>2030</v>
      </c>
      <c r="AF218" s="277" t="n">
        <v>2030</v>
      </c>
      <c r="AG218" s="277" t="n">
        <v>2030</v>
      </c>
      <c r="AH218" s="277" t="n">
        <v>2030</v>
      </c>
      <c r="AI218" s="277" t="n">
        <v>2030</v>
      </c>
      <c r="AJ218" s="277" t="n">
        <v>2030</v>
      </c>
      <c r="AK218" s="277" t="n">
        <v>2030</v>
      </c>
      <c r="AL218" s="277" t="n">
        <v>2030</v>
      </c>
      <c r="AM218" s="277" t="n">
        <v>2030</v>
      </c>
      <c r="AN218" s="277" t="n">
        <v>2030</v>
      </c>
      <c r="AO218" s="277" t="n">
        <v>2030</v>
      </c>
      <c r="AP218" s="277" t="n">
        <v>2030</v>
      </c>
      <c r="AQ218" s="277" t="n">
        <v>2030</v>
      </c>
      <c r="AR218" s="277" t="n">
        <v>2030</v>
      </c>
      <c r="AS218" s="277" t="n">
        <v>2030</v>
      </c>
      <c r="AT218" s="277" t="n">
        <v>2030</v>
      </c>
      <c r="AU218" s="277" t="n">
        <v>2030</v>
      </c>
      <c r="AV218" s="277" t="n">
        <v>2030</v>
      </c>
      <c r="AW218" s="277" t="n">
        <v>2030</v>
      </c>
      <c r="AX218" s="277" t="n">
        <v>2030</v>
      </c>
      <c r="AY218" s="277" t="n">
        <v>2030</v>
      </c>
      <c r="AZ218" s="277" t="n">
        <v>2030</v>
      </c>
    </row>
    <row r="219" customFormat="false" ht="15" hidden="false" customHeight="false" outlineLevel="0" collapsed="false">
      <c r="A219" s="275" t="s">
        <v>377</v>
      </c>
      <c r="B219" s="275"/>
      <c r="C219" s="276" t="n">
        <v>2030</v>
      </c>
      <c r="D219" s="276" t="n">
        <v>2030</v>
      </c>
      <c r="E219" s="276" t="n">
        <v>2030</v>
      </c>
      <c r="F219" s="276" t="n">
        <v>2030</v>
      </c>
      <c r="G219" s="276" t="n">
        <v>2030</v>
      </c>
      <c r="H219" s="276" t="n">
        <v>2030</v>
      </c>
      <c r="I219" s="276" t="n">
        <v>2030</v>
      </c>
      <c r="J219" s="276" t="n">
        <v>2030</v>
      </c>
      <c r="K219" s="276" t="n">
        <v>2030</v>
      </c>
      <c r="L219" s="276" t="n">
        <v>2030</v>
      </c>
      <c r="M219" s="276" t="n">
        <v>2030</v>
      </c>
      <c r="N219" s="276" t="n">
        <v>2030</v>
      </c>
      <c r="O219" s="276" t="n">
        <v>2030</v>
      </c>
      <c r="P219" s="276" t="n">
        <v>2030</v>
      </c>
      <c r="Q219" s="277" t="n">
        <v>2030</v>
      </c>
      <c r="R219" s="277" t="n">
        <v>2030</v>
      </c>
      <c r="S219" s="277" t="n">
        <v>2030</v>
      </c>
      <c r="T219" s="277" t="n">
        <v>2030</v>
      </c>
      <c r="U219" s="277" t="n">
        <v>2030</v>
      </c>
      <c r="V219" s="277" t="n">
        <v>2030</v>
      </c>
      <c r="W219" s="277" t="n">
        <v>2030</v>
      </c>
      <c r="X219" s="277" t="n">
        <v>2030</v>
      </c>
      <c r="Y219" s="277" t="n">
        <v>2030</v>
      </c>
      <c r="Z219" s="277" t="n">
        <v>2030</v>
      </c>
      <c r="AA219" s="277" t="n">
        <v>2030</v>
      </c>
      <c r="AB219" s="277" t="n">
        <v>2030</v>
      </c>
      <c r="AC219" s="277" t="n">
        <v>2030</v>
      </c>
      <c r="AD219" s="277" t="n">
        <v>2030</v>
      </c>
      <c r="AE219" s="277" t="n">
        <v>2030</v>
      </c>
      <c r="AF219" s="277" t="n">
        <v>2030</v>
      </c>
      <c r="AG219" s="277" t="n">
        <v>2030</v>
      </c>
      <c r="AH219" s="277" t="n">
        <v>2030</v>
      </c>
      <c r="AI219" s="277" t="n">
        <v>2030</v>
      </c>
      <c r="AJ219" s="277" t="n">
        <v>2030</v>
      </c>
      <c r="AK219" s="277" t="n">
        <v>2030</v>
      </c>
      <c r="AL219" s="277" t="n">
        <v>2030</v>
      </c>
      <c r="AM219" s="277" t="n">
        <v>2030</v>
      </c>
      <c r="AN219" s="277" t="n">
        <v>2030</v>
      </c>
      <c r="AO219" s="277" t="n">
        <v>2030</v>
      </c>
      <c r="AP219" s="277" t="n">
        <v>2030</v>
      </c>
      <c r="AQ219" s="277" t="n">
        <v>2030</v>
      </c>
      <c r="AR219" s="277" t="n">
        <v>2030</v>
      </c>
      <c r="AS219" s="277" t="n">
        <v>2030</v>
      </c>
      <c r="AT219" s="277" t="n">
        <v>2030</v>
      </c>
      <c r="AU219" s="277" t="n">
        <v>2030</v>
      </c>
      <c r="AV219" s="277" t="n">
        <v>2030</v>
      </c>
      <c r="AW219" s="277" t="n">
        <v>2030</v>
      </c>
      <c r="AX219" s="277" t="n">
        <v>2030</v>
      </c>
      <c r="AY219" s="277" t="n">
        <v>2030</v>
      </c>
      <c r="AZ219" s="277" t="n">
        <v>2030</v>
      </c>
    </row>
    <row r="220" customFormat="false" ht="15" hidden="false" customHeight="false" outlineLevel="0" collapsed="false">
      <c r="A220" s="275" t="s">
        <v>378</v>
      </c>
      <c r="B220" s="275"/>
      <c r="C220" s="276" t="n">
        <v>2030</v>
      </c>
      <c r="D220" s="276" t="n">
        <v>2030</v>
      </c>
      <c r="E220" s="276" t="n">
        <v>2030</v>
      </c>
      <c r="F220" s="276" t="n">
        <v>2030</v>
      </c>
      <c r="G220" s="276" t="n">
        <v>2030</v>
      </c>
      <c r="H220" s="276" t="n">
        <v>2030</v>
      </c>
      <c r="I220" s="276" t="n">
        <v>2030</v>
      </c>
      <c r="J220" s="276" t="n">
        <v>2030</v>
      </c>
      <c r="K220" s="276" t="n">
        <v>2030</v>
      </c>
      <c r="L220" s="276" t="n">
        <v>2030</v>
      </c>
      <c r="M220" s="276" t="n">
        <v>2030</v>
      </c>
      <c r="N220" s="276" t="n">
        <v>2030</v>
      </c>
      <c r="O220" s="276" t="n">
        <v>2030</v>
      </c>
      <c r="P220" s="276" t="n">
        <v>2030</v>
      </c>
      <c r="Q220" s="277" t="n">
        <v>2030</v>
      </c>
      <c r="R220" s="277" t="n">
        <v>2030</v>
      </c>
      <c r="S220" s="277" t="n">
        <v>2030</v>
      </c>
      <c r="T220" s="277" t="n">
        <v>2030</v>
      </c>
      <c r="U220" s="277" t="n">
        <v>2030</v>
      </c>
      <c r="V220" s="277" t="n">
        <v>2030</v>
      </c>
      <c r="W220" s="277" t="n">
        <v>2030</v>
      </c>
      <c r="X220" s="277" t="n">
        <v>2030</v>
      </c>
      <c r="Y220" s="277" t="n">
        <v>2030</v>
      </c>
      <c r="Z220" s="277" t="n">
        <v>2030</v>
      </c>
      <c r="AA220" s="277" t="n">
        <v>2030</v>
      </c>
      <c r="AB220" s="277" t="n">
        <v>2030</v>
      </c>
      <c r="AC220" s="277" t="n">
        <v>2030</v>
      </c>
      <c r="AD220" s="277" t="n">
        <v>2030</v>
      </c>
      <c r="AE220" s="277" t="n">
        <v>2030</v>
      </c>
      <c r="AF220" s="277" t="n">
        <v>2030</v>
      </c>
      <c r="AG220" s="277" t="n">
        <v>2030</v>
      </c>
      <c r="AH220" s="277" t="n">
        <v>2030</v>
      </c>
      <c r="AI220" s="277" t="n">
        <v>2030</v>
      </c>
      <c r="AJ220" s="277" t="n">
        <v>2030</v>
      </c>
      <c r="AK220" s="277" t="n">
        <v>2030</v>
      </c>
      <c r="AL220" s="277" t="n">
        <v>2030</v>
      </c>
      <c r="AM220" s="277" t="n">
        <v>2030</v>
      </c>
      <c r="AN220" s="277" t="n">
        <v>2030</v>
      </c>
      <c r="AO220" s="277" t="n">
        <v>2030</v>
      </c>
      <c r="AP220" s="277" t="n">
        <v>2030</v>
      </c>
      <c r="AQ220" s="277" t="n">
        <v>2030</v>
      </c>
      <c r="AR220" s="277" t="n">
        <v>2030</v>
      </c>
      <c r="AS220" s="277" t="n">
        <v>2030</v>
      </c>
      <c r="AT220" s="277" t="n">
        <v>2030</v>
      </c>
      <c r="AU220" s="277" t="n">
        <v>2030</v>
      </c>
      <c r="AV220" s="277" t="n">
        <v>2030</v>
      </c>
      <c r="AW220" s="277" t="n">
        <v>2030</v>
      </c>
      <c r="AX220" s="277" t="n">
        <v>2030</v>
      </c>
      <c r="AY220" s="277" t="n">
        <v>2030</v>
      </c>
      <c r="AZ220" s="277" t="n">
        <v>2030</v>
      </c>
    </row>
    <row r="221" customFormat="false" ht="15.75" hidden="false" customHeight="true" outlineLevel="0" collapsed="false">
      <c r="A221" s="200" t="s">
        <v>644</v>
      </c>
      <c r="B221" s="200"/>
      <c r="C221" s="200"/>
      <c r="D221" s="200"/>
      <c r="E221" s="200"/>
      <c r="F221" s="200"/>
      <c r="G221" s="200"/>
      <c r="H221" s="200"/>
      <c r="I221" s="200"/>
      <c r="J221" s="200"/>
      <c r="K221" s="200"/>
      <c r="L221" s="200"/>
      <c r="M221" s="200"/>
      <c r="N221" s="200"/>
      <c r="O221" s="200"/>
      <c r="P221" s="200"/>
      <c r="Q221" s="200"/>
    </row>
    <row r="222" customFormat="false" ht="15" hidden="false" customHeight="false" outlineLevel="0" collapsed="false">
      <c r="A222" s="275" t="s">
        <v>374</v>
      </c>
      <c r="B222" s="275"/>
      <c r="C222" s="276" t="n">
        <v>1</v>
      </c>
      <c r="D222" s="276" t="n">
        <v>1</v>
      </c>
      <c r="E222" s="276" t="n">
        <v>1</v>
      </c>
      <c r="F222" s="276" t="n">
        <v>1</v>
      </c>
      <c r="G222" s="276" t="n">
        <v>1</v>
      </c>
      <c r="H222" s="276" t="n">
        <v>1</v>
      </c>
      <c r="I222" s="276" t="n">
        <v>1</v>
      </c>
      <c r="J222" s="276" t="n">
        <v>1</v>
      </c>
      <c r="K222" s="276" t="n">
        <v>1</v>
      </c>
      <c r="L222" s="276" t="n">
        <v>1</v>
      </c>
      <c r="M222" s="276" t="n">
        <v>1</v>
      </c>
      <c r="N222" s="276" t="n">
        <v>1</v>
      </c>
      <c r="O222" s="276" t="n">
        <v>1</v>
      </c>
      <c r="P222" s="276" t="n">
        <v>1</v>
      </c>
      <c r="Q222" s="277" t="n">
        <v>1</v>
      </c>
      <c r="R222" s="277" t="n">
        <v>1</v>
      </c>
      <c r="S222" s="277" t="n">
        <v>1</v>
      </c>
      <c r="T222" s="277" t="n">
        <v>1</v>
      </c>
      <c r="U222" s="277" t="n">
        <v>1</v>
      </c>
      <c r="V222" s="277" t="n">
        <v>1</v>
      </c>
      <c r="W222" s="277" t="n">
        <v>1</v>
      </c>
      <c r="X222" s="277" t="n">
        <v>1</v>
      </c>
      <c r="Y222" s="277" t="n">
        <v>1</v>
      </c>
      <c r="Z222" s="277" t="n">
        <v>1</v>
      </c>
      <c r="AA222" s="277" t="n">
        <v>1</v>
      </c>
      <c r="AB222" s="277" t="n">
        <v>1</v>
      </c>
      <c r="AC222" s="277" t="n">
        <v>1</v>
      </c>
      <c r="AD222" s="277" t="n">
        <v>1</v>
      </c>
      <c r="AE222" s="277" t="n">
        <v>1</v>
      </c>
      <c r="AF222" s="277" t="n">
        <v>1</v>
      </c>
      <c r="AG222" s="277" t="n">
        <v>1</v>
      </c>
      <c r="AH222" s="277" t="n">
        <v>1</v>
      </c>
      <c r="AI222" s="277" t="n">
        <v>1</v>
      </c>
      <c r="AJ222" s="277" t="n">
        <v>1</v>
      </c>
      <c r="AK222" s="277" t="n">
        <v>1</v>
      </c>
      <c r="AL222" s="277" t="n">
        <v>1</v>
      </c>
      <c r="AM222" s="277" t="n">
        <v>1</v>
      </c>
      <c r="AN222" s="277" t="n">
        <v>1</v>
      </c>
      <c r="AO222" s="277" t="n">
        <v>1</v>
      </c>
      <c r="AP222" s="277" t="n">
        <v>1</v>
      </c>
      <c r="AQ222" s="277" t="n">
        <v>1</v>
      </c>
      <c r="AR222" s="277" t="n">
        <v>1</v>
      </c>
      <c r="AS222" s="277" t="n">
        <v>1</v>
      </c>
      <c r="AT222" s="277" t="n">
        <v>1</v>
      </c>
      <c r="AU222" s="277" t="n">
        <v>1</v>
      </c>
      <c r="AV222" s="277" t="n">
        <v>1</v>
      </c>
      <c r="AW222" s="277" t="n">
        <v>1</v>
      </c>
      <c r="AX222" s="277" t="n">
        <v>1</v>
      </c>
      <c r="AY222" s="277" t="n">
        <v>1</v>
      </c>
      <c r="AZ222" s="277" t="n">
        <v>1</v>
      </c>
    </row>
    <row r="223" customFormat="false" ht="15" hidden="false" customHeight="false" outlineLevel="0" collapsed="false">
      <c r="A223" s="275" t="s">
        <v>375</v>
      </c>
      <c r="B223" s="275"/>
      <c r="C223" s="276" t="n">
        <v>1</v>
      </c>
      <c r="D223" s="276" t="n">
        <v>1</v>
      </c>
      <c r="E223" s="276" t="n">
        <v>1</v>
      </c>
      <c r="F223" s="276" t="n">
        <v>1</v>
      </c>
      <c r="G223" s="276" t="n">
        <v>1</v>
      </c>
      <c r="H223" s="276" t="n">
        <v>1</v>
      </c>
      <c r="I223" s="276" t="n">
        <v>1</v>
      </c>
      <c r="J223" s="276" t="n">
        <v>1</v>
      </c>
      <c r="K223" s="276" t="n">
        <v>1</v>
      </c>
      <c r="L223" s="276" t="n">
        <v>1</v>
      </c>
      <c r="M223" s="276" t="n">
        <v>1</v>
      </c>
      <c r="N223" s="276" t="n">
        <v>1</v>
      </c>
      <c r="O223" s="276" t="n">
        <v>1</v>
      </c>
      <c r="P223" s="276" t="n">
        <v>1</v>
      </c>
      <c r="Q223" s="277" t="n">
        <v>1</v>
      </c>
      <c r="R223" s="277" t="n">
        <v>1</v>
      </c>
      <c r="S223" s="277" t="n">
        <v>1</v>
      </c>
      <c r="T223" s="277" t="n">
        <v>1</v>
      </c>
      <c r="U223" s="277" t="n">
        <v>1</v>
      </c>
      <c r="V223" s="277" t="n">
        <v>1</v>
      </c>
      <c r="W223" s="277" t="n">
        <v>1</v>
      </c>
      <c r="X223" s="277" t="n">
        <v>1</v>
      </c>
      <c r="Y223" s="277" t="n">
        <v>1</v>
      </c>
      <c r="Z223" s="277" t="n">
        <v>1</v>
      </c>
      <c r="AA223" s="277" t="n">
        <v>1</v>
      </c>
      <c r="AB223" s="277" t="n">
        <v>1</v>
      </c>
      <c r="AC223" s="277" t="n">
        <v>1</v>
      </c>
      <c r="AD223" s="277" t="n">
        <v>1</v>
      </c>
      <c r="AE223" s="277" t="n">
        <v>1</v>
      </c>
      <c r="AF223" s="277" t="n">
        <v>1</v>
      </c>
      <c r="AG223" s="277" t="n">
        <v>1</v>
      </c>
      <c r="AH223" s="277" t="n">
        <v>1</v>
      </c>
      <c r="AI223" s="277" t="n">
        <v>1</v>
      </c>
      <c r="AJ223" s="277" t="n">
        <v>1</v>
      </c>
      <c r="AK223" s="277" t="n">
        <v>1</v>
      </c>
      <c r="AL223" s="277" t="n">
        <v>1</v>
      </c>
      <c r="AM223" s="277" t="n">
        <v>1</v>
      </c>
      <c r="AN223" s="277" t="n">
        <v>1</v>
      </c>
      <c r="AO223" s="277" t="n">
        <v>1</v>
      </c>
      <c r="AP223" s="277" t="n">
        <v>1</v>
      </c>
      <c r="AQ223" s="277" t="n">
        <v>1</v>
      </c>
      <c r="AR223" s="277" t="n">
        <v>1</v>
      </c>
      <c r="AS223" s="277" t="n">
        <v>1</v>
      </c>
      <c r="AT223" s="277" t="n">
        <v>1</v>
      </c>
      <c r="AU223" s="277" t="n">
        <v>1</v>
      </c>
      <c r="AV223" s="277" t="n">
        <v>1</v>
      </c>
      <c r="AW223" s="277" t="n">
        <v>1</v>
      </c>
      <c r="AX223" s="277" t="n">
        <v>1</v>
      </c>
      <c r="AY223" s="277" t="n">
        <v>1</v>
      </c>
      <c r="AZ223" s="277" t="n">
        <v>1</v>
      </c>
    </row>
    <row r="224" customFormat="false" ht="15" hidden="false" customHeight="false" outlineLevel="0" collapsed="false">
      <c r="A224" s="275" t="s">
        <v>376</v>
      </c>
      <c r="B224" s="275"/>
      <c r="C224" s="276" t="n">
        <v>1</v>
      </c>
      <c r="D224" s="276" t="n">
        <v>1</v>
      </c>
      <c r="E224" s="276" t="n">
        <v>1</v>
      </c>
      <c r="F224" s="276" t="n">
        <v>1</v>
      </c>
      <c r="G224" s="276" t="n">
        <v>1</v>
      </c>
      <c r="H224" s="276" t="n">
        <v>1</v>
      </c>
      <c r="I224" s="276" t="n">
        <v>1</v>
      </c>
      <c r="J224" s="276" t="n">
        <v>1</v>
      </c>
      <c r="K224" s="276" t="n">
        <v>1</v>
      </c>
      <c r="L224" s="276" t="n">
        <v>1</v>
      </c>
      <c r="M224" s="276" t="n">
        <v>1</v>
      </c>
      <c r="N224" s="276" t="n">
        <v>1</v>
      </c>
      <c r="O224" s="276" t="n">
        <v>1</v>
      </c>
      <c r="P224" s="276" t="n">
        <v>1</v>
      </c>
      <c r="Q224" s="277" t="n">
        <v>1</v>
      </c>
      <c r="R224" s="277" t="n">
        <v>1</v>
      </c>
      <c r="S224" s="277" t="n">
        <v>1</v>
      </c>
      <c r="T224" s="277" t="n">
        <v>1</v>
      </c>
      <c r="U224" s="277" t="n">
        <v>1</v>
      </c>
      <c r="V224" s="277" t="n">
        <v>1</v>
      </c>
      <c r="W224" s="277" t="n">
        <v>1</v>
      </c>
      <c r="X224" s="277" t="n">
        <v>1</v>
      </c>
      <c r="Y224" s="277" t="n">
        <v>1</v>
      </c>
      <c r="Z224" s="277" t="n">
        <v>1</v>
      </c>
      <c r="AA224" s="277" t="n">
        <v>1</v>
      </c>
      <c r="AB224" s="277" t="n">
        <v>1</v>
      </c>
      <c r="AC224" s="277" t="n">
        <v>1</v>
      </c>
      <c r="AD224" s="277" t="n">
        <v>1</v>
      </c>
      <c r="AE224" s="277" t="n">
        <v>1</v>
      </c>
      <c r="AF224" s="277" t="n">
        <v>1</v>
      </c>
      <c r="AG224" s="277" t="n">
        <v>1</v>
      </c>
      <c r="AH224" s="277" t="n">
        <v>1</v>
      </c>
      <c r="AI224" s="277" t="n">
        <v>1</v>
      </c>
      <c r="AJ224" s="277" t="n">
        <v>1</v>
      </c>
      <c r="AK224" s="277" t="n">
        <v>1</v>
      </c>
      <c r="AL224" s="277" t="n">
        <v>1</v>
      </c>
      <c r="AM224" s="277" t="n">
        <v>1</v>
      </c>
      <c r="AN224" s="277" t="n">
        <v>1</v>
      </c>
      <c r="AO224" s="277" t="n">
        <v>1</v>
      </c>
      <c r="AP224" s="277" t="n">
        <v>1</v>
      </c>
      <c r="AQ224" s="277" t="n">
        <v>1</v>
      </c>
      <c r="AR224" s="277" t="n">
        <v>1</v>
      </c>
      <c r="AS224" s="277" t="n">
        <v>1</v>
      </c>
      <c r="AT224" s="277" t="n">
        <v>1</v>
      </c>
      <c r="AU224" s="277" t="n">
        <v>1</v>
      </c>
      <c r="AV224" s="277" t="n">
        <v>1</v>
      </c>
      <c r="AW224" s="277" t="n">
        <v>1</v>
      </c>
      <c r="AX224" s="277" t="n">
        <v>1</v>
      </c>
      <c r="AY224" s="277" t="n">
        <v>1</v>
      </c>
      <c r="AZ224" s="277" t="n">
        <v>1</v>
      </c>
    </row>
    <row r="225" customFormat="false" ht="15" hidden="false" customHeight="false" outlineLevel="0" collapsed="false">
      <c r="A225" s="275" t="s">
        <v>377</v>
      </c>
      <c r="B225" s="275"/>
      <c r="C225" s="276" t="n">
        <v>1</v>
      </c>
      <c r="D225" s="276" t="n">
        <v>1</v>
      </c>
      <c r="E225" s="276" t="n">
        <v>1</v>
      </c>
      <c r="F225" s="276" t="n">
        <v>1</v>
      </c>
      <c r="G225" s="276" t="n">
        <v>1</v>
      </c>
      <c r="H225" s="276" t="n">
        <v>1</v>
      </c>
      <c r="I225" s="276" t="n">
        <v>1</v>
      </c>
      <c r="J225" s="276" t="n">
        <v>1</v>
      </c>
      <c r="K225" s="276" t="n">
        <v>1</v>
      </c>
      <c r="L225" s="276" t="n">
        <v>1</v>
      </c>
      <c r="M225" s="276" t="n">
        <v>1</v>
      </c>
      <c r="N225" s="276" t="n">
        <v>1</v>
      </c>
      <c r="O225" s="276" t="n">
        <v>1</v>
      </c>
      <c r="P225" s="276" t="n">
        <v>1</v>
      </c>
      <c r="Q225" s="277" t="n">
        <v>1</v>
      </c>
      <c r="R225" s="277" t="n">
        <v>1</v>
      </c>
      <c r="S225" s="277" t="n">
        <v>1</v>
      </c>
      <c r="T225" s="277" t="n">
        <v>1</v>
      </c>
      <c r="U225" s="277" t="n">
        <v>1</v>
      </c>
      <c r="V225" s="277" t="n">
        <v>1</v>
      </c>
      <c r="W225" s="277" t="n">
        <v>1</v>
      </c>
      <c r="X225" s="277" t="n">
        <v>1</v>
      </c>
      <c r="Y225" s="277" t="n">
        <v>1</v>
      </c>
      <c r="Z225" s="277" t="n">
        <v>1</v>
      </c>
      <c r="AA225" s="277" t="n">
        <v>1</v>
      </c>
      <c r="AB225" s="277" t="n">
        <v>1</v>
      </c>
      <c r="AC225" s="277" t="n">
        <v>1</v>
      </c>
      <c r="AD225" s="277" t="n">
        <v>1</v>
      </c>
      <c r="AE225" s="277" t="n">
        <v>1</v>
      </c>
      <c r="AF225" s="277" t="n">
        <v>1</v>
      </c>
      <c r="AG225" s="277" t="n">
        <v>1</v>
      </c>
      <c r="AH225" s="277" t="n">
        <v>1</v>
      </c>
      <c r="AI225" s="277" t="n">
        <v>1</v>
      </c>
      <c r="AJ225" s="277" t="n">
        <v>1</v>
      </c>
      <c r="AK225" s="277" t="n">
        <v>1</v>
      </c>
      <c r="AL225" s="277" t="n">
        <v>1</v>
      </c>
      <c r="AM225" s="277" t="n">
        <v>1</v>
      </c>
      <c r="AN225" s="277" t="n">
        <v>1</v>
      </c>
      <c r="AO225" s="277" t="n">
        <v>1</v>
      </c>
      <c r="AP225" s="277" t="n">
        <v>1</v>
      </c>
      <c r="AQ225" s="277" t="n">
        <v>1</v>
      </c>
      <c r="AR225" s="277" t="n">
        <v>1</v>
      </c>
      <c r="AS225" s="277" t="n">
        <v>1</v>
      </c>
      <c r="AT225" s="277" t="n">
        <v>1</v>
      </c>
      <c r="AU225" s="277" t="n">
        <v>1</v>
      </c>
      <c r="AV225" s="277" t="n">
        <v>1</v>
      </c>
      <c r="AW225" s="277" t="n">
        <v>1</v>
      </c>
      <c r="AX225" s="277" t="n">
        <v>1</v>
      </c>
      <c r="AY225" s="277" t="n">
        <v>1</v>
      </c>
      <c r="AZ225" s="277" t="n">
        <v>1</v>
      </c>
    </row>
    <row r="226" customFormat="false" ht="15" hidden="false" customHeight="false" outlineLevel="0" collapsed="false">
      <c r="A226" s="275" t="s">
        <v>378</v>
      </c>
      <c r="B226" s="275"/>
      <c r="C226" s="276" t="n">
        <v>1</v>
      </c>
      <c r="D226" s="276" t="n">
        <v>1</v>
      </c>
      <c r="E226" s="276" t="n">
        <v>1</v>
      </c>
      <c r="F226" s="276" t="n">
        <v>1</v>
      </c>
      <c r="G226" s="276" t="n">
        <v>1</v>
      </c>
      <c r="H226" s="276" t="n">
        <v>1</v>
      </c>
      <c r="I226" s="276" t="n">
        <v>1</v>
      </c>
      <c r="J226" s="276" t="n">
        <v>1</v>
      </c>
      <c r="K226" s="276" t="n">
        <v>1</v>
      </c>
      <c r="L226" s="276" t="n">
        <v>1</v>
      </c>
      <c r="M226" s="276" t="n">
        <v>1</v>
      </c>
      <c r="N226" s="276" t="n">
        <v>1</v>
      </c>
      <c r="O226" s="276" t="n">
        <v>1</v>
      </c>
      <c r="P226" s="276" t="n">
        <v>1</v>
      </c>
      <c r="Q226" s="277" t="n">
        <v>1</v>
      </c>
      <c r="R226" s="277" t="n">
        <v>1</v>
      </c>
      <c r="S226" s="277" t="n">
        <v>1</v>
      </c>
      <c r="T226" s="277" t="n">
        <v>1</v>
      </c>
      <c r="U226" s="277" t="n">
        <v>1</v>
      </c>
      <c r="V226" s="277" t="n">
        <v>1</v>
      </c>
      <c r="W226" s="277" t="n">
        <v>1</v>
      </c>
      <c r="X226" s="277" t="n">
        <v>1</v>
      </c>
      <c r="Y226" s="277" t="n">
        <v>1</v>
      </c>
      <c r="Z226" s="277" t="n">
        <v>1</v>
      </c>
      <c r="AA226" s="277" t="n">
        <v>1</v>
      </c>
      <c r="AB226" s="277" t="n">
        <v>1</v>
      </c>
      <c r="AC226" s="277" t="n">
        <v>1</v>
      </c>
      <c r="AD226" s="277" t="n">
        <v>1</v>
      </c>
      <c r="AE226" s="277" t="n">
        <v>1</v>
      </c>
      <c r="AF226" s="277" t="n">
        <v>1</v>
      </c>
      <c r="AG226" s="277" t="n">
        <v>1</v>
      </c>
      <c r="AH226" s="277" t="n">
        <v>1</v>
      </c>
      <c r="AI226" s="277" t="n">
        <v>1</v>
      </c>
      <c r="AJ226" s="277" t="n">
        <v>1</v>
      </c>
      <c r="AK226" s="277" t="n">
        <v>1</v>
      </c>
      <c r="AL226" s="277" t="n">
        <v>1</v>
      </c>
      <c r="AM226" s="277" t="n">
        <v>1</v>
      </c>
      <c r="AN226" s="277" t="n">
        <v>1</v>
      </c>
      <c r="AO226" s="277" t="n">
        <v>1</v>
      </c>
      <c r="AP226" s="277" t="n">
        <v>1</v>
      </c>
      <c r="AQ226" s="277" t="n">
        <v>1</v>
      </c>
      <c r="AR226" s="277" t="n">
        <v>1</v>
      </c>
      <c r="AS226" s="277" t="n">
        <v>1</v>
      </c>
      <c r="AT226" s="277" t="n">
        <v>1</v>
      </c>
      <c r="AU226" s="277" t="n">
        <v>1</v>
      </c>
      <c r="AV226" s="277" t="n">
        <v>1</v>
      </c>
      <c r="AW226" s="277" t="n">
        <v>1</v>
      </c>
      <c r="AX226" s="277" t="n">
        <v>1</v>
      </c>
      <c r="AY226" s="277" t="n">
        <v>1</v>
      </c>
      <c r="AZ226" s="277" t="n">
        <v>1</v>
      </c>
    </row>
    <row r="227" customFormat="false" ht="15.75" hidden="false" customHeight="true" outlineLevel="0" collapsed="false">
      <c r="A227" s="200" t="s">
        <v>645</v>
      </c>
      <c r="B227" s="200"/>
      <c r="C227" s="200"/>
      <c r="D227" s="200"/>
      <c r="E227" s="200"/>
      <c r="F227" s="200"/>
      <c r="G227" s="200"/>
      <c r="H227" s="200"/>
      <c r="I227" s="200"/>
      <c r="J227" s="200"/>
      <c r="K227" s="200"/>
      <c r="L227" s="200"/>
      <c r="M227" s="200"/>
      <c r="N227" s="200"/>
      <c r="O227" s="200"/>
      <c r="P227" s="200"/>
      <c r="Q227" s="200"/>
    </row>
    <row r="228" customFormat="false" ht="15" hidden="false" customHeight="false" outlineLevel="0" collapsed="false">
      <c r="A228" s="275" t="s">
        <v>374</v>
      </c>
      <c r="B228" s="275"/>
      <c r="C228" s="276" t="n">
        <v>2040</v>
      </c>
      <c r="D228" s="276" t="n">
        <v>2040</v>
      </c>
      <c r="E228" s="276" t="n">
        <v>2040</v>
      </c>
      <c r="F228" s="276" t="n">
        <v>2040</v>
      </c>
      <c r="G228" s="276" t="n">
        <v>2040</v>
      </c>
      <c r="H228" s="276" t="n">
        <v>2040</v>
      </c>
      <c r="I228" s="276" t="n">
        <v>2040</v>
      </c>
      <c r="J228" s="276" t="n">
        <v>2040</v>
      </c>
      <c r="K228" s="276" t="n">
        <v>2040</v>
      </c>
      <c r="L228" s="276" t="n">
        <v>2040</v>
      </c>
      <c r="M228" s="276" t="n">
        <v>2040</v>
      </c>
      <c r="N228" s="276" t="n">
        <v>2040</v>
      </c>
      <c r="O228" s="276" t="n">
        <v>2040</v>
      </c>
      <c r="P228" s="276" t="n">
        <v>2040</v>
      </c>
      <c r="Q228" s="276" t="n">
        <v>2040</v>
      </c>
      <c r="R228" s="276" t="n">
        <v>2040</v>
      </c>
      <c r="S228" s="276" t="n">
        <v>2040</v>
      </c>
      <c r="T228" s="276" t="n">
        <v>2040</v>
      </c>
      <c r="U228" s="276" t="n">
        <v>2040</v>
      </c>
      <c r="V228" s="276" t="n">
        <v>2040</v>
      </c>
      <c r="W228" s="276" t="n">
        <v>2040</v>
      </c>
      <c r="X228" s="276" t="n">
        <v>2040</v>
      </c>
      <c r="Y228" s="276" t="n">
        <v>2040</v>
      </c>
      <c r="Z228" s="276" t="n">
        <v>2040</v>
      </c>
      <c r="AA228" s="276" t="n">
        <v>2040</v>
      </c>
      <c r="AB228" s="276" t="n">
        <v>2040</v>
      </c>
      <c r="AC228" s="276" t="n">
        <v>2040</v>
      </c>
      <c r="AD228" s="276" t="n">
        <v>2040</v>
      </c>
      <c r="AE228" s="276" t="n">
        <v>2040</v>
      </c>
      <c r="AF228" s="276" t="n">
        <v>2040</v>
      </c>
      <c r="AG228" s="276" t="n">
        <v>2040</v>
      </c>
      <c r="AH228" s="276" t="n">
        <v>2040</v>
      </c>
      <c r="AI228" s="276" t="n">
        <v>2040</v>
      </c>
      <c r="AJ228" s="276" t="n">
        <v>2040</v>
      </c>
      <c r="AK228" s="276" t="n">
        <v>2040</v>
      </c>
      <c r="AL228" s="276" t="n">
        <v>2040</v>
      </c>
      <c r="AM228" s="276" t="n">
        <v>2040</v>
      </c>
      <c r="AN228" s="276" t="n">
        <v>2040</v>
      </c>
      <c r="AO228" s="276" t="n">
        <v>2040</v>
      </c>
      <c r="AP228" s="276" t="n">
        <v>2040</v>
      </c>
      <c r="AQ228" s="276" t="n">
        <v>2040</v>
      </c>
      <c r="AR228" s="276" t="n">
        <v>2040</v>
      </c>
      <c r="AS228" s="276" t="n">
        <v>2040</v>
      </c>
      <c r="AT228" s="276" t="n">
        <v>2040</v>
      </c>
      <c r="AU228" s="276" t="n">
        <v>2040</v>
      </c>
      <c r="AV228" s="276" t="n">
        <v>2040</v>
      </c>
      <c r="AW228" s="276" t="n">
        <v>2040</v>
      </c>
      <c r="AX228" s="276" t="n">
        <v>2040</v>
      </c>
      <c r="AY228" s="276" t="n">
        <v>2040</v>
      </c>
      <c r="AZ228" s="276" t="n">
        <v>2040</v>
      </c>
    </row>
    <row r="229" customFormat="false" ht="15" hidden="false" customHeight="false" outlineLevel="0" collapsed="false">
      <c r="A229" s="275" t="s">
        <v>375</v>
      </c>
      <c r="B229" s="275"/>
      <c r="C229" s="276" t="n">
        <v>2040</v>
      </c>
      <c r="D229" s="276" t="n">
        <v>2040</v>
      </c>
      <c r="E229" s="276" t="n">
        <v>2040</v>
      </c>
      <c r="F229" s="276" t="n">
        <v>2040</v>
      </c>
      <c r="G229" s="276" t="n">
        <v>2040</v>
      </c>
      <c r="H229" s="276" t="n">
        <v>2040</v>
      </c>
      <c r="I229" s="276" t="n">
        <v>2040</v>
      </c>
      <c r="J229" s="276" t="n">
        <v>2040</v>
      </c>
      <c r="K229" s="276" t="n">
        <v>2040</v>
      </c>
      <c r="L229" s="276" t="n">
        <v>2040</v>
      </c>
      <c r="M229" s="276" t="n">
        <v>2040</v>
      </c>
      <c r="N229" s="276" t="n">
        <v>2040</v>
      </c>
      <c r="O229" s="276" t="n">
        <v>2040</v>
      </c>
      <c r="P229" s="276" t="n">
        <v>2040</v>
      </c>
      <c r="Q229" s="276" t="n">
        <v>2040</v>
      </c>
      <c r="R229" s="276" t="n">
        <v>2040</v>
      </c>
      <c r="S229" s="276" t="n">
        <v>2040</v>
      </c>
      <c r="T229" s="276" t="n">
        <v>2040</v>
      </c>
      <c r="U229" s="276" t="n">
        <v>2040</v>
      </c>
      <c r="V229" s="276" t="n">
        <v>2040</v>
      </c>
      <c r="W229" s="276" t="n">
        <v>2040</v>
      </c>
      <c r="X229" s="276" t="n">
        <v>2040</v>
      </c>
      <c r="Y229" s="276" t="n">
        <v>2040</v>
      </c>
      <c r="Z229" s="276" t="n">
        <v>2040</v>
      </c>
      <c r="AA229" s="276" t="n">
        <v>2040</v>
      </c>
      <c r="AB229" s="276" t="n">
        <v>2040</v>
      </c>
      <c r="AC229" s="276" t="n">
        <v>2040</v>
      </c>
      <c r="AD229" s="276" t="n">
        <v>2040</v>
      </c>
      <c r="AE229" s="276" t="n">
        <v>2040</v>
      </c>
      <c r="AF229" s="276" t="n">
        <v>2040</v>
      </c>
      <c r="AG229" s="276" t="n">
        <v>2040</v>
      </c>
      <c r="AH229" s="276" t="n">
        <v>2040</v>
      </c>
      <c r="AI229" s="276" t="n">
        <v>2040</v>
      </c>
      <c r="AJ229" s="276" t="n">
        <v>2040</v>
      </c>
      <c r="AK229" s="276" t="n">
        <v>2040</v>
      </c>
      <c r="AL229" s="276" t="n">
        <v>2040</v>
      </c>
      <c r="AM229" s="276" t="n">
        <v>2040</v>
      </c>
      <c r="AN229" s="276" t="n">
        <v>2040</v>
      </c>
      <c r="AO229" s="276" t="n">
        <v>2040</v>
      </c>
      <c r="AP229" s="276" t="n">
        <v>2040</v>
      </c>
      <c r="AQ229" s="276" t="n">
        <v>2040</v>
      </c>
      <c r="AR229" s="276" t="n">
        <v>2040</v>
      </c>
      <c r="AS229" s="276" t="n">
        <v>2040</v>
      </c>
      <c r="AT229" s="276" t="n">
        <v>2040</v>
      </c>
      <c r="AU229" s="276" t="n">
        <v>2040</v>
      </c>
      <c r="AV229" s="276" t="n">
        <v>2040</v>
      </c>
      <c r="AW229" s="276" t="n">
        <v>2040</v>
      </c>
      <c r="AX229" s="276" t="n">
        <v>2040</v>
      </c>
      <c r="AY229" s="276" t="n">
        <v>2040</v>
      </c>
      <c r="AZ229" s="276" t="n">
        <v>2040</v>
      </c>
    </row>
    <row r="230" customFormat="false" ht="15" hidden="false" customHeight="false" outlineLevel="0" collapsed="false">
      <c r="A230" s="275" t="s">
        <v>376</v>
      </c>
      <c r="B230" s="275"/>
      <c r="C230" s="276" t="n">
        <v>2040</v>
      </c>
      <c r="D230" s="276" t="n">
        <v>2040</v>
      </c>
      <c r="E230" s="276" t="n">
        <v>2040</v>
      </c>
      <c r="F230" s="276" t="n">
        <v>2040</v>
      </c>
      <c r="G230" s="276" t="n">
        <v>2040</v>
      </c>
      <c r="H230" s="276" t="n">
        <v>2040</v>
      </c>
      <c r="I230" s="276" t="n">
        <v>2040</v>
      </c>
      <c r="J230" s="276" t="n">
        <v>2040</v>
      </c>
      <c r="K230" s="276" t="n">
        <v>2040</v>
      </c>
      <c r="L230" s="276" t="n">
        <v>2040</v>
      </c>
      <c r="M230" s="276" t="n">
        <v>2040</v>
      </c>
      <c r="N230" s="276" t="n">
        <v>2040</v>
      </c>
      <c r="O230" s="276" t="n">
        <v>2040</v>
      </c>
      <c r="P230" s="276" t="n">
        <v>2040</v>
      </c>
      <c r="Q230" s="276" t="n">
        <v>2040</v>
      </c>
      <c r="R230" s="276" t="n">
        <v>2040</v>
      </c>
      <c r="S230" s="276" t="n">
        <v>2040</v>
      </c>
      <c r="T230" s="276" t="n">
        <v>2040</v>
      </c>
      <c r="U230" s="276" t="n">
        <v>2040</v>
      </c>
      <c r="V230" s="276" t="n">
        <v>2040</v>
      </c>
      <c r="W230" s="276" t="n">
        <v>2040</v>
      </c>
      <c r="X230" s="276" t="n">
        <v>2040</v>
      </c>
      <c r="Y230" s="276" t="n">
        <v>2040</v>
      </c>
      <c r="Z230" s="276" t="n">
        <v>2040</v>
      </c>
      <c r="AA230" s="276" t="n">
        <v>2040</v>
      </c>
      <c r="AB230" s="276" t="n">
        <v>2040</v>
      </c>
      <c r="AC230" s="276" t="n">
        <v>2040</v>
      </c>
      <c r="AD230" s="276" t="n">
        <v>2040</v>
      </c>
      <c r="AE230" s="276" t="n">
        <v>2040</v>
      </c>
      <c r="AF230" s="276" t="n">
        <v>2040</v>
      </c>
      <c r="AG230" s="276" t="n">
        <v>2040</v>
      </c>
      <c r="AH230" s="276" t="n">
        <v>2040</v>
      </c>
      <c r="AI230" s="276" t="n">
        <v>2040</v>
      </c>
      <c r="AJ230" s="276" t="n">
        <v>2040</v>
      </c>
      <c r="AK230" s="276" t="n">
        <v>2040</v>
      </c>
      <c r="AL230" s="276" t="n">
        <v>2040</v>
      </c>
      <c r="AM230" s="276" t="n">
        <v>2040</v>
      </c>
      <c r="AN230" s="276" t="n">
        <v>2040</v>
      </c>
      <c r="AO230" s="276" t="n">
        <v>2040</v>
      </c>
      <c r="AP230" s="276" t="n">
        <v>2040</v>
      </c>
      <c r="AQ230" s="276" t="n">
        <v>2040</v>
      </c>
      <c r="AR230" s="276" t="n">
        <v>2040</v>
      </c>
      <c r="AS230" s="276" t="n">
        <v>2040</v>
      </c>
      <c r="AT230" s="276" t="n">
        <v>2040</v>
      </c>
      <c r="AU230" s="276" t="n">
        <v>2040</v>
      </c>
      <c r="AV230" s="276" t="n">
        <v>2040</v>
      </c>
      <c r="AW230" s="276" t="n">
        <v>2040</v>
      </c>
      <c r="AX230" s="276" t="n">
        <v>2040</v>
      </c>
      <c r="AY230" s="276" t="n">
        <v>2040</v>
      </c>
      <c r="AZ230" s="276" t="n">
        <v>2040</v>
      </c>
    </row>
    <row r="231" customFormat="false" ht="15" hidden="false" customHeight="false" outlineLevel="0" collapsed="false">
      <c r="A231" s="275" t="s">
        <v>377</v>
      </c>
      <c r="B231" s="275"/>
      <c r="C231" s="276" t="n">
        <v>2040</v>
      </c>
      <c r="D231" s="276" t="n">
        <v>2040</v>
      </c>
      <c r="E231" s="276" t="n">
        <v>2040</v>
      </c>
      <c r="F231" s="276" t="n">
        <v>2040</v>
      </c>
      <c r="G231" s="276" t="n">
        <v>2040</v>
      </c>
      <c r="H231" s="276" t="n">
        <v>2040</v>
      </c>
      <c r="I231" s="276" t="n">
        <v>2040</v>
      </c>
      <c r="J231" s="276" t="n">
        <v>2040</v>
      </c>
      <c r="K231" s="276" t="n">
        <v>2040</v>
      </c>
      <c r="L231" s="276" t="n">
        <v>2040</v>
      </c>
      <c r="M231" s="276" t="n">
        <v>2040</v>
      </c>
      <c r="N231" s="276" t="n">
        <v>2040</v>
      </c>
      <c r="O231" s="276" t="n">
        <v>2040</v>
      </c>
      <c r="P231" s="276" t="n">
        <v>2040</v>
      </c>
      <c r="Q231" s="276" t="n">
        <v>2040</v>
      </c>
      <c r="R231" s="276" t="n">
        <v>2040</v>
      </c>
      <c r="S231" s="276" t="n">
        <v>2040</v>
      </c>
      <c r="T231" s="276" t="n">
        <v>2040</v>
      </c>
      <c r="U231" s="276" t="n">
        <v>2040</v>
      </c>
      <c r="V231" s="276" t="n">
        <v>2040</v>
      </c>
      <c r="W231" s="276" t="n">
        <v>2040</v>
      </c>
      <c r="X231" s="276" t="n">
        <v>2040</v>
      </c>
      <c r="Y231" s="276" t="n">
        <v>2040</v>
      </c>
      <c r="Z231" s="276" t="n">
        <v>2040</v>
      </c>
      <c r="AA231" s="276" t="n">
        <v>2040</v>
      </c>
      <c r="AB231" s="276" t="n">
        <v>2040</v>
      </c>
      <c r="AC231" s="276" t="n">
        <v>2040</v>
      </c>
      <c r="AD231" s="276" t="n">
        <v>2040</v>
      </c>
      <c r="AE231" s="276" t="n">
        <v>2040</v>
      </c>
      <c r="AF231" s="276" t="n">
        <v>2040</v>
      </c>
      <c r="AG231" s="276" t="n">
        <v>2040</v>
      </c>
      <c r="AH231" s="276" t="n">
        <v>2040</v>
      </c>
      <c r="AI231" s="276" t="n">
        <v>2040</v>
      </c>
      <c r="AJ231" s="276" t="n">
        <v>2040</v>
      </c>
      <c r="AK231" s="276" t="n">
        <v>2040</v>
      </c>
      <c r="AL231" s="276" t="n">
        <v>2040</v>
      </c>
      <c r="AM231" s="276" t="n">
        <v>2040</v>
      </c>
      <c r="AN231" s="276" t="n">
        <v>2040</v>
      </c>
      <c r="AO231" s="276" t="n">
        <v>2040</v>
      </c>
      <c r="AP231" s="276" t="n">
        <v>2040</v>
      </c>
      <c r="AQ231" s="276" t="n">
        <v>2040</v>
      </c>
      <c r="AR231" s="276" t="n">
        <v>2040</v>
      </c>
      <c r="AS231" s="276" t="n">
        <v>2040</v>
      </c>
      <c r="AT231" s="276" t="n">
        <v>2040</v>
      </c>
      <c r="AU231" s="276" t="n">
        <v>2040</v>
      </c>
      <c r="AV231" s="276" t="n">
        <v>2040</v>
      </c>
      <c r="AW231" s="276" t="n">
        <v>2040</v>
      </c>
      <c r="AX231" s="276" t="n">
        <v>2040</v>
      </c>
      <c r="AY231" s="276" t="n">
        <v>2040</v>
      </c>
      <c r="AZ231" s="276" t="n">
        <v>2040</v>
      </c>
    </row>
    <row r="232" customFormat="false" ht="15" hidden="false" customHeight="false" outlineLevel="0" collapsed="false">
      <c r="A232" s="275" t="s">
        <v>378</v>
      </c>
      <c r="B232" s="275"/>
      <c r="C232" s="276" t="n">
        <v>2040</v>
      </c>
      <c r="D232" s="276" t="n">
        <v>2040</v>
      </c>
      <c r="E232" s="276" t="n">
        <v>2040</v>
      </c>
      <c r="F232" s="276" t="n">
        <v>2040</v>
      </c>
      <c r="G232" s="276" t="n">
        <v>2040</v>
      </c>
      <c r="H232" s="276" t="n">
        <v>2040</v>
      </c>
      <c r="I232" s="276" t="n">
        <v>2040</v>
      </c>
      <c r="J232" s="276" t="n">
        <v>2040</v>
      </c>
      <c r="K232" s="276" t="n">
        <v>2040</v>
      </c>
      <c r="L232" s="276" t="n">
        <v>2040</v>
      </c>
      <c r="M232" s="276" t="n">
        <v>2040</v>
      </c>
      <c r="N232" s="276" t="n">
        <v>2040</v>
      </c>
      <c r="O232" s="276" t="n">
        <v>2040</v>
      </c>
      <c r="P232" s="276" t="n">
        <v>2040</v>
      </c>
      <c r="Q232" s="276" t="n">
        <v>2040</v>
      </c>
      <c r="R232" s="276" t="n">
        <v>2040</v>
      </c>
      <c r="S232" s="276" t="n">
        <v>2040</v>
      </c>
      <c r="T232" s="276" t="n">
        <v>2040</v>
      </c>
      <c r="U232" s="276" t="n">
        <v>2040</v>
      </c>
      <c r="V232" s="276" t="n">
        <v>2040</v>
      </c>
      <c r="W232" s="276" t="n">
        <v>2040</v>
      </c>
      <c r="X232" s="276" t="n">
        <v>2040</v>
      </c>
      <c r="Y232" s="276" t="n">
        <v>2040</v>
      </c>
      <c r="Z232" s="276" t="n">
        <v>2040</v>
      </c>
      <c r="AA232" s="276" t="n">
        <v>2040</v>
      </c>
      <c r="AB232" s="276" t="n">
        <v>2040</v>
      </c>
      <c r="AC232" s="276" t="n">
        <v>2040</v>
      </c>
      <c r="AD232" s="276" t="n">
        <v>2040</v>
      </c>
      <c r="AE232" s="276" t="n">
        <v>2040</v>
      </c>
      <c r="AF232" s="276" t="n">
        <v>2040</v>
      </c>
      <c r="AG232" s="276" t="n">
        <v>2040</v>
      </c>
      <c r="AH232" s="276" t="n">
        <v>2040</v>
      </c>
      <c r="AI232" s="276" t="n">
        <v>2040</v>
      </c>
      <c r="AJ232" s="276" t="n">
        <v>2040</v>
      </c>
      <c r="AK232" s="276" t="n">
        <v>2040</v>
      </c>
      <c r="AL232" s="276" t="n">
        <v>2040</v>
      </c>
      <c r="AM232" s="276" t="n">
        <v>2040</v>
      </c>
      <c r="AN232" s="276" t="n">
        <v>2040</v>
      </c>
      <c r="AO232" s="276" t="n">
        <v>2040</v>
      </c>
      <c r="AP232" s="276" t="n">
        <v>2040</v>
      </c>
      <c r="AQ232" s="276" t="n">
        <v>2040</v>
      </c>
      <c r="AR232" s="276" t="n">
        <v>2040</v>
      </c>
      <c r="AS232" s="276" t="n">
        <v>2040</v>
      </c>
      <c r="AT232" s="276" t="n">
        <v>2040</v>
      </c>
      <c r="AU232" s="276" t="n">
        <v>2040</v>
      </c>
      <c r="AV232" s="276" t="n">
        <v>2040</v>
      </c>
      <c r="AW232" s="276" t="n">
        <v>2040</v>
      </c>
      <c r="AX232" s="276" t="n">
        <v>2040</v>
      </c>
      <c r="AY232" s="276" t="n">
        <v>2040</v>
      </c>
      <c r="AZ232" s="276" t="n">
        <v>2040</v>
      </c>
    </row>
    <row r="233" customFormat="false" ht="15.75" hidden="false" customHeight="true" outlineLevel="0" collapsed="false">
      <c r="A233" s="200" t="s">
        <v>646</v>
      </c>
      <c r="B233" s="200"/>
      <c r="C233" s="200"/>
      <c r="D233" s="200"/>
      <c r="E233" s="200"/>
      <c r="F233" s="200"/>
      <c r="G233" s="200"/>
      <c r="H233" s="200"/>
      <c r="I233" s="200"/>
      <c r="J233" s="200"/>
      <c r="K233" s="200"/>
      <c r="L233" s="200"/>
      <c r="M233" s="200"/>
      <c r="N233" s="200"/>
      <c r="O233" s="200"/>
      <c r="P233" s="200"/>
      <c r="Q233" s="200"/>
    </row>
    <row r="234" customFormat="false" ht="15" hidden="false" customHeight="false" outlineLevel="0" collapsed="false">
      <c r="A234" s="275" t="s">
        <v>374</v>
      </c>
      <c r="B234" s="275"/>
      <c r="C234" s="276" t="n">
        <v>1</v>
      </c>
      <c r="D234" s="276" t="n">
        <v>1</v>
      </c>
      <c r="E234" s="276" t="n">
        <v>1</v>
      </c>
      <c r="F234" s="276" t="n">
        <v>1</v>
      </c>
      <c r="G234" s="276" t="n">
        <v>1</v>
      </c>
      <c r="H234" s="276" t="n">
        <v>1</v>
      </c>
      <c r="I234" s="276" t="n">
        <v>1</v>
      </c>
      <c r="J234" s="276" t="n">
        <v>1</v>
      </c>
      <c r="K234" s="276" t="n">
        <v>1</v>
      </c>
      <c r="L234" s="276" t="n">
        <v>1</v>
      </c>
      <c r="M234" s="276" t="n">
        <v>1</v>
      </c>
      <c r="N234" s="276" t="n">
        <v>1</v>
      </c>
      <c r="O234" s="276" t="n">
        <v>1</v>
      </c>
      <c r="P234" s="276" t="n">
        <v>1</v>
      </c>
      <c r="Q234" s="277" t="n">
        <v>1</v>
      </c>
      <c r="R234" s="277" t="n">
        <v>1</v>
      </c>
      <c r="S234" s="277" t="n">
        <v>1</v>
      </c>
      <c r="T234" s="277" t="n">
        <v>1</v>
      </c>
      <c r="U234" s="277" t="n">
        <v>1</v>
      </c>
      <c r="V234" s="277" t="n">
        <v>1</v>
      </c>
      <c r="W234" s="277" t="n">
        <v>1</v>
      </c>
      <c r="X234" s="277" t="n">
        <v>1</v>
      </c>
      <c r="Y234" s="277" t="n">
        <v>1</v>
      </c>
      <c r="Z234" s="277" t="n">
        <v>1</v>
      </c>
      <c r="AA234" s="277" t="n">
        <v>1</v>
      </c>
      <c r="AB234" s="277" t="n">
        <v>1</v>
      </c>
      <c r="AC234" s="277" t="n">
        <v>1</v>
      </c>
      <c r="AD234" s="277" t="n">
        <v>1</v>
      </c>
      <c r="AE234" s="277" t="n">
        <v>1</v>
      </c>
      <c r="AF234" s="277" t="n">
        <v>1</v>
      </c>
      <c r="AG234" s="277" t="n">
        <v>1</v>
      </c>
      <c r="AH234" s="277" t="n">
        <v>1</v>
      </c>
      <c r="AI234" s="277" t="n">
        <v>1</v>
      </c>
      <c r="AJ234" s="277" t="n">
        <v>1</v>
      </c>
      <c r="AK234" s="277" t="n">
        <v>1</v>
      </c>
      <c r="AL234" s="277" t="n">
        <v>1</v>
      </c>
      <c r="AM234" s="277" t="n">
        <v>1</v>
      </c>
      <c r="AN234" s="277" t="n">
        <v>1</v>
      </c>
      <c r="AO234" s="277" t="n">
        <v>1</v>
      </c>
      <c r="AP234" s="277" t="n">
        <v>1</v>
      </c>
      <c r="AQ234" s="277" t="n">
        <v>1</v>
      </c>
      <c r="AR234" s="277" t="n">
        <v>1</v>
      </c>
      <c r="AS234" s="277" t="n">
        <v>1</v>
      </c>
      <c r="AT234" s="277" t="n">
        <v>1</v>
      </c>
      <c r="AU234" s="277" t="n">
        <v>1</v>
      </c>
      <c r="AV234" s="277" t="n">
        <v>1</v>
      </c>
      <c r="AW234" s="277" t="n">
        <v>1</v>
      </c>
      <c r="AX234" s="277" t="n">
        <v>1</v>
      </c>
      <c r="AY234" s="277" t="n">
        <v>1</v>
      </c>
      <c r="AZ234" s="277" t="n">
        <v>1</v>
      </c>
    </row>
    <row r="235" customFormat="false" ht="15" hidden="false" customHeight="false" outlineLevel="0" collapsed="false">
      <c r="A235" s="275" t="s">
        <v>375</v>
      </c>
      <c r="B235" s="275"/>
      <c r="C235" s="276" t="n">
        <v>1</v>
      </c>
      <c r="D235" s="276" t="n">
        <v>1</v>
      </c>
      <c r="E235" s="276" t="n">
        <v>1</v>
      </c>
      <c r="F235" s="276" t="n">
        <v>1</v>
      </c>
      <c r="G235" s="276" t="n">
        <v>1</v>
      </c>
      <c r="H235" s="276" t="n">
        <v>1</v>
      </c>
      <c r="I235" s="276" t="n">
        <v>1</v>
      </c>
      <c r="J235" s="276" t="n">
        <v>1</v>
      </c>
      <c r="K235" s="276" t="n">
        <v>1</v>
      </c>
      <c r="L235" s="276" t="n">
        <v>1</v>
      </c>
      <c r="M235" s="276" t="n">
        <v>1</v>
      </c>
      <c r="N235" s="276" t="n">
        <v>1</v>
      </c>
      <c r="O235" s="276" t="n">
        <v>1</v>
      </c>
      <c r="P235" s="276" t="n">
        <v>1</v>
      </c>
      <c r="Q235" s="277" t="n">
        <v>1</v>
      </c>
      <c r="R235" s="277" t="n">
        <v>1</v>
      </c>
      <c r="S235" s="277" t="n">
        <v>1</v>
      </c>
      <c r="T235" s="277" t="n">
        <v>1</v>
      </c>
      <c r="U235" s="277" t="n">
        <v>1</v>
      </c>
      <c r="V235" s="277" t="n">
        <v>1</v>
      </c>
      <c r="W235" s="277" t="n">
        <v>1</v>
      </c>
      <c r="X235" s="277" t="n">
        <v>1</v>
      </c>
      <c r="Y235" s="277" t="n">
        <v>1</v>
      </c>
      <c r="Z235" s="277" t="n">
        <v>1</v>
      </c>
      <c r="AA235" s="277" t="n">
        <v>1</v>
      </c>
      <c r="AB235" s="277" t="n">
        <v>1</v>
      </c>
      <c r="AC235" s="277" t="n">
        <v>1</v>
      </c>
      <c r="AD235" s="277" t="n">
        <v>1</v>
      </c>
      <c r="AE235" s="277" t="n">
        <v>1</v>
      </c>
      <c r="AF235" s="277" t="n">
        <v>1</v>
      </c>
      <c r="AG235" s="277" t="n">
        <v>1</v>
      </c>
      <c r="AH235" s="277" t="n">
        <v>1</v>
      </c>
      <c r="AI235" s="277" t="n">
        <v>1</v>
      </c>
      <c r="AJ235" s="277" t="n">
        <v>1</v>
      </c>
      <c r="AK235" s="277" t="n">
        <v>1</v>
      </c>
      <c r="AL235" s="277" t="n">
        <v>1</v>
      </c>
      <c r="AM235" s="277" t="n">
        <v>1</v>
      </c>
      <c r="AN235" s="277" t="n">
        <v>1</v>
      </c>
      <c r="AO235" s="277" t="n">
        <v>1</v>
      </c>
      <c r="AP235" s="277" t="n">
        <v>1</v>
      </c>
      <c r="AQ235" s="277" t="n">
        <v>1</v>
      </c>
      <c r="AR235" s="277" t="n">
        <v>1</v>
      </c>
      <c r="AS235" s="277" t="n">
        <v>1</v>
      </c>
      <c r="AT235" s="277" t="n">
        <v>1</v>
      </c>
      <c r="AU235" s="277" t="n">
        <v>1</v>
      </c>
      <c r="AV235" s="277" t="n">
        <v>1</v>
      </c>
      <c r="AW235" s="277" t="n">
        <v>1</v>
      </c>
      <c r="AX235" s="277" t="n">
        <v>1</v>
      </c>
      <c r="AY235" s="277" t="n">
        <v>1</v>
      </c>
      <c r="AZ235" s="277" t="n">
        <v>1</v>
      </c>
    </row>
    <row r="236" customFormat="false" ht="15" hidden="false" customHeight="false" outlineLevel="0" collapsed="false">
      <c r="A236" s="275" t="s">
        <v>376</v>
      </c>
      <c r="B236" s="275"/>
      <c r="C236" s="276" t="n">
        <v>1</v>
      </c>
      <c r="D236" s="276" t="n">
        <v>1</v>
      </c>
      <c r="E236" s="276" t="n">
        <v>1</v>
      </c>
      <c r="F236" s="276" t="n">
        <v>1</v>
      </c>
      <c r="G236" s="276" t="n">
        <v>1</v>
      </c>
      <c r="H236" s="276" t="n">
        <v>1</v>
      </c>
      <c r="I236" s="276" t="n">
        <v>1</v>
      </c>
      <c r="J236" s="276" t="n">
        <v>1</v>
      </c>
      <c r="K236" s="276" t="n">
        <v>1</v>
      </c>
      <c r="L236" s="276" t="n">
        <v>1</v>
      </c>
      <c r="M236" s="276" t="n">
        <v>1</v>
      </c>
      <c r="N236" s="276" t="n">
        <v>1</v>
      </c>
      <c r="O236" s="276" t="n">
        <v>1</v>
      </c>
      <c r="P236" s="276" t="n">
        <v>1</v>
      </c>
      <c r="Q236" s="277" t="n">
        <v>1</v>
      </c>
      <c r="R236" s="277" t="n">
        <v>1</v>
      </c>
      <c r="S236" s="277" t="n">
        <v>1</v>
      </c>
      <c r="T236" s="277" t="n">
        <v>1</v>
      </c>
      <c r="U236" s="277" t="n">
        <v>1</v>
      </c>
      <c r="V236" s="277" t="n">
        <v>1</v>
      </c>
      <c r="W236" s="277" t="n">
        <v>1</v>
      </c>
      <c r="X236" s="277" t="n">
        <v>1</v>
      </c>
      <c r="Y236" s="277" t="n">
        <v>1</v>
      </c>
      <c r="Z236" s="277" t="n">
        <v>1</v>
      </c>
      <c r="AA236" s="277" t="n">
        <v>1</v>
      </c>
      <c r="AB236" s="277" t="n">
        <v>1</v>
      </c>
      <c r="AC236" s="277" t="n">
        <v>1</v>
      </c>
      <c r="AD236" s="277" t="n">
        <v>1</v>
      </c>
      <c r="AE236" s="277" t="n">
        <v>1</v>
      </c>
      <c r="AF236" s="277" t="n">
        <v>1</v>
      </c>
      <c r="AG236" s="277" t="n">
        <v>1</v>
      </c>
      <c r="AH236" s="277" t="n">
        <v>1</v>
      </c>
      <c r="AI236" s="277" t="n">
        <v>1</v>
      </c>
      <c r="AJ236" s="277" t="n">
        <v>1</v>
      </c>
      <c r="AK236" s="277" t="n">
        <v>1</v>
      </c>
      <c r="AL236" s="277" t="n">
        <v>1</v>
      </c>
      <c r="AM236" s="277" t="n">
        <v>1</v>
      </c>
      <c r="AN236" s="277" t="n">
        <v>1</v>
      </c>
      <c r="AO236" s="277" t="n">
        <v>1</v>
      </c>
      <c r="AP236" s="277" t="n">
        <v>1</v>
      </c>
      <c r="AQ236" s="277" t="n">
        <v>1</v>
      </c>
      <c r="AR236" s="277" t="n">
        <v>1</v>
      </c>
      <c r="AS236" s="277" t="n">
        <v>1</v>
      </c>
      <c r="AT236" s="277" t="n">
        <v>1</v>
      </c>
      <c r="AU236" s="277" t="n">
        <v>1</v>
      </c>
      <c r="AV236" s="277" t="n">
        <v>1</v>
      </c>
      <c r="AW236" s="277" t="n">
        <v>1</v>
      </c>
      <c r="AX236" s="277" t="n">
        <v>1</v>
      </c>
      <c r="AY236" s="277" t="n">
        <v>1</v>
      </c>
      <c r="AZ236" s="277" t="n">
        <v>1</v>
      </c>
    </row>
    <row r="237" customFormat="false" ht="15" hidden="false" customHeight="false" outlineLevel="0" collapsed="false">
      <c r="A237" s="275" t="s">
        <v>377</v>
      </c>
      <c r="B237" s="275"/>
      <c r="C237" s="276" t="n">
        <v>1</v>
      </c>
      <c r="D237" s="276" t="n">
        <v>1</v>
      </c>
      <c r="E237" s="276" t="n">
        <v>1</v>
      </c>
      <c r="F237" s="276" t="n">
        <v>1</v>
      </c>
      <c r="G237" s="276" t="n">
        <v>1</v>
      </c>
      <c r="H237" s="276" t="n">
        <v>1</v>
      </c>
      <c r="I237" s="276" t="n">
        <v>1</v>
      </c>
      <c r="J237" s="276" t="n">
        <v>1</v>
      </c>
      <c r="K237" s="276" t="n">
        <v>1</v>
      </c>
      <c r="L237" s="276" t="n">
        <v>1</v>
      </c>
      <c r="M237" s="276" t="n">
        <v>1</v>
      </c>
      <c r="N237" s="276" t="n">
        <v>1</v>
      </c>
      <c r="O237" s="276" t="n">
        <v>1</v>
      </c>
      <c r="P237" s="276" t="n">
        <v>1</v>
      </c>
      <c r="Q237" s="277" t="n">
        <v>1</v>
      </c>
      <c r="R237" s="277" t="n">
        <v>1</v>
      </c>
      <c r="S237" s="277" t="n">
        <v>1</v>
      </c>
      <c r="T237" s="277" t="n">
        <v>1</v>
      </c>
      <c r="U237" s="277" t="n">
        <v>1</v>
      </c>
      <c r="V237" s="277" t="n">
        <v>1</v>
      </c>
      <c r="W237" s="277" t="n">
        <v>1</v>
      </c>
      <c r="X237" s="277" t="n">
        <v>1</v>
      </c>
      <c r="Y237" s="277" t="n">
        <v>1</v>
      </c>
      <c r="Z237" s="277" t="n">
        <v>1</v>
      </c>
      <c r="AA237" s="277" t="n">
        <v>1</v>
      </c>
      <c r="AB237" s="277" t="n">
        <v>1</v>
      </c>
      <c r="AC237" s="277" t="n">
        <v>1</v>
      </c>
      <c r="AD237" s="277" t="n">
        <v>1</v>
      </c>
      <c r="AE237" s="277" t="n">
        <v>1</v>
      </c>
      <c r="AF237" s="277" t="n">
        <v>1</v>
      </c>
      <c r="AG237" s="277" t="n">
        <v>1</v>
      </c>
      <c r="AH237" s="277" t="n">
        <v>1</v>
      </c>
      <c r="AI237" s="277" t="n">
        <v>1</v>
      </c>
      <c r="AJ237" s="277" t="n">
        <v>1</v>
      </c>
      <c r="AK237" s="277" t="n">
        <v>1</v>
      </c>
      <c r="AL237" s="277" t="n">
        <v>1</v>
      </c>
      <c r="AM237" s="277" t="n">
        <v>1</v>
      </c>
      <c r="AN237" s="277" t="n">
        <v>1</v>
      </c>
      <c r="AO237" s="277" t="n">
        <v>1</v>
      </c>
      <c r="AP237" s="277" t="n">
        <v>1</v>
      </c>
      <c r="AQ237" s="277" t="n">
        <v>1</v>
      </c>
      <c r="AR237" s="277" t="n">
        <v>1</v>
      </c>
      <c r="AS237" s="277" t="n">
        <v>1</v>
      </c>
      <c r="AT237" s="277" t="n">
        <v>1</v>
      </c>
      <c r="AU237" s="277" t="n">
        <v>1</v>
      </c>
      <c r="AV237" s="277" t="n">
        <v>1</v>
      </c>
      <c r="AW237" s="277" t="n">
        <v>1</v>
      </c>
      <c r="AX237" s="277" t="n">
        <v>1</v>
      </c>
      <c r="AY237" s="277" t="n">
        <v>1</v>
      </c>
      <c r="AZ237" s="277" t="n">
        <v>1</v>
      </c>
    </row>
    <row r="238" customFormat="false" ht="15" hidden="false" customHeight="false" outlineLevel="0" collapsed="false">
      <c r="A238" s="275" t="s">
        <v>378</v>
      </c>
      <c r="B238" s="275"/>
      <c r="C238" s="276" t="n">
        <v>1</v>
      </c>
      <c r="D238" s="276" t="n">
        <v>1</v>
      </c>
      <c r="E238" s="276" t="n">
        <v>1</v>
      </c>
      <c r="F238" s="276" t="n">
        <v>1</v>
      </c>
      <c r="G238" s="276" t="n">
        <v>1</v>
      </c>
      <c r="H238" s="276" t="n">
        <v>1</v>
      </c>
      <c r="I238" s="276" t="n">
        <v>1</v>
      </c>
      <c r="J238" s="276" t="n">
        <v>1</v>
      </c>
      <c r="K238" s="276" t="n">
        <v>1</v>
      </c>
      <c r="L238" s="276" t="n">
        <v>1</v>
      </c>
      <c r="M238" s="276" t="n">
        <v>1</v>
      </c>
      <c r="N238" s="276" t="n">
        <v>1</v>
      </c>
      <c r="O238" s="276" t="n">
        <v>1</v>
      </c>
      <c r="P238" s="276" t="n">
        <v>1</v>
      </c>
      <c r="Q238" s="277" t="n">
        <v>1</v>
      </c>
      <c r="R238" s="277" t="n">
        <v>1</v>
      </c>
      <c r="S238" s="277" t="n">
        <v>1</v>
      </c>
      <c r="T238" s="277" t="n">
        <v>1</v>
      </c>
      <c r="U238" s="277" t="n">
        <v>1</v>
      </c>
      <c r="V238" s="277" t="n">
        <v>1</v>
      </c>
      <c r="W238" s="277" t="n">
        <v>1</v>
      </c>
      <c r="X238" s="277" t="n">
        <v>1</v>
      </c>
      <c r="Y238" s="277" t="n">
        <v>1</v>
      </c>
      <c r="Z238" s="277" t="n">
        <v>1</v>
      </c>
      <c r="AA238" s="277" t="n">
        <v>1</v>
      </c>
      <c r="AB238" s="277" t="n">
        <v>1</v>
      </c>
      <c r="AC238" s="277" t="n">
        <v>1</v>
      </c>
      <c r="AD238" s="277" t="n">
        <v>1</v>
      </c>
      <c r="AE238" s="277" t="n">
        <v>1</v>
      </c>
      <c r="AF238" s="277" t="n">
        <v>1</v>
      </c>
      <c r="AG238" s="277" t="n">
        <v>1</v>
      </c>
      <c r="AH238" s="277" t="n">
        <v>1</v>
      </c>
      <c r="AI238" s="277" t="n">
        <v>1</v>
      </c>
      <c r="AJ238" s="277" t="n">
        <v>1</v>
      </c>
      <c r="AK238" s="277" t="n">
        <v>1</v>
      </c>
      <c r="AL238" s="277" t="n">
        <v>1</v>
      </c>
      <c r="AM238" s="277" t="n">
        <v>1</v>
      </c>
      <c r="AN238" s="277" t="n">
        <v>1</v>
      </c>
      <c r="AO238" s="277" t="n">
        <v>1</v>
      </c>
      <c r="AP238" s="277" t="n">
        <v>1</v>
      </c>
      <c r="AQ238" s="277" t="n">
        <v>1</v>
      </c>
      <c r="AR238" s="277" t="n">
        <v>1</v>
      </c>
      <c r="AS238" s="277" t="n">
        <v>1</v>
      </c>
      <c r="AT238" s="277" t="n">
        <v>1</v>
      </c>
      <c r="AU238" s="277" t="n">
        <v>1</v>
      </c>
      <c r="AV238" s="277" t="n">
        <v>1</v>
      </c>
      <c r="AW238" s="277" t="n">
        <v>1</v>
      </c>
      <c r="AX238" s="277" t="n">
        <v>1</v>
      </c>
      <c r="AY238" s="277" t="n">
        <v>1</v>
      </c>
      <c r="AZ238" s="277" t="n">
        <v>1</v>
      </c>
    </row>
    <row r="239" customFormat="false" ht="15.75" hidden="false" customHeight="true" outlineLevel="0" collapsed="false">
      <c r="A239" s="200" t="s">
        <v>647</v>
      </c>
      <c r="B239" s="200"/>
      <c r="C239" s="200"/>
      <c r="D239" s="200"/>
      <c r="E239" s="200"/>
      <c r="F239" s="200"/>
      <c r="G239" s="200"/>
      <c r="H239" s="200"/>
      <c r="I239" s="200"/>
      <c r="J239" s="200"/>
      <c r="K239" s="200"/>
      <c r="L239" s="200"/>
      <c r="M239" s="200"/>
      <c r="N239" s="200"/>
      <c r="O239" s="200"/>
      <c r="P239" s="200"/>
      <c r="Q239" s="200"/>
    </row>
    <row r="240" customFormat="false" ht="15" hidden="false" customHeight="false" outlineLevel="0" collapsed="false">
      <c r="A240" s="275" t="s">
        <v>374</v>
      </c>
      <c r="B240" s="275"/>
      <c r="C240" s="276" t="n">
        <v>2050</v>
      </c>
      <c r="D240" s="276" t="n">
        <v>2050</v>
      </c>
      <c r="E240" s="276" t="n">
        <v>2050</v>
      </c>
      <c r="F240" s="276" t="n">
        <v>2050</v>
      </c>
      <c r="G240" s="276" t="n">
        <v>2050</v>
      </c>
      <c r="H240" s="276" t="n">
        <v>2050</v>
      </c>
      <c r="I240" s="276" t="n">
        <v>2050</v>
      </c>
      <c r="J240" s="276" t="n">
        <v>2050</v>
      </c>
      <c r="K240" s="276" t="n">
        <v>2050</v>
      </c>
      <c r="L240" s="276" t="n">
        <v>2050</v>
      </c>
      <c r="M240" s="276" t="n">
        <v>2050</v>
      </c>
      <c r="N240" s="276" t="n">
        <v>2050</v>
      </c>
      <c r="O240" s="276" t="n">
        <v>2050</v>
      </c>
      <c r="P240" s="276" t="n">
        <v>2050</v>
      </c>
      <c r="Q240" s="277" t="n">
        <v>2050</v>
      </c>
      <c r="R240" s="277" t="n">
        <v>2050</v>
      </c>
      <c r="S240" s="277" t="n">
        <v>2050</v>
      </c>
      <c r="T240" s="277" t="n">
        <v>2050</v>
      </c>
      <c r="U240" s="277" t="n">
        <v>2050</v>
      </c>
      <c r="V240" s="277" t="n">
        <v>2050</v>
      </c>
      <c r="W240" s="277" t="n">
        <v>2050</v>
      </c>
      <c r="X240" s="277" t="n">
        <v>2050</v>
      </c>
      <c r="Y240" s="277" t="n">
        <v>2050</v>
      </c>
      <c r="Z240" s="277" t="n">
        <v>2050</v>
      </c>
      <c r="AA240" s="277" t="n">
        <v>2050</v>
      </c>
      <c r="AB240" s="277" t="n">
        <v>2050</v>
      </c>
      <c r="AC240" s="277" t="n">
        <v>2050</v>
      </c>
      <c r="AD240" s="277" t="n">
        <v>2050</v>
      </c>
      <c r="AE240" s="277" t="n">
        <v>2050</v>
      </c>
      <c r="AF240" s="277" t="n">
        <v>2050</v>
      </c>
      <c r="AG240" s="277" t="n">
        <v>2050</v>
      </c>
      <c r="AH240" s="277" t="n">
        <v>2050</v>
      </c>
      <c r="AI240" s="277" t="n">
        <v>2050</v>
      </c>
      <c r="AJ240" s="277" t="n">
        <v>2050</v>
      </c>
      <c r="AK240" s="277" t="n">
        <v>2050</v>
      </c>
      <c r="AL240" s="277" t="n">
        <v>2050</v>
      </c>
      <c r="AM240" s="277" t="n">
        <v>2050</v>
      </c>
      <c r="AN240" s="277" t="n">
        <v>2050</v>
      </c>
      <c r="AO240" s="277" t="n">
        <v>2050</v>
      </c>
      <c r="AP240" s="277" t="n">
        <v>2050</v>
      </c>
      <c r="AQ240" s="277" t="n">
        <v>2050</v>
      </c>
      <c r="AR240" s="277" t="n">
        <v>2050</v>
      </c>
      <c r="AS240" s="277" t="n">
        <v>2050</v>
      </c>
      <c r="AT240" s="277" t="n">
        <v>2050</v>
      </c>
      <c r="AU240" s="277" t="n">
        <v>2050</v>
      </c>
      <c r="AV240" s="277" t="n">
        <v>2050</v>
      </c>
      <c r="AW240" s="277" t="n">
        <v>2050</v>
      </c>
      <c r="AX240" s="277" t="n">
        <v>2050</v>
      </c>
      <c r="AY240" s="277" t="n">
        <v>2050</v>
      </c>
      <c r="AZ240" s="277" t="n">
        <v>2050</v>
      </c>
    </row>
    <row r="241" customFormat="false" ht="15" hidden="false" customHeight="false" outlineLevel="0" collapsed="false">
      <c r="A241" s="275" t="s">
        <v>375</v>
      </c>
      <c r="B241" s="275"/>
      <c r="C241" s="276" t="n">
        <v>2050</v>
      </c>
      <c r="D241" s="276" t="n">
        <v>2050</v>
      </c>
      <c r="E241" s="276" t="n">
        <v>2050</v>
      </c>
      <c r="F241" s="276" t="n">
        <v>2050</v>
      </c>
      <c r="G241" s="276" t="n">
        <v>2050</v>
      </c>
      <c r="H241" s="276" t="n">
        <v>2050</v>
      </c>
      <c r="I241" s="276" t="n">
        <v>2050</v>
      </c>
      <c r="J241" s="276" t="n">
        <v>2050</v>
      </c>
      <c r="K241" s="276" t="n">
        <v>2050</v>
      </c>
      <c r="L241" s="276" t="n">
        <v>2050</v>
      </c>
      <c r="M241" s="276" t="n">
        <v>2050</v>
      </c>
      <c r="N241" s="276" t="n">
        <v>2050</v>
      </c>
      <c r="O241" s="276" t="n">
        <v>2050</v>
      </c>
      <c r="P241" s="276" t="n">
        <v>2050</v>
      </c>
      <c r="Q241" s="277" t="n">
        <v>2050</v>
      </c>
      <c r="R241" s="277" t="n">
        <v>2050</v>
      </c>
      <c r="S241" s="277" t="n">
        <v>2050</v>
      </c>
      <c r="T241" s="277" t="n">
        <v>2050</v>
      </c>
      <c r="U241" s="277" t="n">
        <v>2050</v>
      </c>
      <c r="V241" s="277" t="n">
        <v>2050</v>
      </c>
      <c r="W241" s="277" t="n">
        <v>2050</v>
      </c>
      <c r="X241" s="277" t="n">
        <v>2050</v>
      </c>
      <c r="Y241" s="277" t="n">
        <v>2050</v>
      </c>
      <c r="Z241" s="277" t="n">
        <v>2050</v>
      </c>
      <c r="AA241" s="277" t="n">
        <v>2050</v>
      </c>
      <c r="AB241" s="277" t="n">
        <v>2050</v>
      </c>
      <c r="AC241" s="277" t="n">
        <v>2050</v>
      </c>
      <c r="AD241" s="277" t="n">
        <v>2050</v>
      </c>
      <c r="AE241" s="277" t="n">
        <v>2050</v>
      </c>
      <c r="AF241" s="277" t="n">
        <v>2050</v>
      </c>
      <c r="AG241" s="277" t="n">
        <v>2050</v>
      </c>
      <c r="AH241" s="277" t="n">
        <v>2050</v>
      </c>
      <c r="AI241" s="277" t="n">
        <v>2050</v>
      </c>
      <c r="AJ241" s="277" t="n">
        <v>2050</v>
      </c>
      <c r="AK241" s="277" t="n">
        <v>2050</v>
      </c>
      <c r="AL241" s="277" t="n">
        <v>2050</v>
      </c>
      <c r="AM241" s="277" t="n">
        <v>2050</v>
      </c>
      <c r="AN241" s="277" t="n">
        <v>2050</v>
      </c>
      <c r="AO241" s="277" t="n">
        <v>2050</v>
      </c>
      <c r="AP241" s="277" t="n">
        <v>2050</v>
      </c>
      <c r="AQ241" s="277" t="n">
        <v>2050</v>
      </c>
      <c r="AR241" s="277" t="n">
        <v>2050</v>
      </c>
      <c r="AS241" s="277" t="n">
        <v>2050</v>
      </c>
      <c r="AT241" s="277" t="n">
        <v>2050</v>
      </c>
      <c r="AU241" s="277" t="n">
        <v>2050</v>
      </c>
      <c r="AV241" s="277" t="n">
        <v>2050</v>
      </c>
      <c r="AW241" s="277" t="n">
        <v>2050</v>
      </c>
      <c r="AX241" s="277" t="n">
        <v>2050</v>
      </c>
      <c r="AY241" s="277" t="n">
        <v>2050</v>
      </c>
      <c r="AZ241" s="277" t="n">
        <v>2050</v>
      </c>
    </row>
    <row r="242" customFormat="false" ht="15" hidden="false" customHeight="false" outlineLevel="0" collapsed="false">
      <c r="A242" s="275" t="s">
        <v>376</v>
      </c>
      <c r="B242" s="275"/>
      <c r="C242" s="276" t="n">
        <v>2050</v>
      </c>
      <c r="D242" s="276" t="n">
        <v>2050</v>
      </c>
      <c r="E242" s="276" t="n">
        <v>2050</v>
      </c>
      <c r="F242" s="276" t="n">
        <v>2050</v>
      </c>
      <c r="G242" s="276" t="n">
        <v>2050</v>
      </c>
      <c r="H242" s="276" t="n">
        <v>2050</v>
      </c>
      <c r="I242" s="276" t="n">
        <v>2050</v>
      </c>
      <c r="J242" s="276" t="n">
        <v>2050</v>
      </c>
      <c r="K242" s="276" t="n">
        <v>2050</v>
      </c>
      <c r="L242" s="276" t="n">
        <v>2050</v>
      </c>
      <c r="M242" s="276" t="n">
        <v>2050</v>
      </c>
      <c r="N242" s="276" t="n">
        <v>2050</v>
      </c>
      <c r="O242" s="276" t="n">
        <v>2050</v>
      </c>
      <c r="P242" s="276" t="n">
        <v>2050</v>
      </c>
      <c r="Q242" s="277" t="n">
        <v>2050</v>
      </c>
      <c r="R242" s="277" t="n">
        <v>2050</v>
      </c>
      <c r="S242" s="277" t="n">
        <v>2050</v>
      </c>
      <c r="T242" s="277" t="n">
        <v>2050</v>
      </c>
      <c r="U242" s="277" t="n">
        <v>2050</v>
      </c>
      <c r="V242" s="277" t="n">
        <v>2050</v>
      </c>
      <c r="W242" s="277" t="n">
        <v>2050</v>
      </c>
      <c r="X242" s="277" t="n">
        <v>2050</v>
      </c>
      <c r="Y242" s="277" t="n">
        <v>2050</v>
      </c>
      <c r="Z242" s="277" t="n">
        <v>2050</v>
      </c>
      <c r="AA242" s="277" t="n">
        <v>2050</v>
      </c>
      <c r="AB242" s="277" t="n">
        <v>2050</v>
      </c>
      <c r="AC242" s="277" t="n">
        <v>2050</v>
      </c>
      <c r="AD242" s="277" t="n">
        <v>2050</v>
      </c>
      <c r="AE242" s="277" t="n">
        <v>2050</v>
      </c>
      <c r="AF242" s="277" t="n">
        <v>2050</v>
      </c>
      <c r="AG242" s="277" t="n">
        <v>2050</v>
      </c>
      <c r="AH242" s="277" t="n">
        <v>2050</v>
      </c>
      <c r="AI242" s="277" t="n">
        <v>2050</v>
      </c>
      <c r="AJ242" s="277" t="n">
        <v>2050</v>
      </c>
      <c r="AK242" s="277" t="n">
        <v>2050</v>
      </c>
      <c r="AL242" s="277" t="n">
        <v>2050</v>
      </c>
      <c r="AM242" s="277" t="n">
        <v>2050</v>
      </c>
      <c r="AN242" s="277" t="n">
        <v>2050</v>
      </c>
      <c r="AO242" s="277" t="n">
        <v>2050</v>
      </c>
      <c r="AP242" s="277" t="n">
        <v>2050</v>
      </c>
      <c r="AQ242" s="277" t="n">
        <v>2050</v>
      </c>
      <c r="AR242" s="277" t="n">
        <v>2050</v>
      </c>
      <c r="AS242" s="277" t="n">
        <v>2050</v>
      </c>
      <c r="AT242" s="277" t="n">
        <v>2050</v>
      </c>
      <c r="AU242" s="277" t="n">
        <v>2050</v>
      </c>
      <c r="AV242" s="277" t="n">
        <v>2050</v>
      </c>
      <c r="AW242" s="277" t="n">
        <v>2050</v>
      </c>
      <c r="AX242" s="277" t="n">
        <v>2050</v>
      </c>
      <c r="AY242" s="277" t="n">
        <v>2050</v>
      </c>
      <c r="AZ242" s="277" t="n">
        <v>2050</v>
      </c>
    </row>
    <row r="243" customFormat="false" ht="15" hidden="false" customHeight="false" outlineLevel="0" collapsed="false">
      <c r="A243" s="275" t="s">
        <v>377</v>
      </c>
      <c r="B243" s="275"/>
      <c r="C243" s="276" t="n">
        <v>2050</v>
      </c>
      <c r="D243" s="276" t="n">
        <v>2050</v>
      </c>
      <c r="E243" s="276" t="n">
        <v>2050</v>
      </c>
      <c r="F243" s="276" t="n">
        <v>2050</v>
      </c>
      <c r="G243" s="276" t="n">
        <v>2050</v>
      </c>
      <c r="H243" s="276" t="n">
        <v>2050</v>
      </c>
      <c r="I243" s="276" t="n">
        <v>2050</v>
      </c>
      <c r="J243" s="276" t="n">
        <v>2050</v>
      </c>
      <c r="K243" s="276" t="n">
        <v>2050</v>
      </c>
      <c r="L243" s="276" t="n">
        <v>2050</v>
      </c>
      <c r="M243" s="276" t="n">
        <v>2050</v>
      </c>
      <c r="N243" s="276" t="n">
        <v>2050</v>
      </c>
      <c r="O243" s="276" t="n">
        <v>2050</v>
      </c>
      <c r="P243" s="276" t="n">
        <v>2050</v>
      </c>
      <c r="Q243" s="277" t="n">
        <v>2050</v>
      </c>
      <c r="R243" s="277" t="n">
        <v>2050</v>
      </c>
      <c r="S243" s="277" t="n">
        <v>2050</v>
      </c>
      <c r="T243" s="277" t="n">
        <v>2050</v>
      </c>
      <c r="U243" s="277" t="n">
        <v>2050</v>
      </c>
      <c r="V243" s="277" t="n">
        <v>2050</v>
      </c>
      <c r="W243" s="277" t="n">
        <v>2050</v>
      </c>
      <c r="X243" s="277" t="n">
        <v>2050</v>
      </c>
      <c r="Y243" s="277" t="n">
        <v>2050</v>
      </c>
      <c r="Z243" s="277" t="n">
        <v>2050</v>
      </c>
      <c r="AA243" s="277" t="n">
        <v>2050</v>
      </c>
      <c r="AB243" s="277" t="n">
        <v>2050</v>
      </c>
      <c r="AC243" s="277" t="n">
        <v>2050</v>
      </c>
      <c r="AD243" s="277" t="n">
        <v>2050</v>
      </c>
      <c r="AE243" s="277" t="n">
        <v>2050</v>
      </c>
      <c r="AF243" s="277" t="n">
        <v>2050</v>
      </c>
      <c r="AG243" s="277" t="n">
        <v>2050</v>
      </c>
      <c r="AH243" s="277" t="n">
        <v>2050</v>
      </c>
      <c r="AI243" s="277" t="n">
        <v>2050</v>
      </c>
      <c r="AJ243" s="277" t="n">
        <v>2050</v>
      </c>
      <c r="AK243" s="277" t="n">
        <v>2050</v>
      </c>
      <c r="AL243" s="277" t="n">
        <v>2050</v>
      </c>
      <c r="AM243" s="277" t="n">
        <v>2050</v>
      </c>
      <c r="AN243" s="277" t="n">
        <v>2050</v>
      </c>
      <c r="AO243" s="277" t="n">
        <v>2050</v>
      </c>
      <c r="AP243" s="277" t="n">
        <v>2050</v>
      </c>
      <c r="AQ243" s="277" t="n">
        <v>2050</v>
      </c>
      <c r="AR243" s="277" t="n">
        <v>2050</v>
      </c>
      <c r="AS243" s="277" t="n">
        <v>2050</v>
      </c>
      <c r="AT243" s="277" t="n">
        <v>2050</v>
      </c>
      <c r="AU243" s="277" t="n">
        <v>2050</v>
      </c>
      <c r="AV243" s="277" t="n">
        <v>2050</v>
      </c>
      <c r="AW243" s="277" t="n">
        <v>2050</v>
      </c>
      <c r="AX243" s="277" t="n">
        <v>2050</v>
      </c>
      <c r="AY243" s="277" t="n">
        <v>2050</v>
      </c>
      <c r="AZ243" s="277" t="n">
        <v>2050</v>
      </c>
    </row>
    <row r="244" customFormat="false" ht="15" hidden="false" customHeight="false" outlineLevel="0" collapsed="false">
      <c r="A244" s="275" t="s">
        <v>378</v>
      </c>
      <c r="B244" s="275"/>
      <c r="C244" s="278" t="n">
        <v>2050</v>
      </c>
      <c r="D244" s="278" t="n">
        <v>2050</v>
      </c>
      <c r="E244" s="278" t="n">
        <v>2050</v>
      </c>
      <c r="F244" s="278" t="n">
        <v>2050</v>
      </c>
      <c r="G244" s="278" t="n">
        <v>2050</v>
      </c>
      <c r="H244" s="278" t="n">
        <v>2050</v>
      </c>
      <c r="I244" s="278" t="n">
        <v>2050</v>
      </c>
      <c r="J244" s="278" t="n">
        <v>2050</v>
      </c>
      <c r="K244" s="278" t="n">
        <v>2050</v>
      </c>
      <c r="L244" s="278" t="n">
        <v>2050</v>
      </c>
      <c r="M244" s="278" t="n">
        <v>2050</v>
      </c>
      <c r="N244" s="278" t="n">
        <v>2050</v>
      </c>
      <c r="O244" s="278" t="n">
        <v>2050</v>
      </c>
      <c r="P244" s="278" t="n">
        <v>2050</v>
      </c>
      <c r="Q244" s="279" t="n">
        <v>2050</v>
      </c>
      <c r="R244" s="279" t="n">
        <v>2050</v>
      </c>
      <c r="S244" s="279" t="n">
        <v>2050</v>
      </c>
      <c r="T244" s="279" t="n">
        <v>2050</v>
      </c>
      <c r="U244" s="279" t="n">
        <v>2050</v>
      </c>
      <c r="V244" s="279" t="n">
        <v>2050</v>
      </c>
      <c r="W244" s="279" t="n">
        <v>2050</v>
      </c>
      <c r="X244" s="279" t="n">
        <v>2050</v>
      </c>
      <c r="Y244" s="279" t="n">
        <v>2050</v>
      </c>
      <c r="Z244" s="279" t="n">
        <v>2050</v>
      </c>
      <c r="AA244" s="279" t="n">
        <v>2050</v>
      </c>
      <c r="AB244" s="279" t="n">
        <v>2050</v>
      </c>
      <c r="AC244" s="279" t="n">
        <v>2050</v>
      </c>
      <c r="AD244" s="279" t="n">
        <v>2050</v>
      </c>
      <c r="AE244" s="279" t="n">
        <v>2050</v>
      </c>
      <c r="AF244" s="279" t="n">
        <v>2050</v>
      </c>
      <c r="AG244" s="279" t="n">
        <v>2050</v>
      </c>
      <c r="AH244" s="279" t="n">
        <v>2050</v>
      </c>
      <c r="AI244" s="279" t="n">
        <v>2050</v>
      </c>
      <c r="AJ244" s="279" t="n">
        <v>2050</v>
      </c>
      <c r="AK244" s="279" t="n">
        <v>2050</v>
      </c>
      <c r="AL244" s="279" t="n">
        <v>2050</v>
      </c>
      <c r="AM244" s="279" t="n">
        <v>2050</v>
      </c>
      <c r="AN244" s="279" t="n">
        <v>2050</v>
      </c>
      <c r="AO244" s="279" t="n">
        <v>2050</v>
      </c>
      <c r="AP244" s="279" t="n">
        <v>2050</v>
      </c>
      <c r="AQ244" s="279" t="n">
        <v>2050</v>
      </c>
      <c r="AR244" s="279" t="n">
        <v>2050</v>
      </c>
      <c r="AS244" s="279" t="n">
        <v>2050</v>
      </c>
      <c r="AT244" s="279" t="n">
        <v>2050</v>
      </c>
      <c r="AU244" s="279" t="n">
        <v>2050</v>
      </c>
      <c r="AV244" s="279" t="n">
        <v>2050</v>
      </c>
      <c r="AW244" s="279" t="n">
        <v>2050</v>
      </c>
      <c r="AX244" s="279" t="n">
        <v>2050</v>
      </c>
      <c r="AY244" s="279" t="n">
        <v>2050</v>
      </c>
      <c r="AZ244" s="279" t="n">
        <v>2050</v>
      </c>
    </row>
    <row r="246" customFormat="false" ht="23.25" hidden="false" customHeight="true" outlineLevel="0" collapsed="false">
      <c r="A246" s="200" t="s">
        <v>386</v>
      </c>
      <c r="B246" s="200"/>
      <c r="C246" s="200"/>
    </row>
    <row r="247" customFormat="false" ht="15.75" hidden="false" customHeight="true" outlineLevel="0" collapsed="false">
      <c r="A247" s="245" t="s">
        <v>387</v>
      </c>
      <c r="B247" s="280" t="s">
        <v>388</v>
      </c>
      <c r="C247" s="281" t="n">
        <v>1</v>
      </c>
    </row>
    <row r="248" customFormat="false" ht="14.25" hidden="false" customHeight="true" outlineLevel="0" collapsed="false">
      <c r="A248" s="245"/>
      <c r="B248" s="280" t="s">
        <v>389</v>
      </c>
      <c r="C248" s="281"/>
    </row>
    <row r="249" customFormat="false" ht="15" hidden="false" customHeight="false" outlineLevel="0" collapsed="false">
      <c r="A249" s="208" t="s">
        <v>648</v>
      </c>
      <c r="B249" s="280" t="s">
        <v>36</v>
      </c>
      <c r="C249" s="204" t="n">
        <v>2020</v>
      </c>
    </row>
    <row r="250" customFormat="false" ht="15" hidden="false" customHeight="false" outlineLevel="0" collapsed="false">
      <c r="A250" s="282" t="s">
        <v>390</v>
      </c>
      <c r="B250" s="283" t="s">
        <v>36</v>
      </c>
      <c r="C250" s="284" t="n">
        <v>2050</v>
      </c>
    </row>
    <row r="251" customFormat="false" ht="14.25" hidden="false" customHeight="true" outlineLevel="0" collapsed="false">
      <c r="A251" s="200" t="s">
        <v>394</v>
      </c>
      <c r="B251" s="200"/>
      <c r="C251" s="200"/>
      <c r="D251" s="200"/>
      <c r="E251" s="200"/>
      <c r="F251" s="200"/>
      <c r="G251" s="200"/>
      <c r="H251" s="200"/>
      <c r="I251" s="200"/>
      <c r="J251" s="200"/>
      <c r="K251" s="200"/>
      <c r="L251" s="200"/>
      <c r="M251" s="200"/>
      <c r="N251" s="200"/>
      <c r="O251" s="200"/>
      <c r="P251" s="200"/>
      <c r="Q251" s="200"/>
    </row>
    <row r="252" customFormat="false" ht="15" hidden="false" customHeight="false" outlineLevel="0" collapsed="false">
      <c r="A252" s="285" t="s">
        <v>649</v>
      </c>
      <c r="B252" s="285"/>
      <c r="C252" s="273" t="s">
        <v>580</v>
      </c>
      <c r="D252" s="273" t="s">
        <v>597</v>
      </c>
      <c r="E252" s="273" t="s">
        <v>598</v>
      </c>
      <c r="F252" s="273" t="s">
        <v>599</v>
      </c>
      <c r="G252" s="273" t="s">
        <v>600</v>
      </c>
      <c r="H252" s="273" t="s">
        <v>601</v>
      </c>
      <c r="I252" s="273" t="s">
        <v>602</v>
      </c>
      <c r="J252" s="273" t="s">
        <v>603</v>
      </c>
      <c r="K252" s="273" t="s">
        <v>354</v>
      </c>
      <c r="L252" s="273" t="s">
        <v>369</v>
      </c>
      <c r="M252" s="273" t="s">
        <v>604</v>
      </c>
      <c r="N252" s="273" t="s">
        <v>605</v>
      </c>
      <c r="O252" s="273" t="s">
        <v>606</v>
      </c>
      <c r="P252" s="273" t="s">
        <v>607</v>
      </c>
      <c r="Q252" s="274" t="s">
        <v>608</v>
      </c>
      <c r="R252" s="274" t="s">
        <v>609</v>
      </c>
      <c r="S252" s="274" t="s">
        <v>610</v>
      </c>
      <c r="T252" s="274" t="s">
        <v>611</v>
      </c>
      <c r="U252" s="274" t="s">
        <v>612</v>
      </c>
      <c r="V252" s="274" t="s">
        <v>613</v>
      </c>
      <c r="W252" s="274" t="s">
        <v>614</v>
      </c>
      <c r="X252" s="274" t="s">
        <v>615</v>
      </c>
      <c r="Y252" s="274" t="s">
        <v>616</v>
      </c>
      <c r="Z252" s="274" t="s">
        <v>617</v>
      </c>
      <c r="AA252" s="274" t="s">
        <v>618</v>
      </c>
      <c r="AB252" s="274" t="s">
        <v>619</v>
      </c>
      <c r="AC252" s="274" t="s">
        <v>620</v>
      </c>
      <c r="AD252" s="274" t="s">
        <v>621</v>
      </c>
      <c r="AE252" s="1" t="s">
        <v>622</v>
      </c>
      <c r="AF252" s="1" t="s">
        <v>623</v>
      </c>
      <c r="AG252" s="1" t="s">
        <v>624</v>
      </c>
      <c r="AH252" s="1" t="s">
        <v>625</v>
      </c>
      <c r="AI252" s="1" t="s">
        <v>626</v>
      </c>
      <c r="AJ252" s="1" t="s">
        <v>627</v>
      </c>
      <c r="AK252" s="1" t="s">
        <v>628</v>
      </c>
      <c r="AL252" s="1" t="s">
        <v>629</v>
      </c>
      <c r="AM252" s="1" t="s">
        <v>630</v>
      </c>
      <c r="AN252" s="1" t="s">
        <v>631</v>
      </c>
      <c r="AO252" s="1" t="s">
        <v>632</v>
      </c>
      <c r="AP252" s="1" t="s">
        <v>633</v>
      </c>
      <c r="AQ252" s="1" t="s">
        <v>634</v>
      </c>
      <c r="AR252" s="1" t="s">
        <v>635</v>
      </c>
      <c r="AS252" s="1" t="s">
        <v>636</v>
      </c>
      <c r="AT252" s="1" t="s">
        <v>637</v>
      </c>
      <c r="AU252" s="1" t="s">
        <v>638</v>
      </c>
      <c r="AV252" s="1" t="s">
        <v>639</v>
      </c>
      <c r="AW252" s="1" t="s">
        <v>640</v>
      </c>
      <c r="AX252" s="1" t="s">
        <v>641</v>
      </c>
      <c r="AY252" s="1" t="s">
        <v>642</v>
      </c>
      <c r="AZ252" s="1" t="s">
        <v>643</v>
      </c>
    </row>
    <row r="253" customFormat="false" ht="16.4" hidden="false" customHeight="false" outlineLevel="0" collapsed="false">
      <c r="A253" s="286" t="s">
        <v>374</v>
      </c>
      <c r="B253" s="286"/>
      <c r="C253" s="287" t="n">
        <v>6.63886470341898E-007</v>
      </c>
      <c r="D253" s="287" t="n">
        <v>3.94150567716759E-007</v>
      </c>
      <c r="E253" s="287" t="n">
        <v>2.60568742418199E-007</v>
      </c>
      <c r="F253" s="287" t="n">
        <v>6.18039564557812E-007</v>
      </c>
      <c r="G253" s="287" t="n">
        <v>9.7945182522388E-012</v>
      </c>
      <c r="H253" s="287" t="n">
        <v>7.30787418870611E-007</v>
      </c>
      <c r="I253" s="287" t="n">
        <v>3.79996708414692E-007</v>
      </c>
      <c r="J253" s="287" t="n">
        <v>5.57245049378412E-008</v>
      </c>
      <c r="K253" s="287" t="n">
        <v>3.61288267486793E-008</v>
      </c>
      <c r="L253" s="287" t="n">
        <v>2.5952047310106E-007</v>
      </c>
      <c r="M253" s="287" t="n">
        <v>8.27091816090622E-007</v>
      </c>
      <c r="N253" s="287" t="n">
        <v>5.65420601412154E-007</v>
      </c>
      <c r="O253" s="287" t="n">
        <v>7.21581299965534E-008</v>
      </c>
      <c r="P253" s="287" t="n">
        <v>1.15467604006966E-007</v>
      </c>
      <c r="Q253" s="287" t="n">
        <v>5.86077156941521E-007</v>
      </c>
      <c r="R253" s="287" t="n">
        <v>1.79320763389123E-008</v>
      </c>
      <c r="S253" s="287" t="n">
        <v>6.43633772333513E-008</v>
      </c>
      <c r="T253" s="287" t="n">
        <v>2.23024552956448E-007</v>
      </c>
      <c r="U253" s="287" t="n">
        <v>6.40515485778184E-008</v>
      </c>
      <c r="V253" s="287" t="n">
        <v>1.99496814280996E-007</v>
      </c>
      <c r="W253" s="287" t="n">
        <v>2.16510736064606E-007</v>
      </c>
      <c r="X253" s="287" t="n">
        <v>2.30452333108599E-009</v>
      </c>
      <c r="Y253" s="287" t="n">
        <v>1.70445443975063E-007</v>
      </c>
      <c r="Z253" s="287" t="n">
        <v>2.14575741626411E-007</v>
      </c>
      <c r="AA253" s="287" t="n">
        <v>1.05813934184632E-007</v>
      </c>
      <c r="AB253" s="287" t="n">
        <v>1.43702630489252E-007</v>
      </c>
      <c r="AC253" s="287" t="n">
        <v>7.13526139338255E-007</v>
      </c>
      <c r="AD253" s="287" t="n">
        <v>5.78349221314126E-008</v>
      </c>
      <c r="AE253" s="287" t="n">
        <v>4.55283697897388E-007</v>
      </c>
      <c r="AF253" s="287" t="n">
        <v>1.4631072238219E-012</v>
      </c>
      <c r="AG253" s="287" t="n">
        <v>8.90634162582962E-007</v>
      </c>
      <c r="AH253" s="287" t="n">
        <v>9.95236494024349E-008</v>
      </c>
      <c r="AI253" s="287" t="n">
        <v>4.39854052739937E-007</v>
      </c>
      <c r="AJ253" s="287" t="n">
        <v>1.54705102206599E-006</v>
      </c>
      <c r="AK253" s="287" t="n">
        <v>1.67290094289979E-007</v>
      </c>
      <c r="AL253" s="287" t="n">
        <v>4.80047702366887E-008</v>
      </c>
      <c r="AM253" s="287" t="n">
        <v>2.43605175777352E-007</v>
      </c>
      <c r="AN253" s="287" t="n">
        <v>2.14930417487574E-007</v>
      </c>
      <c r="AO253" s="287" t="n">
        <v>5.2163583308111E-007</v>
      </c>
      <c r="AP253" s="287" t="n">
        <v>4.57953895527142E-008</v>
      </c>
      <c r="AQ253" s="287" t="n">
        <v>2.21076614024649E-007</v>
      </c>
      <c r="AR253" s="287" t="n">
        <v>7.17335252429736E-007</v>
      </c>
      <c r="AS253" s="287" t="n">
        <v>2.29855691026717E-007</v>
      </c>
      <c r="AT253" s="287" t="n">
        <v>3.59353945637237E-007</v>
      </c>
      <c r="AU253" s="287" t="n">
        <v>5.55277486818566E-008</v>
      </c>
      <c r="AV253" s="287" t="n">
        <v>2.76146559048761E-007</v>
      </c>
      <c r="AW253" s="287" t="n">
        <v>1.2478451666421E-007</v>
      </c>
      <c r="AX253" s="287" t="n">
        <v>7.90194845804216E-007</v>
      </c>
      <c r="AY253" s="287" t="n">
        <v>1.76720754271825E-007</v>
      </c>
      <c r="AZ253" s="287" t="n">
        <v>2.83769321539764E-007</v>
      </c>
    </row>
    <row r="254" customFormat="false" ht="16.4" hidden="false" customHeight="false" outlineLevel="0" collapsed="false">
      <c r="A254" s="286" t="s">
        <v>375</v>
      </c>
      <c r="B254" s="286"/>
      <c r="C254" s="287" t="n">
        <v>2.96516881270739E-007</v>
      </c>
      <c r="D254" s="287" t="n">
        <v>8.10772503054704E-008</v>
      </c>
      <c r="E254" s="287" t="n">
        <v>7.89829863900569E-008</v>
      </c>
      <c r="F254" s="287" t="n">
        <v>6.20388803050883E-008</v>
      </c>
      <c r="G254" s="287" t="n">
        <v>0</v>
      </c>
      <c r="H254" s="287" t="n">
        <v>4.7908817149566E-007</v>
      </c>
      <c r="I254" s="287" t="n">
        <v>3.57502383554569E-007</v>
      </c>
      <c r="J254" s="287" t="n">
        <v>1.06554192034763E-008</v>
      </c>
      <c r="K254" s="287" t="n">
        <v>7.99584554772683E-010</v>
      </c>
      <c r="L254" s="287" t="n">
        <v>8.52185138273226E-008</v>
      </c>
      <c r="M254" s="287" t="n">
        <v>2.14852762100774E-007</v>
      </c>
      <c r="N254" s="287" t="n">
        <v>1.10895766402122E-007</v>
      </c>
      <c r="O254" s="287" t="n">
        <v>1.39506978647443E-008</v>
      </c>
      <c r="P254" s="287" t="n">
        <v>1.51103032914926E-010</v>
      </c>
      <c r="Q254" s="287" t="n">
        <v>1.10118569158592E-007</v>
      </c>
      <c r="R254" s="287" t="n">
        <v>1.80174543212224E-008</v>
      </c>
      <c r="S254" s="287" t="n">
        <v>2.71629176508381E-008</v>
      </c>
      <c r="T254" s="287" t="n">
        <v>3.77721969217409E-008</v>
      </c>
      <c r="U254" s="287" t="n">
        <v>1.76200452781978E-008</v>
      </c>
      <c r="V254" s="287" t="n">
        <v>2.19715555458601E-011</v>
      </c>
      <c r="W254" s="287" t="n">
        <v>1.58704076568663E-008</v>
      </c>
      <c r="X254" s="287" t="n">
        <v>3.74917296314513E-011</v>
      </c>
      <c r="Y254" s="287" t="n">
        <v>1.34122216941754E-008</v>
      </c>
      <c r="Z254" s="287" t="n">
        <v>4.03874291054144E-008</v>
      </c>
      <c r="AA254" s="287" t="n">
        <v>8.53530814195144E-009</v>
      </c>
      <c r="AB254" s="287" t="n">
        <v>2.66228149798063E-008</v>
      </c>
      <c r="AC254" s="287" t="n">
        <v>4.70114190176689E-008</v>
      </c>
      <c r="AD254" s="287" t="n">
        <v>7.65154022401153E-009</v>
      </c>
      <c r="AE254" s="287" t="n">
        <v>1.32331150029219E-007</v>
      </c>
      <c r="AF254" s="287" t="n">
        <v>6.39098839548138E-013</v>
      </c>
      <c r="AG254" s="287" t="n">
        <v>5.12692740849996E-008</v>
      </c>
      <c r="AH254" s="287" t="n">
        <v>1.54183260641453E-008</v>
      </c>
      <c r="AI254" s="287" t="n">
        <v>5.08338935291531E-008</v>
      </c>
      <c r="AJ254" s="287" t="n">
        <v>4.53503147387902E-007</v>
      </c>
      <c r="AK254" s="287" t="n">
        <v>2.39586561887609E-008</v>
      </c>
      <c r="AL254" s="287" t="n">
        <v>3.50964702072094E-010</v>
      </c>
      <c r="AM254" s="287" t="n">
        <v>5.11551738455244E-008</v>
      </c>
      <c r="AN254" s="287" t="n">
        <v>5.09548143847647E-008</v>
      </c>
      <c r="AO254" s="287" t="n">
        <v>6.64316566547081E-008</v>
      </c>
      <c r="AP254" s="287" t="n">
        <v>1.18680324465321E-008</v>
      </c>
      <c r="AQ254" s="287" t="n">
        <v>2.72388475655604E-008</v>
      </c>
      <c r="AR254" s="287" t="n">
        <v>1.19222167639975E-007</v>
      </c>
      <c r="AS254" s="287" t="n">
        <v>4.49207481195052E-008</v>
      </c>
      <c r="AT254" s="287" t="n">
        <v>5.30722949091413E-008</v>
      </c>
      <c r="AU254" s="287" t="n">
        <v>9.59470293662527E-009</v>
      </c>
      <c r="AV254" s="287" t="n">
        <v>3.42310884882536E-008</v>
      </c>
      <c r="AW254" s="287" t="n">
        <v>2.95967932048111E-008</v>
      </c>
      <c r="AX254" s="287" t="n">
        <v>2.02052307354887E-007</v>
      </c>
      <c r="AY254" s="287" t="n">
        <v>3.54878329047639E-008</v>
      </c>
      <c r="AZ254" s="287" t="n">
        <v>9.76491392770843E-008</v>
      </c>
    </row>
    <row r="255" customFormat="false" ht="16.4" hidden="false" customHeight="false" outlineLevel="0" collapsed="false">
      <c r="A255" s="286" t="s">
        <v>376</v>
      </c>
      <c r="B255" s="286"/>
      <c r="C255" s="287" t="n">
        <v>1.03985060477212E-007</v>
      </c>
      <c r="D255" s="287" t="n">
        <v>1.05816095143156E-008</v>
      </c>
      <c r="E255" s="287" t="n">
        <v>8.62963840675025E-009</v>
      </c>
      <c r="F255" s="287" t="n">
        <v>6.39515827658307E-007</v>
      </c>
      <c r="G255" s="287" t="n">
        <v>2.59538869563096E-006</v>
      </c>
      <c r="H255" s="287" t="n">
        <v>1.45063395572007E-007</v>
      </c>
      <c r="I255" s="287" t="n">
        <v>7.71028297251538E-007</v>
      </c>
      <c r="J255" s="287" t="n">
        <v>4.84240843028939E-009</v>
      </c>
      <c r="K255" s="287" t="n">
        <v>3.11908643205391E-008</v>
      </c>
      <c r="L255" s="287" t="n">
        <v>7.14265826479656E-009</v>
      </c>
      <c r="M255" s="287" t="n">
        <v>3.56275094935266E-009</v>
      </c>
      <c r="N255" s="287" t="n">
        <v>5.24606565118125E-008</v>
      </c>
      <c r="O255" s="287" t="n">
        <v>4.64960103230333E-009</v>
      </c>
      <c r="P255" s="287" t="n">
        <v>6.18316953439596E-007</v>
      </c>
      <c r="Q255" s="287" t="n">
        <v>2.62773167010878E-008</v>
      </c>
      <c r="R255" s="287" t="n">
        <v>9.57826879928728E-008</v>
      </c>
      <c r="S255" s="287" t="n">
        <v>2.65813949416685E-009</v>
      </c>
      <c r="T255" s="287" t="n">
        <v>6.98132192781577E-009</v>
      </c>
      <c r="U255" s="287" t="n">
        <v>7.59936250316163E-009</v>
      </c>
      <c r="V255" s="287" t="n">
        <v>0</v>
      </c>
      <c r="W255" s="287" t="n">
        <v>7.51070502157832E-009</v>
      </c>
      <c r="X255" s="287" t="n">
        <v>0</v>
      </c>
      <c r="Y255" s="287" t="n">
        <v>4.05931896677906E-009</v>
      </c>
      <c r="Z255" s="287" t="n">
        <v>0</v>
      </c>
      <c r="AA255" s="287" t="n">
        <v>0</v>
      </c>
      <c r="AB255" s="287" t="n">
        <v>0</v>
      </c>
      <c r="AC255" s="287" t="n">
        <v>0</v>
      </c>
      <c r="AD255" s="287" t="n">
        <v>0</v>
      </c>
      <c r="AE255" s="287" t="n">
        <v>0</v>
      </c>
      <c r="AF255" s="287" t="n">
        <v>1.86869684099419E-006</v>
      </c>
      <c r="AG255" s="287" t="n">
        <v>1.61004890655885E-008</v>
      </c>
      <c r="AH255" s="287" t="n">
        <v>1.02044014948275E-008</v>
      </c>
      <c r="AI255" s="287" t="n">
        <v>2.24791935659965E-008</v>
      </c>
      <c r="AJ255" s="287" t="n">
        <v>2.75313261448201E-008</v>
      </c>
      <c r="AK255" s="287" t="n">
        <v>7.35478089435239E-009</v>
      </c>
      <c r="AL255" s="287" t="n">
        <v>3.13860550502194E-009</v>
      </c>
      <c r="AM255" s="287" t="n">
        <v>1.42818807900209E-008</v>
      </c>
      <c r="AN255" s="287" t="n">
        <v>4.29677219161295E-009</v>
      </c>
      <c r="AO255" s="287" t="n">
        <v>9.58563143408979E-009</v>
      </c>
      <c r="AP255" s="287" t="n">
        <v>1.62907973119895E-008</v>
      </c>
      <c r="AQ255" s="287" t="n">
        <v>1.12366081406735E-008</v>
      </c>
      <c r="AR255" s="287" t="n">
        <v>3.0619441960548E-008</v>
      </c>
      <c r="AS255" s="287" t="n">
        <v>2.18427314304282E-008</v>
      </c>
      <c r="AT255" s="287" t="n">
        <v>2.11221032080138E-008</v>
      </c>
      <c r="AU255" s="287" t="n">
        <v>6.35867131517186E-009</v>
      </c>
      <c r="AV255" s="287" t="n">
        <v>7.51800346755243E-009</v>
      </c>
      <c r="AW255" s="287" t="n">
        <v>8.26424165067171E-009</v>
      </c>
      <c r="AX255" s="287" t="n">
        <v>1.32083817894127E-008</v>
      </c>
      <c r="AY255" s="287" t="n">
        <v>1.98862491171199E-008</v>
      </c>
      <c r="AZ255" s="287" t="n">
        <v>8.93467073806494E-009</v>
      </c>
    </row>
    <row r="256" customFormat="false" ht="16.4" hidden="false" customHeight="false" outlineLevel="0" collapsed="false">
      <c r="A256" s="286" t="s">
        <v>377</v>
      </c>
      <c r="B256" s="286"/>
      <c r="C256" s="287" t="n">
        <v>2.37805242084638E-007</v>
      </c>
      <c r="D256" s="287" t="n">
        <v>2.41590751071734E-008</v>
      </c>
      <c r="E256" s="287" t="n">
        <v>1.64535942486436E-007</v>
      </c>
      <c r="F256" s="287" t="n">
        <v>1.6366374270558E-007</v>
      </c>
      <c r="G256" s="287" t="n">
        <v>1.23252359463612E-013</v>
      </c>
      <c r="H256" s="287" t="n">
        <v>2.12205292907869E-007</v>
      </c>
      <c r="I256" s="287" t="n">
        <v>3.0042902981562E-007</v>
      </c>
      <c r="J256" s="287" t="n">
        <v>2.06433622855199E-009</v>
      </c>
      <c r="K256" s="287" t="n">
        <v>8.02757779372753E-009</v>
      </c>
      <c r="L256" s="287" t="n">
        <v>5.1665115339739E-008</v>
      </c>
      <c r="M256" s="287" t="n">
        <v>3.09001090236525E-008</v>
      </c>
      <c r="N256" s="287" t="n">
        <v>1.52742359319682E-007</v>
      </c>
      <c r="O256" s="287" t="n">
        <v>9.39539928774511E-009</v>
      </c>
      <c r="P256" s="287" t="n">
        <v>1.73427341625118E-010</v>
      </c>
      <c r="Q256" s="287" t="n">
        <v>2.03760195363012E-007</v>
      </c>
      <c r="R256" s="287" t="n">
        <v>4.45075967337456E-009</v>
      </c>
      <c r="S256" s="287" t="n">
        <v>1.44876128952679E-008</v>
      </c>
      <c r="T256" s="287" t="n">
        <v>3.62943782334155E-008</v>
      </c>
      <c r="U256" s="287" t="n">
        <v>1.83385587676844E-008</v>
      </c>
      <c r="V256" s="287" t="n">
        <v>0</v>
      </c>
      <c r="W256" s="287" t="n">
        <v>4.24162858292576E-008</v>
      </c>
      <c r="X256" s="287" t="n">
        <v>0</v>
      </c>
      <c r="Y256" s="287" t="n">
        <v>2.81370479987201E-008</v>
      </c>
      <c r="Z256" s="287" t="n">
        <v>0</v>
      </c>
      <c r="AA256" s="287" t="n">
        <v>0</v>
      </c>
      <c r="AB256" s="287" t="n">
        <v>0</v>
      </c>
      <c r="AC256" s="287" t="n">
        <v>0</v>
      </c>
      <c r="AD256" s="287" t="n">
        <v>0</v>
      </c>
      <c r="AE256" s="287" t="n">
        <v>0</v>
      </c>
      <c r="AF256" s="287" t="n">
        <v>4.998673491132E-011</v>
      </c>
      <c r="AG256" s="287" t="n">
        <v>2.53513941095283E-007</v>
      </c>
      <c r="AH256" s="287" t="n">
        <v>7.55867901348769E-009</v>
      </c>
      <c r="AI256" s="287" t="n">
        <v>2.78354650919815E-008</v>
      </c>
      <c r="AJ256" s="287" t="n">
        <v>2.67083013381304E-007</v>
      </c>
      <c r="AK256" s="287" t="n">
        <v>4.15935189990369E-009</v>
      </c>
      <c r="AL256" s="287" t="n">
        <v>7.72133429019673E-007</v>
      </c>
      <c r="AM256" s="287" t="n">
        <v>1.58984479678419E-007</v>
      </c>
      <c r="AN256" s="287" t="n">
        <v>3.0208541449537E-009</v>
      </c>
      <c r="AO256" s="287" t="n">
        <v>7.62737548565083E-009</v>
      </c>
      <c r="AP256" s="287" t="n">
        <v>5.46632593848939E-009</v>
      </c>
      <c r="AQ256" s="287" t="n">
        <v>2.79167899693875E-008</v>
      </c>
      <c r="AR256" s="287" t="n">
        <v>2.83142259225388E-008</v>
      </c>
      <c r="AS256" s="287" t="n">
        <v>1.40315060224337E-008</v>
      </c>
      <c r="AT256" s="287" t="n">
        <v>4.08162195231356E-008</v>
      </c>
      <c r="AU256" s="287" t="n">
        <v>2.9850469705488E-008</v>
      </c>
      <c r="AV256" s="287" t="n">
        <v>8.10993964528122E-008</v>
      </c>
      <c r="AW256" s="287" t="n">
        <v>5.37079390876278E-009</v>
      </c>
      <c r="AX256" s="287" t="n">
        <v>9.51620164224819E-009</v>
      </c>
      <c r="AY256" s="287" t="n">
        <v>1.75384761655157E-008</v>
      </c>
      <c r="AZ256" s="287" t="n">
        <v>1.50128470573686E-008</v>
      </c>
    </row>
    <row r="257" customFormat="false" ht="16.4" hidden="false" customHeight="false" outlineLevel="0" collapsed="false">
      <c r="A257" s="288" t="s">
        <v>378</v>
      </c>
      <c r="B257" s="288"/>
      <c r="C257" s="287" t="n">
        <v>3.55254103935776E-007</v>
      </c>
      <c r="D257" s="287" t="n">
        <v>2.293184615359E-008</v>
      </c>
      <c r="E257" s="287" t="n">
        <v>6.11663711445528E-009</v>
      </c>
      <c r="F257" s="287" t="n">
        <v>1.72830341553575E-007</v>
      </c>
      <c r="G257" s="287" t="n">
        <v>4.23282798205905E-013</v>
      </c>
      <c r="H257" s="287" t="n">
        <v>1.02715463588318E-007</v>
      </c>
      <c r="I257" s="287" t="n">
        <v>2.54317389315155E-008</v>
      </c>
      <c r="J257" s="287" t="n">
        <v>1.44538316904563E-009</v>
      </c>
      <c r="K257" s="287" t="n">
        <v>8.27837885813566E-010</v>
      </c>
      <c r="L257" s="287" t="n">
        <v>7.32648755899637E-009</v>
      </c>
      <c r="M257" s="287" t="n">
        <v>1.32935668929863E-009</v>
      </c>
      <c r="N257" s="287" t="n">
        <v>6.48770648693752E-008</v>
      </c>
      <c r="O257" s="287" t="n">
        <v>2.19454217543183E-009</v>
      </c>
      <c r="P257" s="287" t="n">
        <v>1.59725642227265E-010</v>
      </c>
      <c r="Q257" s="287" t="n">
        <v>7.79524843134575E-008</v>
      </c>
      <c r="R257" s="287" t="n">
        <v>1.33218730349096E-007</v>
      </c>
      <c r="S257" s="287" t="n">
        <v>1.05842679959771E-008</v>
      </c>
      <c r="T257" s="287" t="n">
        <v>6.79219205852576E-009</v>
      </c>
      <c r="U257" s="287" t="n">
        <v>3.66888073402148E-009</v>
      </c>
      <c r="V257" s="287" t="n">
        <v>0</v>
      </c>
      <c r="W257" s="287" t="n">
        <v>4.06295820779553E-009</v>
      </c>
      <c r="X257" s="287" t="n">
        <v>0</v>
      </c>
      <c r="Y257" s="287" t="n">
        <v>1.74158675806592E-009</v>
      </c>
      <c r="Z257" s="287" t="n">
        <v>0</v>
      </c>
      <c r="AA257" s="287" t="n">
        <v>0</v>
      </c>
      <c r="AB257" s="287" t="n">
        <v>0</v>
      </c>
      <c r="AC257" s="287" t="n">
        <v>0</v>
      </c>
      <c r="AD257" s="287" t="n">
        <v>0</v>
      </c>
      <c r="AE257" s="287" t="n">
        <v>0</v>
      </c>
      <c r="AF257" s="287" t="n">
        <v>1.45230268881311E-013</v>
      </c>
      <c r="AG257" s="287" t="n">
        <v>1.7072629561898E-007</v>
      </c>
      <c r="AH257" s="287" t="n">
        <v>1.29452428734285E-008</v>
      </c>
      <c r="AI257" s="287" t="n">
        <v>1.52206927646019E-008</v>
      </c>
      <c r="AJ257" s="287" t="n">
        <v>1.74492038373036E-006</v>
      </c>
      <c r="AK257" s="287" t="n">
        <v>1.26760646242401E-009</v>
      </c>
      <c r="AL257" s="287" t="n">
        <v>3.50321801908544E-008</v>
      </c>
      <c r="AM257" s="287" t="n">
        <v>1.09165823370552E-008</v>
      </c>
      <c r="AN257" s="287" t="n">
        <v>7.03100193637215E-009</v>
      </c>
      <c r="AO257" s="287" t="n">
        <v>1.22885410104119E-008</v>
      </c>
      <c r="AP257" s="287" t="n">
        <v>2.93787471176384E-009</v>
      </c>
      <c r="AQ257" s="287" t="n">
        <v>1.3604627215381E-008</v>
      </c>
      <c r="AR257" s="287" t="n">
        <v>8.4049425998585E-009</v>
      </c>
      <c r="AS257" s="287" t="n">
        <v>7.25992206017063E-009</v>
      </c>
      <c r="AT257" s="287" t="n">
        <v>3.53340067381558E-008</v>
      </c>
      <c r="AU257" s="287" t="n">
        <v>3.52975990925663E-009</v>
      </c>
      <c r="AV257" s="287" t="n">
        <v>6.55218761879912E-009</v>
      </c>
      <c r="AW257" s="287" t="n">
        <v>3.41862512974805E-009</v>
      </c>
      <c r="AX257" s="287" t="n">
        <v>1.66424261223756E-008</v>
      </c>
      <c r="AY257" s="287" t="n">
        <v>9.60120680639634E-009</v>
      </c>
      <c r="AZ257" s="287" t="n">
        <v>4.02920443706696E-007</v>
      </c>
    </row>
    <row r="258" customFormat="false" ht="17.35" hidden="false" customHeight="false" outlineLevel="0" collapsed="false">
      <c r="A258" s="200" t="s">
        <v>397</v>
      </c>
      <c r="B258" s="200"/>
      <c r="C258" s="200"/>
    </row>
    <row r="259" customFormat="false" ht="31.3" hidden="false" customHeight="false" outlineLevel="0" collapsed="false">
      <c r="A259" s="289" t="s">
        <v>398</v>
      </c>
      <c r="B259" s="280" t="s">
        <v>36</v>
      </c>
      <c r="C259" s="204" t="n">
        <v>2020</v>
      </c>
    </row>
    <row r="260" customFormat="false" ht="31.3" hidden="false" customHeight="false" outlineLevel="0" collapsed="false">
      <c r="A260" s="272" t="s">
        <v>399</v>
      </c>
      <c r="B260" s="290" t="s">
        <v>327</v>
      </c>
      <c r="C260" s="244" t="n">
        <v>-0.3</v>
      </c>
    </row>
    <row r="262" customFormat="false" ht="14.25" hidden="false" customHeight="true" outlineLevel="0" collapsed="false">
      <c r="A262" s="200" t="s">
        <v>400</v>
      </c>
      <c r="B262" s="200"/>
      <c r="C262" s="200"/>
    </row>
    <row r="263" customFormat="false" ht="28.5" hidden="false" customHeight="true" outlineLevel="0" collapsed="false">
      <c r="A263" s="291" t="s">
        <v>401</v>
      </c>
      <c r="B263" s="280" t="s">
        <v>28</v>
      </c>
      <c r="C263" s="281" t="n">
        <v>1</v>
      </c>
    </row>
    <row r="264" customFormat="false" ht="14.25" hidden="false" customHeight="true" outlineLevel="0" collapsed="false">
      <c r="A264" s="292" t="s">
        <v>403</v>
      </c>
      <c r="B264" s="280" t="s">
        <v>404</v>
      </c>
      <c r="C264" s="293" t="n">
        <v>1</v>
      </c>
    </row>
    <row r="265" customFormat="false" ht="15" hidden="false" customHeight="false" outlineLevel="0" collapsed="false">
      <c r="A265" s="292"/>
      <c r="B265" s="280" t="s">
        <v>408</v>
      </c>
      <c r="C265" s="293"/>
    </row>
    <row r="266" customFormat="false" ht="15" hidden="false" customHeight="false" outlineLevel="0" collapsed="false">
      <c r="A266" s="292"/>
      <c r="B266" s="280" t="s">
        <v>409</v>
      </c>
      <c r="C266" s="293"/>
    </row>
    <row r="267" customFormat="false" ht="16.4" hidden="false" customHeight="false" outlineLevel="0" collapsed="false">
      <c r="A267" s="291" t="s">
        <v>650</v>
      </c>
      <c r="B267" s="280" t="s">
        <v>651</v>
      </c>
      <c r="C267" s="204" t="n">
        <v>0.1</v>
      </c>
    </row>
    <row r="268" customFormat="false" ht="15" hidden="false" customHeight="true" outlineLevel="0" collapsed="false">
      <c r="A268" s="292" t="s">
        <v>406</v>
      </c>
      <c r="B268" s="280" t="s">
        <v>404</v>
      </c>
      <c r="C268" s="293" t="n">
        <v>1</v>
      </c>
    </row>
    <row r="269" customFormat="false" ht="15" hidden="false" customHeight="false" outlineLevel="0" collapsed="false">
      <c r="A269" s="292"/>
      <c r="B269" s="280" t="s">
        <v>408</v>
      </c>
      <c r="C269" s="293"/>
    </row>
    <row r="270" customFormat="false" ht="15" hidden="false" customHeight="false" outlineLevel="0" collapsed="false">
      <c r="A270" s="292"/>
      <c r="B270" s="280" t="s">
        <v>409</v>
      </c>
      <c r="C270" s="293"/>
    </row>
    <row r="271" customFormat="false" ht="15.75" hidden="false" customHeight="false" outlineLevel="0" collapsed="false">
      <c r="A271" s="294" t="s">
        <v>413</v>
      </c>
      <c r="B271" s="290" t="s">
        <v>651</v>
      </c>
      <c r="C271" s="244" t="n">
        <v>0.1</v>
      </c>
    </row>
    <row r="274" customFormat="false" ht="24.45" hidden="false" customHeight="false" outlineLevel="0" collapsed="false">
      <c r="A274" s="199" t="s">
        <v>652</v>
      </c>
    </row>
    <row r="275" customFormat="false" ht="15.75" hidden="false" customHeight="true" outlineLevel="0" collapsed="false">
      <c r="A275" s="200" t="s">
        <v>429</v>
      </c>
      <c r="B275" s="200"/>
      <c r="C275" s="200"/>
      <c r="D275" s="200"/>
    </row>
    <row r="276" customFormat="false" ht="15.75" hidden="false" customHeight="true" outlineLevel="0" collapsed="false">
      <c r="A276" s="295" t="s">
        <v>430</v>
      </c>
      <c r="B276" s="295"/>
      <c r="C276" s="295"/>
      <c r="D276" s="295"/>
    </row>
    <row r="277" customFormat="false" ht="15" hidden="false" customHeight="true" outlineLevel="0" collapsed="false">
      <c r="A277" s="291" t="s">
        <v>431</v>
      </c>
      <c r="B277" s="291"/>
      <c r="C277" s="291"/>
      <c r="D277" s="296" t="n">
        <v>2</v>
      </c>
    </row>
    <row r="278" customFormat="false" ht="15.75" hidden="false" customHeight="false" outlineLevel="0" collapsed="false">
      <c r="A278" s="297" t="s">
        <v>432</v>
      </c>
      <c r="B278" s="298"/>
      <c r="C278" s="298"/>
      <c r="D278" s="299"/>
    </row>
    <row r="279" customFormat="false" ht="15" hidden="false" customHeight="false" outlineLevel="0" collapsed="false">
      <c r="A279" s="300" t="s">
        <v>433</v>
      </c>
      <c r="B279" s="301" t="n">
        <v>2050</v>
      </c>
      <c r="C279" s="302"/>
      <c r="D279" s="302"/>
      <c r="E279" s="302"/>
    </row>
    <row r="280" customFormat="false" ht="16.4" hidden="false" customHeight="false" outlineLevel="0" collapsed="false">
      <c r="A280" s="303" t="s">
        <v>435</v>
      </c>
      <c r="B280" s="304" t="n">
        <v>2020</v>
      </c>
      <c r="C280" s="203"/>
      <c r="D280" s="305" t="s">
        <v>437</v>
      </c>
      <c r="E280" s="306" t="s">
        <v>438</v>
      </c>
    </row>
    <row r="281" customFormat="false" ht="13.5" hidden="false" customHeight="true" outlineLevel="0" collapsed="false">
      <c r="A281" s="307" t="s">
        <v>439</v>
      </c>
      <c r="B281" s="308" t="s">
        <v>440</v>
      </c>
      <c r="C281" s="280" t="s">
        <v>653</v>
      </c>
      <c r="D281" s="259" t="n">
        <v>0.201666666666667</v>
      </c>
      <c r="E281" s="226" t="n">
        <v>0.605</v>
      </c>
    </row>
    <row r="282" customFormat="false" ht="15" hidden="false" customHeight="false" outlineLevel="0" collapsed="false">
      <c r="A282" s="307"/>
      <c r="B282" s="308" t="s">
        <v>443</v>
      </c>
      <c r="C282" s="280" t="s">
        <v>653</v>
      </c>
      <c r="D282" s="259" t="n">
        <v>0.05</v>
      </c>
      <c r="E282" s="226" t="n">
        <v>0.15</v>
      </c>
    </row>
    <row r="283" customFormat="false" ht="15" hidden="false" customHeight="false" outlineLevel="0" collapsed="false">
      <c r="A283" s="307"/>
      <c r="B283" s="308" t="s">
        <v>444</v>
      </c>
      <c r="C283" s="280" t="s">
        <v>653</v>
      </c>
      <c r="D283" s="259" t="n">
        <v>0.196666666666667</v>
      </c>
      <c r="E283" s="226" t="n">
        <v>0.59</v>
      </c>
    </row>
    <row r="284" customFormat="false" ht="15" hidden="false" customHeight="false" outlineLevel="0" collapsed="false">
      <c r="A284" s="307"/>
      <c r="B284" s="308" t="s">
        <v>445</v>
      </c>
      <c r="C284" s="280" t="s">
        <v>653</v>
      </c>
      <c r="D284" s="259" t="n">
        <v>0.163333333333333</v>
      </c>
      <c r="E284" s="226" t="n">
        <v>0.49</v>
      </c>
    </row>
    <row r="285" customFormat="false" ht="15" hidden="false" customHeight="false" outlineLevel="0" collapsed="false">
      <c r="A285" s="307"/>
      <c r="B285" s="308" t="s">
        <v>446</v>
      </c>
      <c r="C285" s="280" t="s">
        <v>653</v>
      </c>
      <c r="D285" s="259" t="n">
        <v>0.00166666666666667</v>
      </c>
      <c r="E285" s="226" t="n">
        <v>0.005</v>
      </c>
    </row>
    <row r="286" customFormat="false" ht="15" hidden="false" customHeight="false" outlineLevel="0" collapsed="false">
      <c r="A286" s="307"/>
      <c r="B286" s="308" t="s">
        <v>447</v>
      </c>
      <c r="C286" s="280" t="s">
        <v>653</v>
      </c>
      <c r="D286" s="259" t="n">
        <v>0.0633333333333333</v>
      </c>
      <c r="E286" s="226" t="n">
        <v>0.19</v>
      </c>
    </row>
    <row r="287" customFormat="false" ht="15" hidden="false" customHeight="false" outlineLevel="0" collapsed="false">
      <c r="A287" s="307"/>
      <c r="B287" s="308" t="s">
        <v>448</v>
      </c>
      <c r="C287" s="280" t="s">
        <v>653</v>
      </c>
      <c r="D287" s="259" t="n">
        <v>0.253333333333333</v>
      </c>
      <c r="E287" s="226" t="n">
        <v>0.76</v>
      </c>
    </row>
    <row r="288" customFormat="false" ht="15" hidden="false" customHeight="false" outlineLevel="0" collapsed="false">
      <c r="A288" s="307"/>
      <c r="B288" s="308" t="s">
        <v>449</v>
      </c>
      <c r="C288" s="280" t="s">
        <v>653</v>
      </c>
      <c r="D288" s="259" t="n">
        <v>0.00166666666666667</v>
      </c>
      <c r="E288" s="226" t="n">
        <v>0.005</v>
      </c>
    </row>
    <row r="289" customFormat="false" ht="15" hidden="false" customHeight="false" outlineLevel="0" collapsed="false">
      <c r="A289" s="307"/>
      <c r="B289" s="308" t="s">
        <v>450</v>
      </c>
      <c r="C289" s="280" t="s">
        <v>653</v>
      </c>
      <c r="D289" s="259" t="n">
        <v>0.13</v>
      </c>
      <c r="E289" s="226" t="n">
        <v>0.39</v>
      </c>
    </row>
    <row r="290" customFormat="false" ht="15" hidden="false" customHeight="false" outlineLevel="0" collapsed="false">
      <c r="A290" s="307"/>
      <c r="B290" s="308" t="s">
        <v>451</v>
      </c>
      <c r="C290" s="280" t="s">
        <v>653</v>
      </c>
      <c r="D290" s="259" t="n">
        <v>0.176666666666667</v>
      </c>
      <c r="E290" s="226" t="n">
        <v>0.53</v>
      </c>
    </row>
    <row r="291" customFormat="false" ht="15" hidden="false" customHeight="false" outlineLevel="0" collapsed="false">
      <c r="A291" s="307"/>
      <c r="B291" s="308" t="s">
        <v>452</v>
      </c>
      <c r="C291" s="280" t="s">
        <v>653</v>
      </c>
      <c r="D291" s="259" t="n">
        <v>0.116666666666667</v>
      </c>
      <c r="E291" s="226" t="n">
        <v>0.35</v>
      </c>
    </row>
    <row r="292" customFormat="false" ht="15" hidden="false" customHeight="false" outlineLevel="0" collapsed="false">
      <c r="A292" s="307"/>
      <c r="B292" s="308" t="s">
        <v>453</v>
      </c>
      <c r="C292" s="280" t="s">
        <v>653</v>
      </c>
      <c r="D292" s="259" t="n">
        <v>0.188333333333333</v>
      </c>
      <c r="E292" s="226" t="n">
        <v>0.565</v>
      </c>
    </row>
    <row r="293" customFormat="false" ht="15" hidden="false" customHeight="false" outlineLevel="0" collapsed="false">
      <c r="A293" s="307"/>
      <c r="B293" s="308" t="s">
        <v>454</v>
      </c>
      <c r="C293" s="280" t="s">
        <v>653</v>
      </c>
      <c r="D293" s="259" t="n">
        <v>0.245</v>
      </c>
      <c r="E293" s="226" t="n">
        <v>0.735</v>
      </c>
    </row>
    <row r="294" customFormat="false" ht="15" hidden="false" customHeight="false" outlineLevel="0" collapsed="false">
      <c r="A294" s="307"/>
      <c r="B294" s="308" t="s">
        <v>455</v>
      </c>
      <c r="C294" s="280" t="s">
        <v>653</v>
      </c>
      <c r="D294" s="259" t="n">
        <v>0.191666666666667</v>
      </c>
      <c r="E294" s="226" t="n">
        <v>0.575</v>
      </c>
    </row>
    <row r="295" customFormat="false" ht="15" hidden="false" customHeight="false" outlineLevel="0" collapsed="false">
      <c r="A295" s="307"/>
      <c r="B295" s="308" t="s">
        <v>456</v>
      </c>
      <c r="C295" s="280" t="s">
        <v>653</v>
      </c>
      <c r="D295" s="259" t="n">
        <v>0.101666666666667</v>
      </c>
      <c r="E295" s="226" t="n">
        <v>0.305</v>
      </c>
    </row>
    <row r="296" customFormat="false" ht="15" hidden="false" customHeight="false" outlineLevel="0" collapsed="false">
      <c r="A296" s="307"/>
      <c r="B296" s="308" t="s">
        <v>457</v>
      </c>
      <c r="C296" s="280" t="s">
        <v>653</v>
      </c>
      <c r="D296" s="259" t="n">
        <v>0.00166666666666667</v>
      </c>
      <c r="E296" s="226" t="n">
        <v>0.005</v>
      </c>
    </row>
    <row r="297" customFormat="false" ht="15" hidden="false" customHeight="false" outlineLevel="0" collapsed="false">
      <c r="A297" s="307"/>
      <c r="B297" s="308" t="s">
        <v>458</v>
      </c>
      <c r="C297" s="280" t="s">
        <v>653</v>
      </c>
      <c r="D297" s="259" t="n">
        <v>0.303333333333333</v>
      </c>
      <c r="E297" s="226" t="n">
        <v>0.91</v>
      </c>
    </row>
    <row r="298" customFormat="false" ht="15" hidden="false" customHeight="false" outlineLevel="0" collapsed="false">
      <c r="A298" s="307"/>
      <c r="B298" s="308" t="s">
        <v>459</v>
      </c>
      <c r="C298" s="280" t="s">
        <v>653</v>
      </c>
      <c r="D298" s="259" t="n">
        <v>0.00166666666666667</v>
      </c>
      <c r="E298" s="226" t="n">
        <v>0.005</v>
      </c>
    </row>
    <row r="299" customFormat="false" ht="15" hidden="false" customHeight="false" outlineLevel="0" collapsed="false">
      <c r="A299" s="307"/>
      <c r="B299" s="309" t="s">
        <v>460</v>
      </c>
      <c r="C299" s="290" t="s">
        <v>653</v>
      </c>
      <c r="D299" s="206" t="n">
        <v>0.183333333333333</v>
      </c>
      <c r="E299" s="207" t="n">
        <v>0.55</v>
      </c>
    </row>
    <row r="300" customFormat="false" ht="15" hidden="false" customHeight="true" outlineLevel="0" collapsed="false">
      <c r="A300" s="310" t="s">
        <v>461</v>
      </c>
      <c r="B300" s="310"/>
      <c r="C300" s="310"/>
    </row>
    <row r="301" customFormat="false" ht="31.3" hidden="false" customHeight="false" outlineLevel="0" collapsed="false">
      <c r="A301" s="291" t="s">
        <v>654</v>
      </c>
      <c r="B301" s="280" t="s">
        <v>655</v>
      </c>
      <c r="C301" s="311" t="n">
        <v>0.014</v>
      </c>
    </row>
    <row r="302" customFormat="false" ht="16.4" hidden="false" customHeight="false" outlineLevel="0" collapsed="false">
      <c r="A302" s="291" t="s">
        <v>656</v>
      </c>
      <c r="B302" s="280" t="s">
        <v>423</v>
      </c>
      <c r="C302" s="204" t="n">
        <v>2020</v>
      </c>
    </row>
    <row r="303" customFormat="false" ht="16.4" hidden="false" customHeight="false" outlineLevel="0" collapsed="false">
      <c r="A303" s="291" t="s">
        <v>657</v>
      </c>
      <c r="B303" s="280" t="s">
        <v>655</v>
      </c>
      <c r="C303" s="311" t="n">
        <v>0.014</v>
      </c>
    </row>
    <row r="304" customFormat="false" ht="16.4" hidden="false" customHeight="false" outlineLevel="0" collapsed="false">
      <c r="A304" s="294" t="s">
        <v>658</v>
      </c>
      <c r="B304" s="290" t="s">
        <v>423</v>
      </c>
      <c r="C304" s="244" t="n">
        <v>2020</v>
      </c>
    </row>
    <row r="306" customFormat="false" ht="17.35" hidden="false" customHeight="false" outlineLevel="0" collapsed="false">
      <c r="A306" s="200" t="s">
        <v>232</v>
      </c>
      <c r="B306" s="200"/>
      <c r="C306" s="200"/>
    </row>
    <row r="307" customFormat="false" ht="15" hidden="false" customHeight="false" outlineLevel="0" collapsed="false">
      <c r="A307" s="312" t="s">
        <v>233</v>
      </c>
      <c r="B307" s="312"/>
      <c r="C307" s="312"/>
      <c r="H307" s="54"/>
      <c r="J307" s="57"/>
    </row>
    <row r="308" customFormat="false" ht="16.4" hidden="false" customHeight="false" outlineLevel="0" collapsed="false">
      <c r="A308" s="291" t="s">
        <v>234</v>
      </c>
      <c r="B308" s="203" t="s">
        <v>28</v>
      </c>
      <c r="C308" s="313" t="n">
        <v>1</v>
      </c>
      <c r="H308" s="54"/>
      <c r="J308" s="57"/>
    </row>
    <row r="309" customFormat="false" ht="15" hidden="false" customHeight="false" outlineLevel="0" collapsed="false">
      <c r="A309" s="312" t="s">
        <v>659</v>
      </c>
      <c r="B309" s="312"/>
      <c r="C309" s="312"/>
      <c r="H309" s="54"/>
      <c r="J309" s="57"/>
    </row>
    <row r="310" customFormat="false" ht="15" hidden="false" customHeight="true" outlineLevel="0" collapsed="false">
      <c r="A310" s="307" t="s">
        <v>660</v>
      </c>
      <c r="B310" s="280" t="s">
        <v>661</v>
      </c>
      <c r="C310" s="314" t="n">
        <v>4</v>
      </c>
      <c r="H310" s="54"/>
      <c r="J310" s="57"/>
    </row>
    <row r="311" customFormat="false" ht="15" hidden="false" customHeight="false" outlineLevel="0" collapsed="false">
      <c r="A311" s="307"/>
      <c r="B311" s="280" t="s">
        <v>662</v>
      </c>
      <c r="C311" s="314"/>
      <c r="H311" s="54"/>
      <c r="J311" s="57"/>
    </row>
    <row r="312" customFormat="false" ht="15" hidden="false" customHeight="false" outlineLevel="0" collapsed="false">
      <c r="A312" s="307"/>
      <c r="B312" s="280" t="s">
        <v>663</v>
      </c>
      <c r="C312" s="314"/>
      <c r="H312" s="54"/>
      <c r="J312" s="57"/>
    </row>
    <row r="313" customFormat="false" ht="15" hidden="false" customHeight="false" outlineLevel="0" collapsed="false">
      <c r="A313" s="307"/>
      <c r="B313" s="290" t="s">
        <v>664</v>
      </c>
      <c r="C313" s="314"/>
      <c r="H313" s="54"/>
      <c r="J313" s="57"/>
    </row>
    <row r="314" customFormat="false" ht="15" hidden="false" customHeight="false" outlineLevel="0" collapsed="false">
      <c r="H314" s="54"/>
      <c r="J314" s="57"/>
    </row>
    <row r="315" customFormat="false" ht="15" hidden="false" customHeight="false" outlineLevel="0" collapsed="false">
      <c r="A315" s="315" t="s">
        <v>164</v>
      </c>
      <c r="B315" s="316"/>
      <c r="H315" s="54"/>
      <c r="J315" s="57"/>
    </row>
    <row r="316" customFormat="false" ht="15" hidden="false" customHeight="false" outlineLevel="0" collapsed="false">
      <c r="A316" s="317" t="s">
        <v>165</v>
      </c>
      <c r="B316" s="318" t="n">
        <v>1</v>
      </c>
      <c r="H316" s="54"/>
      <c r="J316" s="57"/>
    </row>
    <row r="317" customFormat="false" ht="15" hidden="false" customHeight="false" outlineLevel="0" collapsed="false">
      <c r="H317" s="54"/>
      <c r="J317" s="57"/>
    </row>
    <row r="318" customFormat="false" ht="17.35" hidden="false" customHeight="false" outlineLevel="0" collapsed="false">
      <c r="A318" s="200" t="s">
        <v>665</v>
      </c>
      <c r="B318" s="200"/>
      <c r="C318" s="200"/>
      <c r="D318" s="200"/>
      <c r="E318" s="200"/>
      <c r="F318" s="200"/>
      <c r="G318" s="200"/>
      <c r="H318" s="200"/>
      <c r="I318" s="200"/>
      <c r="J318" s="57"/>
    </row>
    <row r="319" customFormat="false" ht="15" hidden="false" customHeight="false" outlineLevel="0" collapsed="false">
      <c r="A319" s="319" t="s">
        <v>666</v>
      </c>
      <c r="B319" s="202" t="s">
        <v>36</v>
      </c>
      <c r="C319" s="203" t="n">
        <v>2020</v>
      </c>
      <c r="D319" s="203" t="n">
        <v>2025</v>
      </c>
      <c r="E319" s="203" t="n">
        <v>2030</v>
      </c>
      <c r="F319" s="203" t="n">
        <v>2035</v>
      </c>
      <c r="G319" s="203" t="n">
        <v>2040</v>
      </c>
      <c r="H319" s="203" t="n">
        <v>2045</v>
      </c>
      <c r="I319" s="204" t="n">
        <v>2050</v>
      </c>
      <c r="J319" s="57"/>
    </row>
    <row r="320" customFormat="false" ht="15" hidden="false" customHeight="false" outlineLevel="0" collapsed="false">
      <c r="A320" s="319" t="s">
        <v>580</v>
      </c>
      <c r="B320" s="202" t="s">
        <v>499</v>
      </c>
      <c r="C320" s="203" t="n">
        <v>0</v>
      </c>
      <c r="D320" s="203" t="n">
        <v>0</v>
      </c>
      <c r="E320" s="203" t="n">
        <v>0</v>
      </c>
      <c r="F320" s="203" t="n">
        <v>0</v>
      </c>
      <c r="G320" s="203" t="n">
        <v>0</v>
      </c>
      <c r="H320" s="203" t="n">
        <v>0</v>
      </c>
      <c r="I320" s="204" t="n">
        <v>0</v>
      </c>
      <c r="J320" s="57"/>
    </row>
    <row r="321" customFormat="false" ht="15" hidden="false" customHeight="false" outlineLevel="0" collapsed="false">
      <c r="A321" s="319" t="s">
        <v>597</v>
      </c>
      <c r="B321" s="202"/>
      <c r="C321" s="203" t="n">
        <v>0</v>
      </c>
      <c r="D321" s="203" t="n">
        <v>0</v>
      </c>
      <c r="E321" s="203" t="n">
        <v>0</v>
      </c>
      <c r="F321" s="203" t="n">
        <v>0</v>
      </c>
      <c r="G321" s="203" t="n">
        <v>0</v>
      </c>
      <c r="H321" s="203" t="n">
        <v>0</v>
      </c>
      <c r="I321" s="204" t="n">
        <v>0</v>
      </c>
      <c r="J321" s="57"/>
    </row>
    <row r="322" customFormat="false" ht="15" hidden="false" customHeight="false" outlineLevel="0" collapsed="false">
      <c r="A322" s="319" t="s">
        <v>598</v>
      </c>
      <c r="B322" s="202"/>
      <c r="C322" s="203" t="n">
        <v>0</v>
      </c>
      <c r="D322" s="203" t="n">
        <v>0</v>
      </c>
      <c r="E322" s="203" t="n">
        <v>0</v>
      </c>
      <c r="F322" s="203" t="n">
        <v>0</v>
      </c>
      <c r="G322" s="203" t="n">
        <v>0</v>
      </c>
      <c r="H322" s="203" t="n">
        <v>0</v>
      </c>
      <c r="I322" s="204" t="n">
        <v>0</v>
      </c>
      <c r="J322" s="57"/>
    </row>
    <row r="323" customFormat="false" ht="15" hidden="false" customHeight="false" outlineLevel="0" collapsed="false">
      <c r="A323" s="319" t="s">
        <v>599</v>
      </c>
      <c r="B323" s="202"/>
      <c r="C323" s="203" t="n">
        <v>0</v>
      </c>
      <c r="D323" s="203" t="n">
        <v>0</v>
      </c>
      <c r="E323" s="203" t="n">
        <v>0</v>
      </c>
      <c r="F323" s="203" t="n">
        <v>0</v>
      </c>
      <c r="G323" s="203" t="n">
        <v>0</v>
      </c>
      <c r="H323" s="203" t="n">
        <v>0</v>
      </c>
      <c r="I323" s="204" t="n">
        <v>0</v>
      </c>
      <c r="J323" s="57"/>
    </row>
    <row r="324" customFormat="false" ht="15" hidden="false" customHeight="false" outlineLevel="0" collapsed="false">
      <c r="A324" s="319" t="s">
        <v>600</v>
      </c>
      <c r="B324" s="202"/>
      <c r="C324" s="203" t="n">
        <v>0</v>
      </c>
      <c r="D324" s="203" t="n">
        <v>0</v>
      </c>
      <c r="E324" s="203" t="n">
        <v>0</v>
      </c>
      <c r="F324" s="203" t="n">
        <v>0</v>
      </c>
      <c r="G324" s="203" t="n">
        <v>0</v>
      </c>
      <c r="H324" s="203" t="n">
        <v>0</v>
      </c>
      <c r="I324" s="204" t="n">
        <v>0</v>
      </c>
      <c r="J324" s="57"/>
    </row>
    <row r="325" customFormat="false" ht="15" hidden="false" customHeight="false" outlineLevel="0" collapsed="false">
      <c r="A325" s="319" t="s">
        <v>601</v>
      </c>
      <c r="B325" s="202"/>
      <c r="C325" s="203" t="n">
        <v>0</v>
      </c>
      <c r="D325" s="203" t="n">
        <v>0</v>
      </c>
      <c r="E325" s="203" t="n">
        <v>0</v>
      </c>
      <c r="F325" s="203" t="n">
        <v>0</v>
      </c>
      <c r="G325" s="203" t="n">
        <v>0</v>
      </c>
      <c r="H325" s="203" t="n">
        <v>0</v>
      </c>
      <c r="I325" s="204" t="n">
        <v>0</v>
      </c>
      <c r="J325" s="57"/>
    </row>
    <row r="326" customFormat="false" ht="15" hidden="false" customHeight="false" outlineLevel="0" collapsed="false">
      <c r="A326" s="319" t="s">
        <v>602</v>
      </c>
      <c r="B326" s="202"/>
      <c r="C326" s="203" t="n">
        <v>0</v>
      </c>
      <c r="D326" s="203" t="n">
        <v>0</v>
      </c>
      <c r="E326" s="203" t="n">
        <v>0</v>
      </c>
      <c r="F326" s="203" t="n">
        <v>0</v>
      </c>
      <c r="G326" s="203" t="n">
        <v>0</v>
      </c>
      <c r="H326" s="203" t="n">
        <v>0</v>
      </c>
      <c r="I326" s="204" t="n">
        <v>0</v>
      </c>
      <c r="J326" s="57"/>
    </row>
    <row r="327" customFormat="false" ht="15" hidden="false" customHeight="false" outlineLevel="0" collapsed="false">
      <c r="A327" s="319" t="s">
        <v>603</v>
      </c>
      <c r="B327" s="202"/>
      <c r="C327" s="203" t="n">
        <v>0</v>
      </c>
      <c r="D327" s="203" t="n">
        <v>0</v>
      </c>
      <c r="E327" s="203" t="n">
        <v>0</v>
      </c>
      <c r="F327" s="203" t="n">
        <v>0</v>
      </c>
      <c r="G327" s="203" t="n">
        <v>0</v>
      </c>
      <c r="H327" s="203" t="n">
        <v>0</v>
      </c>
      <c r="I327" s="204" t="n">
        <v>0</v>
      </c>
      <c r="J327" s="57"/>
    </row>
    <row r="328" customFormat="false" ht="15" hidden="false" customHeight="false" outlineLevel="0" collapsed="false">
      <c r="A328" s="319" t="s">
        <v>354</v>
      </c>
      <c r="B328" s="202"/>
      <c r="C328" s="203" t="n">
        <v>0</v>
      </c>
      <c r="D328" s="203" t="n">
        <v>0</v>
      </c>
      <c r="E328" s="203" t="n">
        <v>0</v>
      </c>
      <c r="F328" s="203" t="n">
        <v>0</v>
      </c>
      <c r="G328" s="203" t="n">
        <v>0</v>
      </c>
      <c r="H328" s="203" t="n">
        <v>0</v>
      </c>
      <c r="I328" s="204" t="n">
        <v>0</v>
      </c>
      <c r="J328" s="57"/>
    </row>
    <row r="329" customFormat="false" ht="15" hidden="false" customHeight="false" outlineLevel="0" collapsed="false">
      <c r="A329" s="319" t="s">
        <v>369</v>
      </c>
      <c r="B329" s="202"/>
      <c r="C329" s="203" t="n">
        <v>0</v>
      </c>
      <c r="D329" s="203" t="n">
        <v>0</v>
      </c>
      <c r="E329" s="203" t="n">
        <v>0</v>
      </c>
      <c r="F329" s="203" t="n">
        <v>0</v>
      </c>
      <c r="G329" s="203" t="n">
        <v>0</v>
      </c>
      <c r="H329" s="203" t="n">
        <v>0</v>
      </c>
      <c r="I329" s="204" t="n">
        <v>0</v>
      </c>
      <c r="J329" s="57"/>
    </row>
    <row r="330" customFormat="false" ht="15" hidden="false" customHeight="false" outlineLevel="0" collapsed="false">
      <c r="A330" s="319" t="s">
        <v>604</v>
      </c>
      <c r="B330" s="202"/>
      <c r="C330" s="203" t="n">
        <v>0</v>
      </c>
      <c r="D330" s="203" t="n">
        <v>0</v>
      </c>
      <c r="E330" s="203" t="n">
        <v>0</v>
      </c>
      <c r="F330" s="203" t="n">
        <v>0</v>
      </c>
      <c r="G330" s="203" t="n">
        <v>0</v>
      </c>
      <c r="H330" s="203" t="n">
        <v>0</v>
      </c>
      <c r="I330" s="204" t="n">
        <v>0</v>
      </c>
      <c r="J330" s="57"/>
    </row>
    <row r="331" customFormat="false" ht="15" hidden="false" customHeight="false" outlineLevel="0" collapsed="false">
      <c r="A331" s="319" t="s">
        <v>605</v>
      </c>
      <c r="B331" s="202"/>
      <c r="C331" s="203" t="n">
        <v>0</v>
      </c>
      <c r="D331" s="203" t="n">
        <v>0</v>
      </c>
      <c r="E331" s="203" t="n">
        <v>0</v>
      </c>
      <c r="F331" s="203" t="n">
        <v>0</v>
      </c>
      <c r="G331" s="203" t="n">
        <v>0</v>
      </c>
      <c r="H331" s="203" t="n">
        <v>0</v>
      </c>
      <c r="I331" s="204" t="n">
        <v>0</v>
      </c>
      <c r="J331" s="57"/>
    </row>
    <row r="332" customFormat="false" ht="15" hidden="false" customHeight="false" outlineLevel="0" collapsed="false">
      <c r="A332" s="319" t="s">
        <v>606</v>
      </c>
      <c r="B332" s="202"/>
      <c r="C332" s="203" t="n">
        <v>0</v>
      </c>
      <c r="D332" s="203" t="n">
        <v>0</v>
      </c>
      <c r="E332" s="203" t="n">
        <v>0</v>
      </c>
      <c r="F332" s="203" t="n">
        <v>0</v>
      </c>
      <c r="G332" s="203" t="n">
        <v>0</v>
      </c>
      <c r="H332" s="203" t="n">
        <v>0</v>
      </c>
      <c r="I332" s="204" t="n">
        <v>0</v>
      </c>
      <c r="J332" s="57"/>
    </row>
    <row r="333" customFormat="false" ht="15" hidden="false" customHeight="false" outlineLevel="0" collapsed="false">
      <c r="A333" s="319" t="s">
        <v>607</v>
      </c>
      <c r="B333" s="202"/>
      <c r="C333" s="203" t="n">
        <v>0</v>
      </c>
      <c r="D333" s="203" t="n">
        <v>0</v>
      </c>
      <c r="E333" s="203" t="n">
        <v>0</v>
      </c>
      <c r="F333" s="203" t="n">
        <v>0</v>
      </c>
      <c r="G333" s="203" t="n">
        <v>0</v>
      </c>
      <c r="H333" s="203" t="n">
        <v>0</v>
      </c>
      <c r="I333" s="204" t="n">
        <v>0</v>
      </c>
      <c r="J333" s="57"/>
    </row>
    <row r="334" customFormat="false" ht="15" hidden="false" customHeight="false" outlineLevel="0" collapsed="false">
      <c r="A334" s="319" t="s">
        <v>608</v>
      </c>
      <c r="B334" s="202"/>
      <c r="C334" s="203" t="n">
        <v>0</v>
      </c>
      <c r="D334" s="203" t="n">
        <v>0</v>
      </c>
      <c r="E334" s="203" t="n">
        <v>0</v>
      </c>
      <c r="F334" s="203" t="n">
        <v>0</v>
      </c>
      <c r="G334" s="203" t="n">
        <v>0</v>
      </c>
      <c r="H334" s="203" t="n">
        <v>0</v>
      </c>
      <c r="I334" s="204" t="n">
        <v>0</v>
      </c>
      <c r="J334" s="57"/>
    </row>
    <row r="335" customFormat="false" ht="15" hidden="false" customHeight="false" outlineLevel="0" collapsed="false">
      <c r="A335" s="319" t="s">
        <v>609</v>
      </c>
      <c r="B335" s="202"/>
      <c r="C335" s="203" t="n">
        <v>0</v>
      </c>
      <c r="D335" s="203" t="n">
        <v>0</v>
      </c>
      <c r="E335" s="203" t="n">
        <v>0</v>
      </c>
      <c r="F335" s="203" t="n">
        <v>0</v>
      </c>
      <c r="G335" s="203" t="n">
        <v>0</v>
      </c>
      <c r="H335" s="203" t="n">
        <v>0</v>
      </c>
      <c r="I335" s="204" t="n">
        <v>0</v>
      </c>
      <c r="J335" s="57"/>
    </row>
    <row r="336" customFormat="false" ht="15" hidden="false" customHeight="false" outlineLevel="0" collapsed="false">
      <c r="A336" s="319" t="s">
        <v>610</v>
      </c>
      <c r="B336" s="202"/>
      <c r="C336" s="203" t="n">
        <v>0</v>
      </c>
      <c r="D336" s="203" t="n">
        <v>0</v>
      </c>
      <c r="E336" s="203" t="n">
        <v>0</v>
      </c>
      <c r="F336" s="203" t="n">
        <v>0</v>
      </c>
      <c r="G336" s="203" t="n">
        <v>0</v>
      </c>
      <c r="H336" s="203" t="n">
        <v>0</v>
      </c>
      <c r="I336" s="204" t="n">
        <v>0</v>
      </c>
      <c r="J336" s="57"/>
    </row>
    <row r="337" customFormat="false" ht="15" hidden="false" customHeight="false" outlineLevel="0" collapsed="false">
      <c r="A337" s="319" t="s">
        <v>611</v>
      </c>
      <c r="B337" s="202"/>
      <c r="C337" s="203" t="n">
        <v>0</v>
      </c>
      <c r="D337" s="203" t="n">
        <v>0</v>
      </c>
      <c r="E337" s="203" t="n">
        <v>0</v>
      </c>
      <c r="F337" s="203" t="n">
        <v>0</v>
      </c>
      <c r="G337" s="203" t="n">
        <v>0</v>
      </c>
      <c r="H337" s="203" t="n">
        <v>0</v>
      </c>
      <c r="I337" s="204" t="n">
        <v>0</v>
      </c>
      <c r="J337" s="57"/>
    </row>
    <row r="338" customFormat="false" ht="15" hidden="false" customHeight="false" outlineLevel="0" collapsed="false">
      <c r="A338" s="319" t="s">
        <v>612</v>
      </c>
      <c r="B338" s="202"/>
      <c r="C338" s="203" t="n">
        <v>0</v>
      </c>
      <c r="D338" s="203" t="n">
        <v>0</v>
      </c>
      <c r="E338" s="203" t="n">
        <v>0</v>
      </c>
      <c r="F338" s="203" t="n">
        <v>0</v>
      </c>
      <c r="G338" s="203" t="n">
        <v>0</v>
      </c>
      <c r="H338" s="203" t="n">
        <v>0</v>
      </c>
      <c r="I338" s="204" t="n">
        <v>0</v>
      </c>
      <c r="J338" s="57"/>
    </row>
    <row r="339" customFormat="false" ht="15" hidden="false" customHeight="false" outlineLevel="0" collapsed="false">
      <c r="A339" s="319" t="s">
        <v>613</v>
      </c>
      <c r="B339" s="202"/>
      <c r="C339" s="203" t="n">
        <v>0</v>
      </c>
      <c r="D339" s="203" t="n">
        <v>0</v>
      </c>
      <c r="E339" s="203" t="n">
        <v>0</v>
      </c>
      <c r="F339" s="203" t="n">
        <v>0</v>
      </c>
      <c r="G339" s="203" t="n">
        <v>0</v>
      </c>
      <c r="H339" s="203" t="n">
        <v>0</v>
      </c>
      <c r="I339" s="204" t="n">
        <v>0</v>
      </c>
      <c r="J339" s="57"/>
    </row>
    <row r="340" customFormat="false" ht="15" hidden="false" customHeight="false" outlineLevel="0" collapsed="false">
      <c r="A340" s="319" t="s">
        <v>614</v>
      </c>
      <c r="B340" s="202"/>
      <c r="C340" s="203" t="n">
        <v>0</v>
      </c>
      <c r="D340" s="203" t="n">
        <v>0</v>
      </c>
      <c r="E340" s="203" t="n">
        <v>0</v>
      </c>
      <c r="F340" s="203" t="n">
        <v>0</v>
      </c>
      <c r="G340" s="203" t="n">
        <v>0</v>
      </c>
      <c r="H340" s="203" t="n">
        <v>0</v>
      </c>
      <c r="I340" s="204" t="n">
        <v>0</v>
      </c>
      <c r="J340" s="57"/>
    </row>
    <row r="341" customFormat="false" ht="15" hidden="false" customHeight="false" outlineLevel="0" collapsed="false">
      <c r="A341" s="319" t="s">
        <v>615</v>
      </c>
      <c r="B341" s="202"/>
      <c r="C341" s="203" t="n">
        <v>0</v>
      </c>
      <c r="D341" s="203" t="n">
        <v>0</v>
      </c>
      <c r="E341" s="203" t="n">
        <v>0</v>
      </c>
      <c r="F341" s="203" t="n">
        <v>0</v>
      </c>
      <c r="G341" s="203" t="n">
        <v>0</v>
      </c>
      <c r="H341" s="203" t="n">
        <v>0</v>
      </c>
      <c r="I341" s="204" t="n">
        <v>0</v>
      </c>
      <c r="J341" s="57"/>
    </row>
    <row r="342" customFormat="false" ht="15" hidden="false" customHeight="false" outlineLevel="0" collapsed="false">
      <c r="A342" s="319" t="s">
        <v>616</v>
      </c>
      <c r="B342" s="202"/>
      <c r="C342" s="203" t="n">
        <v>0</v>
      </c>
      <c r="D342" s="203" t="n">
        <v>0</v>
      </c>
      <c r="E342" s="203" t="n">
        <v>0</v>
      </c>
      <c r="F342" s="203" t="n">
        <v>0</v>
      </c>
      <c r="G342" s="203" t="n">
        <v>0</v>
      </c>
      <c r="H342" s="203" t="n">
        <v>0</v>
      </c>
      <c r="I342" s="204" t="n">
        <v>0</v>
      </c>
      <c r="J342" s="57"/>
    </row>
    <row r="343" customFormat="false" ht="15" hidden="false" customHeight="false" outlineLevel="0" collapsed="false">
      <c r="A343" s="319" t="s">
        <v>617</v>
      </c>
      <c r="B343" s="202"/>
      <c r="C343" s="203" t="n">
        <v>0</v>
      </c>
      <c r="D343" s="203" t="n">
        <v>0</v>
      </c>
      <c r="E343" s="203" t="n">
        <v>0</v>
      </c>
      <c r="F343" s="203" t="n">
        <v>0</v>
      </c>
      <c r="G343" s="203" t="n">
        <v>0</v>
      </c>
      <c r="H343" s="203" t="n">
        <v>0</v>
      </c>
      <c r="I343" s="204" t="n">
        <v>0</v>
      </c>
      <c r="J343" s="57"/>
    </row>
    <row r="344" customFormat="false" ht="15" hidden="false" customHeight="false" outlineLevel="0" collapsed="false">
      <c r="A344" s="319" t="s">
        <v>618</v>
      </c>
      <c r="B344" s="202"/>
      <c r="C344" s="203" t="n">
        <v>0</v>
      </c>
      <c r="D344" s="203" t="n">
        <v>0</v>
      </c>
      <c r="E344" s="203" t="n">
        <v>0</v>
      </c>
      <c r="F344" s="203" t="n">
        <v>0</v>
      </c>
      <c r="G344" s="203" t="n">
        <v>0</v>
      </c>
      <c r="H344" s="203" t="n">
        <v>0</v>
      </c>
      <c r="I344" s="204" t="n">
        <v>0</v>
      </c>
      <c r="J344" s="57"/>
    </row>
    <row r="345" customFormat="false" ht="15" hidden="false" customHeight="false" outlineLevel="0" collapsed="false">
      <c r="A345" s="319" t="s">
        <v>619</v>
      </c>
      <c r="B345" s="202"/>
      <c r="C345" s="203" t="n">
        <v>0</v>
      </c>
      <c r="D345" s="203" t="n">
        <v>0</v>
      </c>
      <c r="E345" s="203" t="n">
        <v>0</v>
      </c>
      <c r="F345" s="203" t="n">
        <v>0</v>
      </c>
      <c r="G345" s="203" t="n">
        <v>0</v>
      </c>
      <c r="H345" s="203" t="n">
        <v>0</v>
      </c>
      <c r="I345" s="204" t="n">
        <v>0</v>
      </c>
      <c r="J345" s="57"/>
    </row>
    <row r="346" customFormat="false" ht="15" hidden="false" customHeight="false" outlineLevel="0" collapsed="false">
      <c r="A346" s="319" t="s">
        <v>620</v>
      </c>
      <c r="B346" s="202"/>
      <c r="C346" s="203" t="n">
        <v>0</v>
      </c>
      <c r="D346" s="203" t="n">
        <v>0</v>
      </c>
      <c r="E346" s="203" t="n">
        <v>0</v>
      </c>
      <c r="F346" s="203" t="n">
        <v>0</v>
      </c>
      <c r="G346" s="203" t="n">
        <v>0</v>
      </c>
      <c r="H346" s="203" t="n">
        <v>0</v>
      </c>
      <c r="I346" s="204" t="n">
        <v>0</v>
      </c>
      <c r="J346" s="57"/>
    </row>
    <row r="347" customFormat="false" ht="15" hidden="false" customHeight="false" outlineLevel="0" collapsed="false">
      <c r="A347" s="319" t="s">
        <v>621</v>
      </c>
      <c r="B347" s="202"/>
      <c r="C347" s="203" t="n">
        <v>0</v>
      </c>
      <c r="D347" s="203" t="n">
        <v>0</v>
      </c>
      <c r="E347" s="203" t="n">
        <v>0</v>
      </c>
      <c r="F347" s="203" t="n">
        <v>0</v>
      </c>
      <c r="G347" s="203" t="n">
        <v>0</v>
      </c>
      <c r="H347" s="203" t="n">
        <v>0</v>
      </c>
      <c r="I347" s="204" t="n">
        <v>0</v>
      </c>
      <c r="J347" s="57"/>
    </row>
    <row r="348" customFormat="false" ht="15" hidden="false" customHeight="false" outlineLevel="0" collapsed="false">
      <c r="A348" s="319" t="s">
        <v>622</v>
      </c>
      <c r="B348" s="202" t="s">
        <v>499</v>
      </c>
      <c r="C348" s="203" t="n">
        <v>0</v>
      </c>
      <c r="D348" s="203" t="n">
        <v>0</v>
      </c>
      <c r="E348" s="203" t="n">
        <v>0</v>
      </c>
      <c r="F348" s="203" t="n">
        <v>0</v>
      </c>
      <c r="G348" s="203" t="n">
        <v>0</v>
      </c>
      <c r="H348" s="203" t="n">
        <v>0</v>
      </c>
      <c r="I348" s="204" t="n">
        <v>0</v>
      </c>
      <c r="J348" s="57"/>
    </row>
    <row r="349" customFormat="false" ht="15" hidden="false" customHeight="false" outlineLevel="0" collapsed="false">
      <c r="A349" s="319" t="s">
        <v>623</v>
      </c>
      <c r="B349" s="202" t="s">
        <v>499</v>
      </c>
      <c r="C349" s="203" t="n">
        <v>0</v>
      </c>
      <c r="D349" s="203" t="n">
        <v>0</v>
      </c>
      <c r="E349" s="203" t="n">
        <v>0</v>
      </c>
      <c r="F349" s="203" t="n">
        <v>0</v>
      </c>
      <c r="G349" s="203" t="n">
        <v>0</v>
      </c>
      <c r="H349" s="203" t="n">
        <v>0</v>
      </c>
      <c r="I349" s="204" t="n">
        <v>0</v>
      </c>
      <c r="J349" s="57"/>
    </row>
    <row r="350" customFormat="false" ht="15" hidden="false" customHeight="false" outlineLevel="0" collapsed="false">
      <c r="A350" s="319" t="s">
        <v>624</v>
      </c>
      <c r="B350" s="202" t="s">
        <v>499</v>
      </c>
      <c r="C350" s="203" t="n">
        <v>0</v>
      </c>
      <c r="D350" s="203" t="n">
        <v>0</v>
      </c>
      <c r="E350" s="203" t="n">
        <v>0.00086013</v>
      </c>
      <c r="F350" s="203" t="n">
        <v>0.001453609</v>
      </c>
      <c r="G350" s="203" t="n">
        <v>0.002036738</v>
      </c>
      <c r="H350" s="203" t="n">
        <v>0.002500292</v>
      </c>
      <c r="I350" s="204" t="n">
        <v>0.002963845</v>
      </c>
      <c r="J350" s="57"/>
    </row>
    <row r="351" customFormat="false" ht="15" hidden="false" customHeight="false" outlineLevel="0" collapsed="false">
      <c r="A351" s="319" t="s">
        <v>625</v>
      </c>
      <c r="B351" s="202" t="s">
        <v>499</v>
      </c>
      <c r="C351" s="203" t="n">
        <v>0</v>
      </c>
      <c r="D351" s="203" t="n">
        <v>0</v>
      </c>
      <c r="E351" s="203" t="n">
        <v>0</v>
      </c>
      <c r="F351" s="203" t="n">
        <v>0</v>
      </c>
      <c r="G351" s="203" t="n">
        <v>0</v>
      </c>
      <c r="H351" s="203" t="n">
        <v>0</v>
      </c>
      <c r="I351" s="204" t="n">
        <v>0</v>
      </c>
      <c r="J351" s="57"/>
    </row>
    <row r="352" customFormat="false" ht="15" hidden="false" customHeight="false" outlineLevel="0" collapsed="false">
      <c r="A352" s="319" t="s">
        <v>626</v>
      </c>
      <c r="B352" s="202" t="s">
        <v>499</v>
      </c>
      <c r="C352" s="203" t="n">
        <v>0</v>
      </c>
      <c r="D352" s="203" t="n">
        <v>0</v>
      </c>
      <c r="E352" s="203" t="n">
        <v>0.00086013</v>
      </c>
      <c r="F352" s="203" t="n">
        <v>0.001453609</v>
      </c>
      <c r="G352" s="203" t="n">
        <v>0.002036738</v>
      </c>
      <c r="H352" s="203" t="n">
        <v>0.002500292</v>
      </c>
      <c r="I352" s="204" t="n">
        <v>0.002963845</v>
      </c>
      <c r="J352" s="57"/>
    </row>
    <row r="353" customFormat="false" ht="15" hidden="false" customHeight="false" outlineLevel="0" collapsed="false">
      <c r="A353" s="319" t="s">
        <v>627</v>
      </c>
      <c r="B353" s="202" t="s">
        <v>499</v>
      </c>
      <c r="C353" s="203" t="n">
        <v>0</v>
      </c>
      <c r="D353" s="203" t="n">
        <v>0</v>
      </c>
      <c r="E353" s="203" t="n">
        <v>0</v>
      </c>
      <c r="F353" s="203" t="n">
        <v>0</v>
      </c>
      <c r="G353" s="203" t="n">
        <v>0</v>
      </c>
      <c r="H353" s="203" t="n">
        <v>0</v>
      </c>
      <c r="I353" s="204" t="n">
        <v>0</v>
      </c>
      <c r="J353" s="57"/>
    </row>
    <row r="354" customFormat="false" ht="15" hidden="false" customHeight="false" outlineLevel="0" collapsed="false">
      <c r="A354" s="319" t="s">
        <v>628</v>
      </c>
      <c r="B354" s="202" t="s">
        <v>499</v>
      </c>
      <c r="C354" s="203" t="n">
        <v>0</v>
      </c>
      <c r="D354" s="203" t="n">
        <v>0</v>
      </c>
      <c r="E354" s="203" t="n">
        <v>0</v>
      </c>
      <c r="F354" s="203" t="n">
        <v>0</v>
      </c>
      <c r="G354" s="203" t="n">
        <v>0</v>
      </c>
      <c r="H354" s="203" t="n">
        <v>0</v>
      </c>
      <c r="I354" s="204" t="n">
        <v>0</v>
      </c>
      <c r="J354" s="57"/>
    </row>
    <row r="355" customFormat="false" ht="15" hidden="false" customHeight="false" outlineLevel="0" collapsed="false">
      <c r="A355" s="319" t="s">
        <v>629</v>
      </c>
      <c r="B355" s="202" t="s">
        <v>499</v>
      </c>
      <c r="C355" s="203" t="n">
        <v>0</v>
      </c>
      <c r="D355" s="203" t="n">
        <v>0</v>
      </c>
      <c r="E355" s="203" t="n">
        <v>0.001290195</v>
      </c>
      <c r="F355" s="203" t="n">
        <v>0.002180414</v>
      </c>
      <c r="G355" s="203" t="n">
        <v>0.003055107</v>
      </c>
      <c r="H355" s="203" t="n">
        <v>0.003750438</v>
      </c>
      <c r="I355" s="204" t="n">
        <v>0.004445768</v>
      </c>
      <c r="J355" s="57"/>
    </row>
    <row r="356" customFormat="false" ht="15" hidden="false" customHeight="false" outlineLevel="0" collapsed="false">
      <c r="A356" s="319" t="s">
        <v>630</v>
      </c>
      <c r="B356" s="202" t="s">
        <v>499</v>
      </c>
      <c r="C356" s="203" t="n">
        <v>0</v>
      </c>
      <c r="D356" s="203" t="n">
        <v>0</v>
      </c>
      <c r="E356" s="203" t="n">
        <v>0</v>
      </c>
      <c r="F356" s="203" t="n">
        <v>0</v>
      </c>
      <c r="G356" s="203" t="n">
        <v>0</v>
      </c>
      <c r="H356" s="203" t="n">
        <v>0</v>
      </c>
      <c r="I356" s="204" t="n">
        <v>0</v>
      </c>
      <c r="J356" s="57"/>
    </row>
    <row r="357" customFormat="false" ht="15" hidden="false" customHeight="false" outlineLevel="0" collapsed="false">
      <c r="A357" s="319" t="s">
        <v>631</v>
      </c>
      <c r="B357" s="202" t="s">
        <v>499</v>
      </c>
      <c r="C357" s="203" t="n">
        <v>0</v>
      </c>
      <c r="D357" s="203" t="n">
        <v>0</v>
      </c>
      <c r="E357" s="203" t="n">
        <v>0</v>
      </c>
      <c r="F357" s="203" t="n">
        <v>0</v>
      </c>
      <c r="G357" s="203" t="n">
        <v>0</v>
      </c>
      <c r="H357" s="203" t="n">
        <v>0</v>
      </c>
      <c r="I357" s="204" t="n">
        <v>0</v>
      </c>
      <c r="J357" s="57"/>
    </row>
    <row r="358" customFormat="false" ht="15" hidden="false" customHeight="false" outlineLevel="0" collapsed="false">
      <c r="A358" s="319" t="s">
        <v>632</v>
      </c>
      <c r="B358" s="202" t="s">
        <v>499</v>
      </c>
      <c r="C358" s="203" t="n">
        <v>0</v>
      </c>
      <c r="D358" s="203" t="n">
        <v>0</v>
      </c>
      <c r="E358" s="203" t="n">
        <v>0.001290195</v>
      </c>
      <c r="F358" s="203" t="n">
        <v>0.002180414</v>
      </c>
      <c r="G358" s="203" t="n">
        <v>0.003055107</v>
      </c>
      <c r="H358" s="203" t="n">
        <v>0.003750438</v>
      </c>
      <c r="I358" s="204" t="n">
        <v>0.004445768</v>
      </c>
      <c r="J358" s="57"/>
    </row>
    <row r="359" customFormat="false" ht="15" hidden="false" customHeight="false" outlineLevel="0" collapsed="false">
      <c r="A359" s="319" t="s">
        <v>633</v>
      </c>
      <c r="B359" s="202" t="s">
        <v>499</v>
      </c>
      <c r="C359" s="203" t="n">
        <v>0</v>
      </c>
      <c r="D359" s="203" t="n">
        <v>0</v>
      </c>
      <c r="E359" s="203" t="n">
        <v>0</v>
      </c>
      <c r="F359" s="203" t="n">
        <v>0</v>
      </c>
      <c r="G359" s="203" t="n">
        <v>0</v>
      </c>
      <c r="H359" s="203" t="n">
        <v>0</v>
      </c>
      <c r="I359" s="204" t="n">
        <v>0</v>
      </c>
      <c r="J359" s="57"/>
    </row>
    <row r="360" customFormat="false" ht="15" hidden="false" customHeight="false" outlineLevel="0" collapsed="false">
      <c r="A360" s="319" t="s">
        <v>634</v>
      </c>
      <c r="B360" s="202" t="s">
        <v>499</v>
      </c>
      <c r="C360" s="203" t="n">
        <v>0</v>
      </c>
      <c r="D360" s="203" t="n">
        <v>0</v>
      </c>
      <c r="E360" s="203" t="n">
        <v>0</v>
      </c>
      <c r="F360" s="203" t="n">
        <v>0</v>
      </c>
      <c r="G360" s="203" t="n">
        <v>0</v>
      </c>
      <c r="H360" s="203" t="n">
        <v>0</v>
      </c>
      <c r="I360" s="204" t="n">
        <v>0</v>
      </c>
      <c r="J360" s="57"/>
    </row>
    <row r="361" customFormat="false" ht="15" hidden="false" customHeight="false" outlineLevel="0" collapsed="false">
      <c r="A361" s="319" t="s">
        <v>635</v>
      </c>
      <c r="B361" s="202" t="s">
        <v>499</v>
      </c>
      <c r="C361" s="203" t="n">
        <v>0</v>
      </c>
      <c r="D361" s="203" t="n">
        <v>0</v>
      </c>
      <c r="E361" s="203" t="n">
        <v>0.00086013</v>
      </c>
      <c r="F361" s="203" t="n">
        <v>0.001453609</v>
      </c>
      <c r="G361" s="203" t="n">
        <v>0.002036738</v>
      </c>
      <c r="H361" s="203" t="n">
        <v>0.002500292</v>
      </c>
      <c r="I361" s="204" t="n">
        <v>0.002963845</v>
      </c>
      <c r="J361" s="57"/>
    </row>
    <row r="362" customFormat="false" ht="15" hidden="false" customHeight="false" outlineLevel="0" collapsed="false">
      <c r="A362" s="319" t="s">
        <v>636</v>
      </c>
      <c r="B362" s="202" t="s">
        <v>499</v>
      </c>
      <c r="C362" s="203" t="n">
        <v>0</v>
      </c>
      <c r="D362" s="203" t="n">
        <v>0</v>
      </c>
      <c r="E362" s="203" t="n">
        <v>0</v>
      </c>
      <c r="F362" s="203" t="n">
        <v>0</v>
      </c>
      <c r="G362" s="203" t="n">
        <v>0</v>
      </c>
      <c r="H362" s="203" t="n">
        <v>0</v>
      </c>
      <c r="I362" s="204" t="n">
        <v>0</v>
      </c>
      <c r="J362" s="57"/>
    </row>
    <row r="363" customFormat="false" ht="15" hidden="false" customHeight="false" outlineLevel="0" collapsed="false">
      <c r="A363" s="319" t="s">
        <v>637</v>
      </c>
      <c r="B363" s="202" t="s">
        <v>499</v>
      </c>
      <c r="C363" s="203" t="n">
        <v>0</v>
      </c>
      <c r="D363" s="203" t="n">
        <v>0</v>
      </c>
      <c r="E363" s="203" t="n">
        <v>0.000430065</v>
      </c>
      <c r="F363" s="203" t="n">
        <v>0.000726805</v>
      </c>
      <c r="G363" s="203" t="n">
        <v>0.001018369</v>
      </c>
      <c r="H363" s="203" t="n">
        <v>0.001250146</v>
      </c>
      <c r="I363" s="204" t="n">
        <v>0.001481923</v>
      </c>
      <c r="J363" s="57"/>
    </row>
    <row r="364" customFormat="false" ht="15" hidden="false" customHeight="false" outlineLevel="0" collapsed="false">
      <c r="A364" s="319" t="s">
        <v>638</v>
      </c>
      <c r="B364" s="202" t="s">
        <v>499</v>
      </c>
      <c r="C364" s="203" t="n">
        <v>0</v>
      </c>
      <c r="D364" s="203" t="n">
        <v>0</v>
      </c>
      <c r="E364" s="203" t="n">
        <v>0.001290195</v>
      </c>
      <c r="F364" s="203" t="n">
        <v>0.002180414</v>
      </c>
      <c r="G364" s="203" t="n">
        <v>0.003055107</v>
      </c>
      <c r="H364" s="203" t="n">
        <v>0.003750438</v>
      </c>
      <c r="I364" s="204" t="n">
        <v>0.004445768</v>
      </c>
      <c r="J364" s="57"/>
    </row>
    <row r="365" customFormat="false" ht="15" hidden="false" customHeight="false" outlineLevel="0" collapsed="false">
      <c r="A365" s="319" t="s">
        <v>639</v>
      </c>
      <c r="B365" s="202" t="s">
        <v>499</v>
      </c>
      <c r="C365" s="203" t="n">
        <v>0</v>
      </c>
      <c r="D365" s="203" t="n">
        <v>0</v>
      </c>
      <c r="E365" s="203" t="n">
        <v>0</v>
      </c>
      <c r="F365" s="203" t="n">
        <v>0</v>
      </c>
      <c r="G365" s="203" t="n">
        <v>0</v>
      </c>
      <c r="H365" s="203" t="n">
        <v>0</v>
      </c>
      <c r="I365" s="204" t="n">
        <v>0</v>
      </c>
      <c r="J365" s="57"/>
    </row>
    <row r="366" customFormat="false" ht="15" hidden="false" customHeight="false" outlineLevel="0" collapsed="false">
      <c r="A366" s="319" t="s">
        <v>640</v>
      </c>
      <c r="B366" s="202" t="s">
        <v>499</v>
      </c>
      <c r="C366" s="203" t="n">
        <v>0</v>
      </c>
      <c r="D366" s="203" t="n">
        <v>0</v>
      </c>
      <c r="E366" s="203" t="n">
        <v>0.00086013</v>
      </c>
      <c r="F366" s="203" t="n">
        <v>0.001453609</v>
      </c>
      <c r="G366" s="203" t="n">
        <v>0.002036738</v>
      </c>
      <c r="H366" s="203" t="n">
        <v>0.002500292</v>
      </c>
      <c r="I366" s="204" t="n">
        <v>0.002963845</v>
      </c>
      <c r="J366" s="57"/>
    </row>
    <row r="367" customFormat="false" ht="15" hidden="false" customHeight="false" outlineLevel="0" collapsed="false">
      <c r="A367" s="319" t="s">
        <v>641</v>
      </c>
      <c r="B367" s="202" t="s">
        <v>499</v>
      </c>
      <c r="C367" s="203" t="n">
        <v>0</v>
      </c>
      <c r="D367" s="203" t="n">
        <v>0</v>
      </c>
      <c r="E367" s="203" t="n">
        <v>0</v>
      </c>
      <c r="F367" s="203" t="n">
        <v>0</v>
      </c>
      <c r="G367" s="203" t="n">
        <v>0</v>
      </c>
      <c r="H367" s="203" t="n">
        <v>0</v>
      </c>
      <c r="I367" s="204" t="n">
        <v>0</v>
      </c>
      <c r="J367" s="57"/>
    </row>
    <row r="368" customFormat="false" ht="15" hidden="false" customHeight="false" outlineLevel="0" collapsed="false">
      <c r="A368" s="319" t="s">
        <v>642</v>
      </c>
      <c r="B368" s="202" t="s">
        <v>499</v>
      </c>
      <c r="C368" s="203" t="n">
        <v>0</v>
      </c>
      <c r="D368" s="203" t="n">
        <v>0</v>
      </c>
      <c r="E368" s="203" t="n">
        <v>0.00086013</v>
      </c>
      <c r="F368" s="203" t="n">
        <v>0.001453609</v>
      </c>
      <c r="G368" s="203" t="n">
        <v>0.002036738</v>
      </c>
      <c r="H368" s="203" t="n">
        <v>0.002500292</v>
      </c>
      <c r="I368" s="204" t="n">
        <v>0.002963845</v>
      </c>
      <c r="J368" s="57"/>
    </row>
    <row r="369" customFormat="false" ht="15" hidden="false" customHeight="false" outlineLevel="0" collapsed="false">
      <c r="A369" s="319" t="s">
        <v>643</v>
      </c>
      <c r="B369" s="202" t="s">
        <v>499</v>
      </c>
      <c r="C369" s="203" t="n">
        <v>0</v>
      </c>
      <c r="D369" s="203" t="n">
        <v>0</v>
      </c>
      <c r="E369" s="203" t="n">
        <v>0</v>
      </c>
      <c r="F369" s="203" t="n">
        <v>0</v>
      </c>
      <c r="G369" s="203" t="n">
        <v>0</v>
      </c>
      <c r="H369" s="203" t="n">
        <v>0</v>
      </c>
      <c r="I369" s="204" t="n">
        <v>0</v>
      </c>
      <c r="J369" s="57"/>
    </row>
    <row r="370" customFormat="false" ht="15" hidden="false" customHeight="false" outlineLevel="0" collapsed="false">
      <c r="A370" s="320" t="s">
        <v>667</v>
      </c>
      <c r="B370" s="321"/>
      <c r="C370" s="321"/>
      <c r="D370" s="321"/>
      <c r="E370" s="321"/>
      <c r="F370" s="321"/>
      <c r="G370" s="321"/>
      <c r="H370" s="322"/>
      <c r="I370" s="321"/>
      <c r="J370" s="57"/>
    </row>
    <row r="371" customFormat="false" ht="15" hidden="false" customHeight="false" outlineLevel="0" collapsed="false">
      <c r="A371" s="319" t="s">
        <v>580</v>
      </c>
      <c r="B371" s="202" t="s">
        <v>28</v>
      </c>
      <c r="C371" s="203" t="n">
        <v>0.189349112426035</v>
      </c>
      <c r="D371" s="203" t="n">
        <v>0.189349112426035</v>
      </c>
      <c r="E371" s="203" t="n">
        <v>0.189349112426035</v>
      </c>
      <c r="F371" s="203" t="n">
        <v>0.189349112426035</v>
      </c>
      <c r="G371" s="203" t="n">
        <v>0.189349112426035</v>
      </c>
      <c r="H371" s="203" t="n">
        <f aca="false">G371+(I371-G371)/2</f>
        <v>0.238653613804641</v>
      </c>
      <c r="I371" s="203" t="n">
        <v>0.287958115183246</v>
      </c>
      <c r="J371" s="57"/>
    </row>
    <row r="372" customFormat="false" ht="15" hidden="false" customHeight="false" outlineLevel="0" collapsed="false">
      <c r="A372" s="319" t="s">
        <v>597</v>
      </c>
      <c r="B372" s="202" t="s">
        <v>28</v>
      </c>
      <c r="C372" s="203" t="n">
        <v>0.189349112</v>
      </c>
      <c r="D372" s="203" t="n">
        <v>0.189349112</v>
      </c>
      <c r="E372" s="203" t="n">
        <v>0.189349112</v>
      </c>
      <c r="F372" s="203" t="n">
        <v>0.189349112</v>
      </c>
      <c r="G372" s="203" t="n">
        <v>0.189349112</v>
      </c>
      <c r="H372" s="203" t="n">
        <v>0.238653614</v>
      </c>
      <c r="I372" s="203" t="n">
        <v>0.287958115</v>
      </c>
      <c r="J372" s="57"/>
    </row>
    <row r="373" customFormat="false" ht="15" hidden="false" customHeight="false" outlineLevel="0" collapsed="false">
      <c r="A373" s="319" t="s">
        <v>598</v>
      </c>
      <c r="B373" s="202" t="s">
        <v>28</v>
      </c>
      <c r="C373" s="203" t="n">
        <v>0.189349112</v>
      </c>
      <c r="D373" s="203" t="n">
        <v>0.189349112</v>
      </c>
      <c r="E373" s="203" t="n">
        <v>0.189349112</v>
      </c>
      <c r="F373" s="203" t="n">
        <v>0.189349112</v>
      </c>
      <c r="G373" s="203" t="n">
        <v>0.189349112</v>
      </c>
      <c r="H373" s="203" t="n">
        <v>0.238653614</v>
      </c>
      <c r="I373" s="203" t="n">
        <v>0.287958115</v>
      </c>
      <c r="J373" s="57"/>
    </row>
    <row r="374" customFormat="false" ht="15" hidden="false" customHeight="false" outlineLevel="0" collapsed="false">
      <c r="A374" s="319" t="s">
        <v>599</v>
      </c>
      <c r="B374" s="202" t="s">
        <v>28</v>
      </c>
      <c r="C374" s="203" t="n">
        <v>0.189349112</v>
      </c>
      <c r="D374" s="203" t="n">
        <v>0.189349112</v>
      </c>
      <c r="E374" s="203" t="n">
        <v>0.189349112</v>
      </c>
      <c r="F374" s="203" t="n">
        <v>0.189349112</v>
      </c>
      <c r="G374" s="203" t="n">
        <v>0.189349112</v>
      </c>
      <c r="H374" s="203" t="n">
        <v>0.238653614</v>
      </c>
      <c r="I374" s="203" t="n">
        <v>0.287958115</v>
      </c>
      <c r="J374" s="57"/>
    </row>
    <row r="375" customFormat="false" ht="15" hidden="false" customHeight="false" outlineLevel="0" collapsed="false">
      <c r="A375" s="319" t="s">
        <v>600</v>
      </c>
      <c r="B375" s="202" t="s">
        <v>28</v>
      </c>
      <c r="C375" s="203" t="n">
        <v>0.189349112</v>
      </c>
      <c r="D375" s="203" t="n">
        <v>0.189349112</v>
      </c>
      <c r="E375" s="203" t="n">
        <v>0.189349112</v>
      </c>
      <c r="F375" s="203" t="n">
        <v>0.189349112</v>
      </c>
      <c r="G375" s="203" t="n">
        <v>0.189349112</v>
      </c>
      <c r="H375" s="203" t="n">
        <v>0.238653614</v>
      </c>
      <c r="I375" s="203" t="n">
        <v>0.287958115</v>
      </c>
      <c r="J375" s="57"/>
    </row>
    <row r="376" customFormat="false" ht="15" hidden="false" customHeight="false" outlineLevel="0" collapsed="false">
      <c r="A376" s="319" t="s">
        <v>601</v>
      </c>
      <c r="B376" s="202" t="s">
        <v>28</v>
      </c>
      <c r="C376" s="203" t="n">
        <v>0.189349112</v>
      </c>
      <c r="D376" s="203" t="n">
        <v>0.189349112</v>
      </c>
      <c r="E376" s="203" t="n">
        <v>0.189349112</v>
      </c>
      <c r="F376" s="203" t="n">
        <v>0.189349112</v>
      </c>
      <c r="G376" s="203" t="n">
        <v>0.189349112</v>
      </c>
      <c r="H376" s="203" t="n">
        <v>0.238653614</v>
      </c>
      <c r="I376" s="203" t="n">
        <v>0.287958115</v>
      </c>
      <c r="J376" s="57"/>
    </row>
    <row r="377" customFormat="false" ht="15" hidden="false" customHeight="false" outlineLevel="0" collapsed="false">
      <c r="A377" s="319" t="s">
        <v>602</v>
      </c>
      <c r="B377" s="202" t="s">
        <v>28</v>
      </c>
      <c r="C377" s="203" t="n">
        <v>0.189349112</v>
      </c>
      <c r="D377" s="203" t="n">
        <v>0.189349112</v>
      </c>
      <c r="E377" s="203" t="n">
        <v>0.189349112</v>
      </c>
      <c r="F377" s="203" t="n">
        <v>0.189349112</v>
      </c>
      <c r="G377" s="203" t="n">
        <v>0.189349112</v>
      </c>
      <c r="H377" s="203" t="n">
        <v>0.238653614</v>
      </c>
      <c r="I377" s="203" t="n">
        <v>0.287958115</v>
      </c>
      <c r="J377" s="57"/>
    </row>
    <row r="378" customFormat="false" ht="15" hidden="false" customHeight="false" outlineLevel="0" collapsed="false">
      <c r="A378" s="319" t="s">
        <v>603</v>
      </c>
      <c r="B378" s="202" t="s">
        <v>28</v>
      </c>
      <c r="C378" s="203" t="n">
        <v>0.189349112</v>
      </c>
      <c r="D378" s="203" t="n">
        <v>0.189349112</v>
      </c>
      <c r="E378" s="203" t="n">
        <v>0.189349112</v>
      </c>
      <c r="F378" s="203" t="n">
        <v>0.189349112</v>
      </c>
      <c r="G378" s="203" t="n">
        <v>0.189349112</v>
      </c>
      <c r="H378" s="203" t="n">
        <v>0.238653614</v>
      </c>
      <c r="I378" s="203" t="n">
        <v>0.287958115</v>
      </c>
      <c r="J378" s="57"/>
    </row>
    <row r="379" customFormat="false" ht="15" hidden="false" customHeight="false" outlineLevel="0" collapsed="false">
      <c r="A379" s="319" t="s">
        <v>354</v>
      </c>
      <c r="B379" s="202" t="s">
        <v>28</v>
      </c>
      <c r="C379" s="203" t="n">
        <v>0.189349112</v>
      </c>
      <c r="D379" s="203" t="n">
        <v>0.189349112</v>
      </c>
      <c r="E379" s="203" t="n">
        <v>0.189349112</v>
      </c>
      <c r="F379" s="203" t="n">
        <v>0.189349112</v>
      </c>
      <c r="G379" s="203" t="n">
        <v>0.189349112</v>
      </c>
      <c r="H379" s="203" t="n">
        <v>0.238653614</v>
      </c>
      <c r="I379" s="203" t="n">
        <v>0.287958115</v>
      </c>
      <c r="J379" s="57"/>
    </row>
    <row r="380" customFormat="false" ht="15" hidden="false" customHeight="false" outlineLevel="0" collapsed="false">
      <c r="A380" s="319" t="s">
        <v>369</v>
      </c>
      <c r="B380" s="202" t="s">
        <v>28</v>
      </c>
      <c r="C380" s="203" t="n">
        <v>0.189349112</v>
      </c>
      <c r="D380" s="203" t="n">
        <v>0.189349112</v>
      </c>
      <c r="E380" s="203" t="n">
        <v>0.189349112</v>
      </c>
      <c r="F380" s="203" t="n">
        <v>0.189349112</v>
      </c>
      <c r="G380" s="203" t="n">
        <v>0.189349112</v>
      </c>
      <c r="H380" s="203" t="n">
        <v>0.238653614</v>
      </c>
      <c r="I380" s="203" t="n">
        <v>0.287958115</v>
      </c>
      <c r="J380" s="57"/>
    </row>
    <row r="381" customFormat="false" ht="15" hidden="false" customHeight="false" outlineLevel="0" collapsed="false">
      <c r="A381" s="319" t="s">
        <v>604</v>
      </c>
      <c r="B381" s="202" t="s">
        <v>28</v>
      </c>
      <c r="C381" s="203" t="n">
        <v>0.189349112</v>
      </c>
      <c r="D381" s="203" t="n">
        <v>0.189349112</v>
      </c>
      <c r="E381" s="203" t="n">
        <v>0.189349112</v>
      </c>
      <c r="F381" s="203" t="n">
        <v>0.189349112</v>
      </c>
      <c r="G381" s="203" t="n">
        <v>0.189349112</v>
      </c>
      <c r="H381" s="203" t="n">
        <v>0.238653614</v>
      </c>
      <c r="I381" s="203" t="n">
        <v>0.287958115</v>
      </c>
      <c r="J381" s="57"/>
    </row>
    <row r="382" customFormat="false" ht="15" hidden="false" customHeight="false" outlineLevel="0" collapsed="false">
      <c r="A382" s="319" t="s">
        <v>605</v>
      </c>
      <c r="B382" s="202" t="s">
        <v>28</v>
      </c>
      <c r="C382" s="203" t="n">
        <v>0.189349112</v>
      </c>
      <c r="D382" s="203" t="n">
        <v>0.189349112</v>
      </c>
      <c r="E382" s="203" t="n">
        <v>0.189349112</v>
      </c>
      <c r="F382" s="203" t="n">
        <v>0.189349112</v>
      </c>
      <c r="G382" s="203" t="n">
        <v>0.189349112</v>
      </c>
      <c r="H382" s="203" t="n">
        <v>0.238653614</v>
      </c>
      <c r="I382" s="203" t="n">
        <v>0.287958115</v>
      </c>
      <c r="J382" s="57"/>
    </row>
    <row r="383" customFormat="false" ht="15" hidden="false" customHeight="false" outlineLevel="0" collapsed="false">
      <c r="A383" s="319" t="s">
        <v>606</v>
      </c>
      <c r="B383" s="202" t="s">
        <v>28</v>
      </c>
      <c r="C383" s="203" t="n">
        <v>0.189349112</v>
      </c>
      <c r="D383" s="203" t="n">
        <v>0.189349112</v>
      </c>
      <c r="E383" s="203" t="n">
        <v>0.189349112</v>
      </c>
      <c r="F383" s="203" t="n">
        <v>0.189349112</v>
      </c>
      <c r="G383" s="203" t="n">
        <v>0.189349112</v>
      </c>
      <c r="H383" s="203" t="n">
        <v>0.238653614</v>
      </c>
      <c r="I383" s="203" t="n">
        <v>0.287958115</v>
      </c>
      <c r="J383" s="57"/>
    </row>
    <row r="384" customFormat="false" ht="15" hidden="false" customHeight="false" outlineLevel="0" collapsed="false">
      <c r="A384" s="319" t="s">
        <v>607</v>
      </c>
      <c r="B384" s="202" t="s">
        <v>28</v>
      </c>
      <c r="C384" s="203" t="n">
        <v>0.189349112</v>
      </c>
      <c r="D384" s="203" t="n">
        <v>0.189349112</v>
      </c>
      <c r="E384" s="203" t="n">
        <v>0.189349112</v>
      </c>
      <c r="F384" s="203" t="n">
        <v>0.189349112</v>
      </c>
      <c r="G384" s="203" t="n">
        <v>0.189349112</v>
      </c>
      <c r="H384" s="203" t="n">
        <v>0.238653614</v>
      </c>
      <c r="I384" s="203" t="n">
        <v>0.287958115</v>
      </c>
      <c r="J384" s="57"/>
    </row>
    <row r="385" customFormat="false" ht="15" hidden="false" customHeight="false" outlineLevel="0" collapsed="false">
      <c r="A385" s="319" t="s">
        <v>608</v>
      </c>
      <c r="B385" s="202" t="s">
        <v>28</v>
      </c>
      <c r="C385" s="203" t="n">
        <v>0.189349112</v>
      </c>
      <c r="D385" s="203" t="n">
        <v>0.189349112</v>
      </c>
      <c r="E385" s="203" t="n">
        <v>0.189349112</v>
      </c>
      <c r="F385" s="203" t="n">
        <v>0.189349112</v>
      </c>
      <c r="G385" s="203" t="n">
        <v>0.189349112</v>
      </c>
      <c r="H385" s="203" t="n">
        <v>0.238653614</v>
      </c>
      <c r="I385" s="203" t="n">
        <v>0.287958115</v>
      </c>
      <c r="J385" s="57"/>
    </row>
    <row r="386" customFormat="false" ht="15" hidden="false" customHeight="false" outlineLevel="0" collapsed="false">
      <c r="A386" s="319" t="s">
        <v>609</v>
      </c>
      <c r="B386" s="202" t="s">
        <v>28</v>
      </c>
      <c r="C386" s="203" t="n">
        <v>0.189349112</v>
      </c>
      <c r="D386" s="203" t="n">
        <v>0.189349112</v>
      </c>
      <c r="E386" s="203" t="n">
        <v>0.189349112</v>
      </c>
      <c r="F386" s="203" t="n">
        <v>0.189349112</v>
      </c>
      <c r="G386" s="203" t="n">
        <v>0.189349112</v>
      </c>
      <c r="H386" s="203" t="n">
        <v>0.238653614</v>
      </c>
      <c r="I386" s="203" t="n">
        <v>0.287958115</v>
      </c>
      <c r="J386" s="57"/>
    </row>
    <row r="387" customFormat="false" ht="15" hidden="false" customHeight="false" outlineLevel="0" collapsed="false">
      <c r="A387" s="319" t="s">
        <v>610</v>
      </c>
      <c r="B387" s="202" t="s">
        <v>28</v>
      </c>
      <c r="C387" s="203" t="n">
        <v>0.189349112</v>
      </c>
      <c r="D387" s="203" t="n">
        <v>0.189349112</v>
      </c>
      <c r="E387" s="203" t="n">
        <v>0.189349112</v>
      </c>
      <c r="F387" s="203" t="n">
        <v>0.189349112</v>
      </c>
      <c r="G387" s="203" t="n">
        <v>0.189349112</v>
      </c>
      <c r="H387" s="203" t="n">
        <v>0.238653614</v>
      </c>
      <c r="I387" s="203" t="n">
        <v>0.287958115</v>
      </c>
      <c r="J387" s="57"/>
    </row>
    <row r="388" customFormat="false" ht="15" hidden="false" customHeight="false" outlineLevel="0" collapsed="false">
      <c r="A388" s="319" t="s">
        <v>611</v>
      </c>
      <c r="B388" s="202" t="s">
        <v>28</v>
      </c>
      <c r="C388" s="203" t="n">
        <v>0.189349112</v>
      </c>
      <c r="D388" s="203" t="n">
        <v>0.189349112</v>
      </c>
      <c r="E388" s="203" t="n">
        <v>0.189349112</v>
      </c>
      <c r="F388" s="203" t="n">
        <v>0.189349112</v>
      </c>
      <c r="G388" s="203" t="n">
        <v>0.189349112</v>
      </c>
      <c r="H388" s="203" t="n">
        <v>0.238653614</v>
      </c>
      <c r="I388" s="203" t="n">
        <v>0.287958115</v>
      </c>
      <c r="J388" s="57"/>
    </row>
    <row r="389" customFormat="false" ht="15" hidden="false" customHeight="false" outlineLevel="0" collapsed="false">
      <c r="A389" s="319" t="s">
        <v>612</v>
      </c>
      <c r="B389" s="202" t="s">
        <v>28</v>
      </c>
      <c r="C389" s="203" t="n">
        <v>0.189349112</v>
      </c>
      <c r="D389" s="203" t="n">
        <v>0.189349112</v>
      </c>
      <c r="E389" s="203" t="n">
        <v>0.189349112</v>
      </c>
      <c r="F389" s="203" t="n">
        <v>0.189349112</v>
      </c>
      <c r="G389" s="203" t="n">
        <v>0.189349112</v>
      </c>
      <c r="H389" s="203" t="n">
        <v>0.238653614</v>
      </c>
      <c r="I389" s="203" t="n">
        <v>0.287958115</v>
      </c>
      <c r="J389" s="57"/>
    </row>
    <row r="390" customFormat="false" ht="15" hidden="false" customHeight="false" outlineLevel="0" collapsed="false">
      <c r="A390" s="319" t="s">
        <v>613</v>
      </c>
      <c r="B390" s="202" t="s">
        <v>28</v>
      </c>
      <c r="C390" s="203" t="n">
        <v>0.189349112</v>
      </c>
      <c r="D390" s="203" t="n">
        <v>0.189349112</v>
      </c>
      <c r="E390" s="203" t="n">
        <v>0.189349112</v>
      </c>
      <c r="F390" s="203" t="n">
        <v>0.189349112</v>
      </c>
      <c r="G390" s="203" t="n">
        <v>0.189349112</v>
      </c>
      <c r="H390" s="203" t="n">
        <v>0.238653614</v>
      </c>
      <c r="I390" s="203" t="n">
        <v>0.287958115</v>
      </c>
      <c r="J390" s="57"/>
    </row>
    <row r="391" customFormat="false" ht="15" hidden="false" customHeight="false" outlineLevel="0" collapsed="false">
      <c r="A391" s="319" t="s">
        <v>614</v>
      </c>
      <c r="B391" s="202" t="s">
        <v>28</v>
      </c>
      <c r="C391" s="203" t="n">
        <v>0.189349112</v>
      </c>
      <c r="D391" s="203" t="n">
        <v>0.189349112</v>
      </c>
      <c r="E391" s="203" t="n">
        <v>0.189349112</v>
      </c>
      <c r="F391" s="203" t="n">
        <v>0.189349112</v>
      </c>
      <c r="G391" s="203" t="n">
        <v>0.189349112</v>
      </c>
      <c r="H391" s="203" t="n">
        <v>0.238653614</v>
      </c>
      <c r="I391" s="203" t="n">
        <v>0.287958115</v>
      </c>
      <c r="J391" s="57"/>
    </row>
    <row r="392" customFormat="false" ht="15" hidden="false" customHeight="false" outlineLevel="0" collapsed="false">
      <c r="A392" s="319" t="s">
        <v>615</v>
      </c>
      <c r="B392" s="202" t="s">
        <v>28</v>
      </c>
      <c r="C392" s="203" t="n">
        <v>0.189349112</v>
      </c>
      <c r="D392" s="203" t="n">
        <v>0.189349112</v>
      </c>
      <c r="E392" s="203" t="n">
        <v>0.189349112</v>
      </c>
      <c r="F392" s="203" t="n">
        <v>0.189349112</v>
      </c>
      <c r="G392" s="203" t="n">
        <v>0.189349112</v>
      </c>
      <c r="H392" s="203" t="n">
        <v>0.238653614</v>
      </c>
      <c r="I392" s="203" t="n">
        <v>0.287958115</v>
      </c>
      <c r="J392" s="57"/>
    </row>
    <row r="393" customFormat="false" ht="15" hidden="false" customHeight="false" outlineLevel="0" collapsed="false">
      <c r="A393" s="319" t="s">
        <v>616</v>
      </c>
      <c r="B393" s="202" t="s">
        <v>28</v>
      </c>
      <c r="C393" s="203" t="n">
        <v>0.189349112</v>
      </c>
      <c r="D393" s="203" t="n">
        <v>0.189349112</v>
      </c>
      <c r="E393" s="203" t="n">
        <v>0.189349112</v>
      </c>
      <c r="F393" s="203" t="n">
        <v>0.189349112</v>
      </c>
      <c r="G393" s="203" t="n">
        <v>0.189349112</v>
      </c>
      <c r="H393" s="203" t="n">
        <v>0.238653614</v>
      </c>
      <c r="I393" s="203" t="n">
        <v>0.287958115</v>
      </c>
      <c r="J393" s="57"/>
    </row>
    <row r="394" customFormat="false" ht="15" hidden="false" customHeight="false" outlineLevel="0" collapsed="false">
      <c r="A394" s="319" t="s">
        <v>617</v>
      </c>
      <c r="B394" s="202" t="s">
        <v>28</v>
      </c>
      <c r="C394" s="203" t="n">
        <v>0.189349112</v>
      </c>
      <c r="D394" s="203" t="n">
        <v>0.189349112</v>
      </c>
      <c r="E394" s="203" t="n">
        <v>0.189349112</v>
      </c>
      <c r="F394" s="203" t="n">
        <v>0.189349112</v>
      </c>
      <c r="G394" s="203" t="n">
        <v>0.189349112</v>
      </c>
      <c r="H394" s="203" t="n">
        <v>0.238653614</v>
      </c>
      <c r="I394" s="203" t="n">
        <v>0.287958115</v>
      </c>
      <c r="J394" s="57"/>
    </row>
    <row r="395" customFormat="false" ht="15" hidden="false" customHeight="false" outlineLevel="0" collapsed="false">
      <c r="A395" s="319" t="s">
        <v>618</v>
      </c>
      <c r="B395" s="202" t="s">
        <v>28</v>
      </c>
      <c r="C395" s="203" t="n">
        <v>0.189349112</v>
      </c>
      <c r="D395" s="203" t="n">
        <v>0.189349112</v>
      </c>
      <c r="E395" s="203" t="n">
        <v>0.189349112</v>
      </c>
      <c r="F395" s="203" t="n">
        <v>0.189349112</v>
      </c>
      <c r="G395" s="203" t="n">
        <v>0.189349112</v>
      </c>
      <c r="H395" s="203" t="n">
        <v>0.238653614</v>
      </c>
      <c r="I395" s="203" t="n">
        <v>0.287958115</v>
      </c>
      <c r="J395" s="57"/>
    </row>
    <row r="396" customFormat="false" ht="15" hidden="false" customHeight="false" outlineLevel="0" collapsed="false">
      <c r="A396" s="319" t="s">
        <v>619</v>
      </c>
      <c r="B396" s="202" t="s">
        <v>28</v>
      </c>
      <c r="C396" s="203" t="n">
        <v>0.189349112</v>
      </c>
      <c r="D396" s="203" t="n">
        <v>0.189349112</v>
      </c>
      <c r="E396" s="203" t="n">
        <v>0.189349112</v>
      </c>
      <c r="F396" s="203" t="n">
        <v>0.189349112</v>
      </c>
      <c r="G396" s="203" t="n">
        <v>0.189349112</v>
      </c>
      <c r="H396" s="203" t="n">
        <v>0.238653614</v>
      </c>
      <c r="I396" s="203" t="n">
        <v>0.287958115</v>
      </c>
      <c r="J396" s="57"/>
    </row>
    <row r="397" customFormat="false" ht="15" hidden="false" customHeight="false" outlineLevel="0" collapsed="false">
      <c r="A397" s="319" t="s">
        <v>620</v>
      </c>
      <c r="B397" s="202" t="s">
        <v>28</v>
      </c>
      <c r="C397" s="203" t="n">
        <v>0.189349112</v>
      </c>
      <c r="D397" s="203" t="n">
        <v>0.189349112</v>
      </c>
      <c r="E397" s="203" t="n">
        <v>0.189349112</v>
      </c>
      <c r="F397" s="203" t="n">
        <v>0.189349112</v>
      </c>
      <c r="G397" s="203" t="n">
        <v>0.189349112</v>
      </c>
      <c r="H397" s="203" t="n">
        <v>0.238653614</v>
      </c>
      <c r="I397" s="203" t="n">
        <v>0.287958115</v>
      </c>
      <c r="J397" s="57"/>
    </row>
    <row r="398" customFormat="false" ht="15" hidden="false" customHeight="false" outlineLevel="0" collapsed="false">
      <c r="A398" s="319" t="s">
        <v>621</v>
      </c>
      <c r="B398" s="202" t="s">
        <v>28</v>
      </c>
      <c r="C398" s="203" t="n">
        <v>0.189349112</v>
      </c>
      <c r="D398" s="203" t="n">
        <v>0.189349112</v>
      </c>
      <c r="E398" s="203" t="n">
        <v>0.189349112</v>
      </c>
      <c r="F398" s="203" t="n">
        <v>0.189349112</v>
      </c>
      <c r="G398" s="203" t="n">
        <v>0.189349112</v>
      </c>
      <c r="H398" s="203" t="n">
        <v>0.238653614</v>
      </c>
      <c r="I398" s="203" t="n">
        <v>0.287958115</v>
      </c>
      <c r="J398" s="57"/>
    </row>
    <row r="399" customFormat="false" ht="15" hidden="false" customHeight="false" outlineLevel="0" collapsed="false">
      <c r="A399" s="319" t="s">
        <v>622</v>
      </c>
      <c r="B399" s="202" t="s">
        <v>28</v>
      </c>
      <c r="C399" s="203" t="n">
        <v>0.189349112</v>
      </c>
      <c r="D399" s="203" t="n">
        <v>0.189349112</v>
      </c>
      <c r="E399" s="203" t="n">
        <v>0.189349112</v>
      </c>
      <c r="F399" s="203" t="n">
        <v>0.189349112</v>
      </c>
      <c r="G399" s="203" t="n">
        <v>0.189349112</v>
      </c>
      <c r="H399" s="203" t="n">
        <v>0.238653614</v>
      </c>
      <c r="I399" s="203" t="n">
        <v>0.287958115</v>
      </c>
      <c r="J399" s="57"/>
    </row>
    <row r="400" customFormat="false" ht="15" hidden="false" customHeight="false" outlineLevel="0" collapsed="false">
      <c r="A400" s="319" t="s">
        <v>623</v>
      </c>
      <c r="B400" s="202" t="s">
        <v>28</v>
      </c>
      <c r="C400" s="203" t="n">
        <v>0.189349112</v>
      </c>
      <c r="D400" s="203" t="n">
        <v>0.189349112</v>
      </c>
      <c r="E400" s="203" t="n">
        <v>0.189349112</v>
      </c>
      <c r="F400" s="203" t="n">
        <v>0.189349112</v>
      </c>
      <c r="G400" s="203" t="n">
        <v>0.189349112</v>
      </c>
      <c r="H400" s="203" t="n">
        <v>0.238653614</v>
      </c>
      <c r="I400" s="203" t="n">
        <v>0.287958115</v>
      </c>
      <c r="J400" s="57"/>
    </row>
    <row r="401" customFormat="false" ht="15" hidden="false" customHeight="false" outlineLevel="0" collapsed="false">
      <c r="A401" s="319" t="s">
        <v>624</v>
      </c>
      <c r="B401" s="202" t="s">
        <v>28</v>
      </c>
      <c r="C401" s="203" t="n">
        <v>0.189349112</v>
      </c>
      <c r="D401" s="203" t="n">
        <v>0.189349112</v>
      </c>
      <c r="E401" s="203" t="n">
        <v>0.189349112</v>
      </c>
      <c r="F401" s="203" t="n">
        <v>0.189349112</v>
      </c>
      <c r="G401" s="203" t="n">
        <v>0.189349112</v>
      </c>
      <c r="H401" s="203" t="n">
        <v>0.238653614</v>
      </c>
      <c r="I401" s="203" t="n">
        <v>0.287958115</v>
      </c>
      <c r="J401" s="57"/>
    </row>
    <row r="402" customFormat="false" ht="15" hidden="false" customHeight="false" outlineLevel="0" collapsed="false">
      <c r="A402" s="319" t="s">
        <v>625</v>
      </c>
      <c r="B402" s="202" t="s">
        <v>28</v>
      </c>
      <c r="C402" s="203" t="n">
        <v>0.189349112</v>
      </c>
      <c r="D402" s="203" t="n">
        <v>0.189349112</v>
      </c>
      <c r="E402" s="203" t="n">
        <v>0.189349112</v>
      </c>
      <c r="F402" s="203" t="n">
        <v>0.189349112</v>
      </c>
      <c r="G402" s="203" t="n">
        <v>0.189349112</v>
      </c>
      <c r="H402" s="203" t="n">
        <v>0.238653614</v>
      </c>
      <c r="I402" s="203" t="n">
        <v>0.287958115</v>
      </c>
      <c r="J402" s="57"/>
    </row>
    <row r="403" customFormat="false" ht="15" hidden="false" customHeight="false" outlineLevel="0" collapsed="false">
      <c r="A403" s="319" t="s">
        <v>626</v>
      </c>
      <c r="B403" s="202" t="s">
        <v>28</v>
      </c>
      <c r="C403" s="203" t="n">
        <v>0.189349112</v>
      </c>
      <c r="D403" s="203" t="n">
        <v>0.189349112</v>
      </c>
      <c r="E403" s="203" t="n">
        <v>0.189349112</v>
      </c>
      <c r="F403" s="203" t="n">
        <v>0.189349112</v>
      </c>
      <c r="G403" s="203" t="n">
        <v>0.189349112</v>
      </c>
      <c r="H403" s="203" t="n">
        <v>0.238653614</v>
      </c>
      <c r="I403" s="203" t="n">
        <v>0.287958115</v>
      </c>
      <c r="J403" s="57"/>
    </row>
    <row r="404" customFormat="false" ht="15" hidden="false" customHeight="false" outlineLevel="0" collapsed="false">
      <c r="A404" s="319" t="s">
        <v>627</v>
      </c>
      <c r="B404" s="202" t="s">
        <v>28</v>
      </c>
      <c r="C404" s="203" t="n">
        <v>0.189349112</v>
      </c>
      <c r="D404" s="203" t="n">
        <v>0.189349112</v>
      </c>
      <c r="E404" s="203" t="n">
        <v>0.189349112</v>
      </c>
      <c r="F404" s="203" t="n">
        <v>0.189349112</v>
      </c>
      <c r="G404" s="203" t="n">
        <v>0.189349112</v>
      </c>
      <c r="H404" s="203" t="n">
        <v>0.238653614</v>
      </c>
      <c r="I404" s="203" t="n">
        <v>0.287958115</v>
      </c>
      <c r="J404" s="57"/>
    </row>
    <row r="405" customFormat="false" ht="15" hidden="false" customHeight="false" outlineLevel="0" collapsed="false">
      <c r="A405" s="319" t="s">
        <v>628</v>
      </c>
      <c r="B405" s="202" t="s">
        <v>28</v>
      </c>
      <c r="C405" s="203" t="n">
        <v>0.189349112</v>
      </c>
      <c r="D405" s="203" t="n">
        <v>0.189349112</v>
      </c>
      <c r="E405" s="203" t="n">
        <v>0.189349112</v>
      </c>
      <c r="F405" s="203" t="n">
        <v>0.189349112</v>
      </c>
      <c r="G405" s="203" t="n">
        <v>0.189349112</v>
      </c>
      <c r="H405" s="203" t="n">
        <v>0.238653614</v>
      </c>
      <c r="I405" s="203" t="n">
        <v>0.287958115</v>
      </c>
      <c r="J405" s="57"/>
    </row>
    <row r="406" customFormat="false" ht="15" hidden="false" customHeight="false" outlineLevel="0" collapsed="false">
      <c r="A406" s="319" t="s">
        <v>629</v>
      </c>
      <c r="B406" s="202" t="s">
        <v>28</v>
      </c>
      <c r="C406" s="203" t="n">
        <v>0.189349112</v>
      </c>
      <c r="D406" s="203" t="n">
        <v>0.189349112</v>
      </c>
      <c r="E406" s="203" t="n">
        <v>0.189349112</v>
      </c>
      <c r="F406" s="203" t="n">
        <v>0.189349112</v>
      </c>
      <c r="G406" s="203" t="n">
        <v>0.189349112</v>
      </c>
      <c r="H406" s="203" t="n">
        <v>0.238653614</v>
      </c>
      <c r="I406" s="203" t="n">
        <v>0.287958115</v>
      </c>
      <c r="J406" s="57"/>
    </row>
    <row r="407" customFormat="false" ht="15" hidden="false" customHeight="false" outlineLevel="0" collapsed="false">
      <c r="A407" s="319" t="s">
        <v>630</v>
      </c>
      <c r="B407" s="202" t="s">
        <v>28</v>
      </c>
      <c r="C407" s="203" t="n">
        <v>0.189349112</v>
      </c>
      <c r="D407" s="203" t="n">
        <v>0.189349112</v>
      </c>
      <c r="E407" s="203" t="n">
        <v>0.189349112</v>
      </c>
      <c r="F407" s="203" t="n">
        <v>0.189349112</v>
      </c>
      <c r="G407" s="203" t="n">
        <v>0.189349112</v>
      </c>
      <c r="H407" s="203" t="n">
        <v>0.238653614</v>
      </c>
      <c r="I407" s="203" t="n">
        <v>0.287958115</v>
      </c>
      <c r="J407" s="57"/>
    </row>
    <row r="408" customFormat="false" ht="15" hidden="false" customHeight="false" outlineLevel="0" collapsed="false">
      <c r="A408" s="319" t="s">
        <v>631</v>
      </c>
      <c r="B408" s="202" t="s">
        <v>28</v>
      </c>
      <c r="C408" s="203" t="n">
        <v>0.189349112</v>
      </c>
      <c r="D408" s="203" t="n">
        <v>0.189349112</v>
      </c>
      <c r="E408" s="203" t="n">
        <v>0.189349112</v>
      </c>
      <c r="F408" s="203" t="n">
        <v>0.189349112</v>
      </c>
      <c r="G408" s="203" t="n">
        <v>0.189349112</v>
      </c>
      <c r="H408" s="203" t="n">
        <v>0.238653614</v>
      </c>
      <c r="I408" s="203" t="n">
        <v>0.287958115</v>
      </c>
      <c r="J408" s="57"/>
    </row>
    <row r="409" customFormat="false" ht="15" hidden="false" customHeight="false" outlineLevel="0" collapsed="false">
      <c r="A409" s="319" t="s">
        <v>632</v>
      </c>
      <c r="B409" s="202" t="s">
        <v>28</v>
      </c>
      <c r="C409" s="203" t="n">
        <v>0.189349112</v>
      </c>
      <c r="D409" s="203" t="n">
        <v>0.189349112</v>
      </c>
      <c r="E409" s="203" t="n">
        <v>0.189349112</v>
      </c>
      <c r="F409" s="203" t="n">
        <v>0.189349112</v>
      </c>
      <c r="G409" s="203" t="n">
        <v>0.189349112</v>
      </c>
      <c r="H409" s="203" t="n">
        <v>0.238653614</v>
      </c>
      <c r="I409" s="203" t="n">
        <v>0.287958115</v>
      </c>
      <c r="J409" s="57"/>
    </row>
    <row r="410" customFormat="false" ht="15" hidden="false" customHeight="false" outlineLevel="0" collapsed="false">
      <c r="A410" s="319" t="s">
        <v>633</v>
      </c>
      <c r="B410" s="202" t="s">
        <v>28</v>
      </c>
      <c r="C410" s="203" t="n">
        <v>0.189349112</v>
      </c>
      <c r="D410" s="203" t="n">
        <v>0.189349112</v>
      </c>
      <c r="E410" s="203" t="n">
        <v>0.189349112</v>
      </c>
      <c r="F410" s="203" t="n">
        <v>0.189349112</v>
      </c>
      <c r="G410" s="203" t="n">
        <v>0.189349112</v>
      </c>
      <c r="H410" s="203" t="n">
        <v>0.238653614</v>
      </c>
      <c r="I410" s="203" t="n">
        <v>0.287958115</v>
      </c>
      <c r="J410" s="57"/>
    </row>
    <row r="411" customFormat="false" ht="15" hidden="false" customHeight="false" outlineLevel="0" collapsed="false">
      <c r="A411" s="319" t="s">
        <v>634</v>
      </c>
      <c r="B411" s="202" t="s">
        <v>28</v>
      </c>
      <c r="C411" s="203" t="n">
        <v>0.189349112</v>
      </c>
      <c r="D411" s="203" t="n">
        <v>0.189349112</v>
      </c>
      <c r="E411" s="203" t="n">
        <v>0.189349112</v>
      </c>
      <c r="F411" s="203" t="n">
        <v>0.189349112</v>
      </c>
      <c r="G411" s="203" t="n">
        <v>0.189349112</v>
      </c>
      <c r="H411" s="203" t="n">
        <v>0.238653614</v>
      </c>
      <c r="I411" s="203" t="n">
        <v>0.287958115</v>
      </c>
      <c r="J411" s="57"/>
    </row>
    <row r="412" customFormat="false" ht="15" hidden="false" customHeight="false" outlineLevel="0" collapsed="false">
      <c r="A412" s="319" t="s">
        <v>635</v>
      </c>
      <c r="B412" s="202" t="s">
        <v>28</v>
      </c>
      <c r="C412" s="203" t="n">
        <v>0.189349112</v>
      </c>
      <c r="D412" s="203" t="n">
        <v>0.189349112</v>
      </c>
      <c r="E412" s="203" t="n">
        <v>0.189349112</v>
      </c>
      <c r="F412" s="203" t="n">
        <v>0.189349112</v>
      </c>
      <c r="G412" s="203" t="n">
        <v>0.189349112</v>
      </c>
      <c r="H412" s="203" t="n">
        <v>0.238653614</v>
      </c>
      <c r="I412" s="203" t="n">
        <v>0.287958115</v>
      </c>
      <c r="J412" s="57"/>
    </row>
    <row r="413" customFormat="false" ht="15" hidden="false" customHeight="false" outlineLevel="0" collapsed="false">
      <c r="A413" s="319" t="s">
        <v>636</v>
      </c>
      <c r="B413" s="202" t="s">
        <v>28</v>
      </c>
      <c r="C413" s="203" t="n">
        <v>0.189349112</v>
      </c>
      <c r="D413" s="203" t="n">
        <v>0.189349112</v>
      </c>
      <c r="E413" s="203" t="n">
        <v>0.189349112</v>
      </c>
      <c r="F413" s="203" t="n">
        <v>0.189349112</v>
      </c>
      <c r="G413" s="203" t="n">
        <v>0.189349112</v>
      </c>
      <c r="H413" s="203" t="n">
        <v>0.238653614</v>
      </c>
      <c r="I413" s="203" t="n">
        <v>0.287958115</v>
      </c>
      <c r="J413" s="57"/>
    </row>
    <row r="414" customFormat="false" ht="15" hidden="false" customHeight="false" outlineLevel="0" collapsed="false">
      <c r="A414" s="319" t="s">
        <v>637</v>
      </c>
      <c r="B414" s="202" t="s">
        <v>28</v>
      </c>
      <c r="C414" s="203" t="n">
        <v>0.189349112</v>
      </c>
      <c r="D414" s="203" t="n">
        <v>0.189349112</v>
      </c>
      <c r="E414" s="203" t="n">
        <v>0.189349112</v>
      </c>
      <c r="F414" s="203" t="n">
        <v>0.189349112</v>
      </c>
      <c r="G414" s="203" t="n">
        <v>0.189349112</v>
      </c>
      <c r="H414" s="203" t="n">
        <v>0.169674556</v>
      </c>
      <c r="I414" s="203" t="n">
        <v>0.15</v>
      </c>
      <c r="J414" s="57"/>
    </row>
    <row r="415" customFormat="false" ht="15" hidden="false" customHeight="false" outlineLevel="0" collapsed="false">
      <c r="A415" s="319" t="s">
        <v>638</v>
      </c>
      <c r="B415" s="202" t="s">
        <v>28</v>
      </c>
      <c r="C415" s="203" t="n">
        <v>0.189349112</v>
      </c>
      <c r="D415" s="203" t="n">
        <v>0.189349112</v>
      </c>
      <c r="E415" s="203" t="n">
        <v>0.189349112</v>
      </c>
      <c r="F415" s="203" t="n">
        <v>0.189349112</v>
      </c>
      <c r="G415" s="203" t="n">
        <v>0.189349112</v>
      </c>
      <c r="H415" s="203" t="n">
        <v>0.169674556</v>
      </c>
      <c r="I415" s="203" t="n">
        <v>0.15</v>
      </c>
      <c r="J415" s="57"/>
    </row>
    <row r="416" customFormat="false" ht="15" hidden="false" customHeight="false" outlineLevel="0" collapsed="false">
      <c r="A416" s="319" t="s">
        <v>639</v>
      </c>
      <c r="B416" s="202" t="s">
        <v>28</v>
      </c>
      <c r="C416" s="203" t="n">
        <v>0.189349112</v>
      </c>
      <c r="D416" s="203" t="n">
        <v>0.189349112</v>
      </c>
      <c r="E416" s="203" t="n">
        <v>0.189349112</v>
      </c>
      <c r="F416" s="203" t="n">
        <v>0.189349112</v>
      </c>
      <c r="G416" s="203" t="n">
        <v>0.189349112</v>
      </c>
      <c r="H416" s="203" t="n">
        <v>0.169674556</v>
      </c>
      <c r="I416" s="203" t="n">
        <v>0.15</v>
      </c>
      <c r="J416" s="57"/>
    </row>
    <row r="417" customFormat="false" ht="15" hidden="false" customHeight="false" outlineLevel="0" collapsed="false">
      <c r="A417" s="319" t="s">
        <v>640</v>
      </c>
      <c r="B417" s="202" t="s">
        <v>28</v>
      </c>
      <c r="C417" s="203" t="n">
        <v>0.189349112</v>
      </c>
      <c r="D417" s="203" t="n">
        <v>0.189349112</v>
      </c>
      <c r="E417" s="203" t="n">
        <v>0.189349112</v>
      </c>
      <c r="F417" s="203" t="n">
        <v>0.189349112</v>
      </c>
      <c r="G417" s="203" t="n">
        <v>0.189349112</v>
      </c>
      <c r="H417" s="203" t="n">
        <v>0.169674556</v>
      </c>
      <c r="I417" s="203" t="n">
        <v>0.15</v>
      </c>
      <c r="J417" s="57"/>
    </row>
    <row r="418" customFormat="false" ht="15" hidden="false" customHeight="false" outlineLevel="0" collapsed="false">
      <c r="A418" s="319" t="s">
        <v>641</v>
      </c>
      <c r="B418" s="202" t="s">
        <v>28</v>
      </c>
      <c r="C418" s="203" t="n">
        <v>0.189349112</v>
      </c>
      <c r="D418" s="203" t="n">
        <v>0.189349112</v>
      </c>
      <c r="E418" s="203" t="n">
        <v>0.189349112</v>
      </c>
      <c r="F418" s="203" t="n">
        <v>0.189349112</v>
      </c>
      <c r="G418" s="203" t="n">
        <v>0.189349112</v>
      </c>
      <c r="H418" s="203" t="n">
        <v>0.169674556</v>
      </c>
      <c r="I418" s="203" t="n">
        <v>0.15</v>
      </c>
      <c r="J418" s="57"/>
    </row>
    <row r="419" customFormat="false" ht="15" hidden="false" customHeight="false" outlineLevel="0" collapsed="false">
      <c r="A419" s="319" t="s">
        <v>642</v>
      </c>
      <c r="B419" s="202" t="s">
        <v>28</v>
      </c>
      <c r="C419" s="203" t="n">
        <v>0.189349112</v>
      </c>
      <c r="D419" s="203" t="n">
        <v>0.189349112</v>
      </c>
      <c r="E419" s="203" t="n">
        <v>0.189349112</v>
      </c>
      <c r="F419" s="203" t="n">
        <v>0.189349112</v>
      </c>
      <c r="G419" s="203" t="n">
        <v>0.189349112</v>
      </c>
      <c r="H419" s="203" t="n">
        <v>0.169674556</v>
      </c>
      <c r="I419" s="203" t="n">
        <v>0.15</v>
      </c>
      <c r="J419" s="57"/>
    </row>
    <row r="420" customFormat="false" ht="15" hidden="false" customHeight="false" outlineLevel="0" collapsed="false">
      <c r="A420" s="319" t="s">
        <v>643</v>
      </c>
      <c r="B420" s="202" t="s">
        <v>28</v>
      </c>
      <c r="C420" s="203" t="n">
        <v>0.189349112</v>
      </c>
      <c r="D420" s="203" t="n">
        <v>0.189349112</v>
      </c>
      <c r="E420" s="203" t="n">
        <v>0.189349112</v>
      </c>
      <c r="F420" s="203" t="n">
        <v>0.189349112</v>
      </c>
      <c r="G420" s="203" t="n">
        <v>0.189349112</v>
      </c>
      <c r="H420" s="203" t="n">
        <v>0.169674556</v>
      </c>
      <c r="I420" s="203" t="n">
        <v>0.15</v>
      </c>
      <c r="J420" s="57"/>
    </row>
    <row r="421" customFormat="false" ht="18" hidden="false" customHeight="true" outlineLevel="0" collapsed="false">
      <c r="A421" s="200" t="s">
        <v>668</v>
      </c>
      <c r="B421" s="200"/>
      <c r="C421" s="200"/>
      <c r="D421" s="200"/>
      <c r="E421" s="200"/>
      <c r="F421" s="200"/>
      <c r="G421" s="200"/>
      <c r="H421" s="200"/>
      <c r="I421" s="200"/>
    </row>
    <row r="422" customFormat="false" ht="15" hidden="false" customHeight="false" outlineLevel="0" collapsed="false">
      <c r="A422" s="319" t="s">
        <v>669</v>
      </c>
      <c r="B422" s="219" t="s">
        <v>499</v>
      </c>
      <c r="C422" s="203" t="n">
        <v>0</v>
      </c>
      <c r="D422" s="203" t="n">
        <v>0.00625343327625571</v>
      </c>
      <c r="E422" s="203" t="n">
        <v>0.0125068665525114</v>
      </c>
      <c r="F422" s="203" t="n">
        <v>0.0135108581335616</v>
      </c>
      <c r="G422" s="203" t="n">
        <v>0.0145148497146119</v>
      </c>
      <c r="H422" s="203" t="n">
        <v>0.0155188412956621</v>
      </c>
      <c r="I422" s="203" t="n">
        <v>0.0165228328767123</v>
      </c>
    </row>
    <row r="423" customFormat="false" ht="15" hidden="false" customHeight="false" outlineLevel="0" collapsed="false">
      <c r="H423" s="54"/>
      <c r="J423" s="57"/>
    </row>
    <row r="424" customFormat="false" ht="17.35" hidden="false" customHeight="false" outlineLevel="0" collapsed="false">
      <c r="A424" s="323" t="s">
        <v>670</v>
      </c>
      <c r="B424" s="324"/>
      <c r="C424" s="325"/>
    </row>
    <row r="425" customFormat="false" ht="15" hidden="false" customHeight="false" outlineLevel="0" collapsed="false">
      <c r="A425" s="319" t="s">
        <v>434</v>
      </c>
      <c r="B425" s="202" t="s">
        <v>36</v>
      </c>
      <c r="C425" s="204" t="n">
        <v>2050</v>
      </c>
    </row>
    <row r="426" customFormat="false" ht="15" hidden="false" customHeight="false" outlineLevel="0" collapsed="false">
      <c r="A426" s="326" t="s">
        <v>671</v>
      </c>
      <c r="B426" s="205" t="s">
        <v>327</v>
      </c>
      <c r="C426" s="327" t="n">
        <v>0.05</v>
      </c>
    </row>
    <row r="428" customFormat="false" ht="17.35" hidden="false" customHeight="false" outlineLevel="0" collapsed="false">
      <c r="A428" s="323" t="s">
        <v>672</v>
      </c>
      <c r="B428" s="323"/>
      <c r="C428" s="323"/>
      <c r="D428" s="323"/>
      <c r="E428" s="323"/>
      <c r="F428" s="323"/>
      <c r="G428" s="323"/>
      <c r="H428" s="323"/>
      <c r="I428" s="323"/>
    </row>
    <row r="429" customFormat="false" ht="15" hidden="false" customHeight="false" outlineLevel="0" collapsed="false">
      <c r="A429" s="319" t="s">
        <v>673</v>
      </c>
      <c r="B429" s="202" t="s">
        <v>36</v>
      </c>
      <c r="C429" s="203" t="n">
        <v>2020</v>
      </c>
      <c r="D429" s="203" t="n">
        <f aca="false">C429+5</f>
        <v>2025</v>
      </c>
      <c r="E429" s="203" t="n">
        <f aca="false">D429+5</f>
        <v>2030</v>
      </c>
      <c r="F429" s="203" t="n">
        <f aca="false">E429+5</f>
        <v>2035</v>
      </c>
      <c r="G429" s="203" t="n">
        <f aca="false">F429+5</f>
        <v>2040</v>
      </c>
      <c r="H429" s="203" t="n">
        <f aca="false">G429+5</f>
        <v>2045</v>
      </c>
      <c r="I429" s="203" t="n">
        <f aca="false">H429+5</f>
        <v>2050</v>
      </c>
    </row>
    <row r="430" customFormat="false" ht="15" hidden="false" customHeight="false" outlineLevel="0" collapsed="false">
      <c r="A430" s="319" t="s">
        <v>674</v>
      </c>
      <c r="B430" s="202" t="s">
        <v>675</v>
      </c>
      <c r="C430" s="203" t="n">
        <v>0</v>
      </c>
      <c r="D430" s="203" t="n">
        <v>0</v>
      </c>
      <c r="E430" s="203" t="n">
        <v>0</v>
      </c>
      <c r="F430" s="203" t="n">
        <v>0</v>
      </c>
      <c r="G430" s="203" t="n">
        <v>0</v>
      </c>
      <c r="H430" s="203" t="n">
        <v>0</v>
      </c>
      <c r="I430" s="203" t="n">
        <v>0</v>
      </c>
      <c r="M430" s="198"/>
      <c r="Q430" s="198"/>
      <c r="U430" s="198"/>
    </row>
    <row r="432" customFormat="false" ht="17.35" hidden="false" customHeight="false" outlineLevel="0" collapsed="false">
      <c r="A432" s="323" t="s">
        <v>676</v>
      </c>
      <c r="B432" s="323"/>
      <c r="C432" s="323"/>
      <c r="D432" s="323"/>
      <c r="E432" s="323"/>
      <c r="F432" s="323"/>
      <c r="G432" s="323"/>
      <c r="H432" s="323"/>
      <c r="I432" s="323"/>
      <c r="J432" s="323"/>
      <c r="K432" s="323"/>
      <c r="L432" s="323"/>
      <c r="M432" s="323"/>
      <c r="N432" s="323"/>
      <c r="O432" s="323"/>
      <c r="P432" s="323"/>
      <c r="Q432" s="323"/>
      <c r="R432" s="323"/>
      <c r="S432" s="323"/>
      <c r="T432" s="323"/>
      <c r="U432" s="323"/>
      <c r="V432" s="323"/>
      <c r="W432" s="323"/>
      <c r="X432" s="323"/>
    </row>
    <row r="433" customFormat="false" ht="15" hidden="false" customHeight="false" outlineLevel="0" collapsed="false">
      <c r="A433" s="319" t="s">
        <v>673</v>
      </c>
      <c r="B433" s="202" t="s">
        <v>36</v>
      </c>
      <c r="C433" s="203" t="n">
        <v>1980</v>
      </c>
      <c r="D433" s="203" t="n">
        <v>2020</v>
      </c>
      <c r="E433" s="203" t="n">
        <f aca="false">D433+5</f>
        <v>2025</v>
      </c>
      <c r="F433" s="203" t="n">
        <f aca="false">E433+5</f>
        <v>2030</v>
      </c>
      <c r="G433" s="203" t="n">
        <f aca="false">F433+5</f>
        <v>2035</v>
      </c>
      <c r="H433" s="203" t="n">
        <f aca="false">G433+5</f>
        <v>2040</v>
      </c>
      <c r="I433" s="203" t="n">
        <f aca="false">H433+5</f>
        <v>2045</v>
      </c>
      <c r="J433" s="203" t="n">
        <f aca="false">I433+5</f>
        <v>2050</v>
      </c>
      <c r="K433" s="203" t="n">
        <f aca="false">J433+5</f>
        <v>2055</v>
      </c>
      <c r="L433" s="203" t="n">
        <f aca="false">K433+5</f>
        <v>2060</v>
      </c>
      <c r="M433" s="203" t="n">
        <f aca="false">L433+5</f>
        <v>2065</v>
      </c>
      <c r="N433" s="203" t="n">
        <f aca="false">M433+5</f>
        <v>2070</v>
      </c>
      <c r="O433" s="203" t="n">
        <f aca="false">N433+5</f>
        <v>2075</v>
      </c>
      <c r="P433" s="203" t="n">
        <f aca="false">O433+5</f>
        <v>2080</v>
      </c>
      <c r="Q433" s="203" t="n">
        <f aca="false">P433+5</f>
        <v>2085</v>
      </c>
      <c r="R433" s="203" t="n">
        <f aca="false">Q433+5</f>
        <v>2090</v>
      </c>
      <c r="S433" s="203" t="n">
        <f aca="false">R433+5</f>
        <v>2095</v>
      </c>
      <c r="T433" s="203" t="n">
        <f aca="false">S433+5</f>
        <v>2100</v>
      </c>
      <c r="U433" s="203" t="n">
        <f aca="false">T433+5</f>
        <v>2105</v>
      </c>
      <c r="V433" s="203" t="n">
        <f aca="false">U433+5</f>
        <v>2110</v>
      </c>
      <c r="W433" s="203" t="n">
        <f aca="false">V433+5</f>
        <v>2115</v>
      </c>
      <c r="X433" s="203" t="n">
        <f aca="false">W433+5</f>
        <v>2120</v>
      </c>
    </row>
    <row r="434" customFormat="false" ht="15" hidden="false" customHeight="false" outlineLevel="0" collapsed="false">
      <c r="A434" s="319" t="s">
        <v>676</v>
      </c>
      <c r="B434" s="202" t="s">
        <v>677</v>
      </c>
      <c r="C434" s="203"/>
      <c r="D434" s="203" t="n">
        <v>345</v>
      </c>
      <c r="E434" s="203"/>
      <c r="F434" s="203" t="n">
        <v>345</v>
      </c>
      <c r="G434" s="203"/>
      <c r="H434" s="203" t="n">
        <v>298</v>
      </c>
      <c r="I434" s="203"/>
      <c r="J434" s="203" t="n">
        <v>333</v>
      </c>
      <c r="K434" s="203"/>
      <c r="L434" s="203"/>
      <c r="M434" s="203"/>
      <c r="N434" s="203"/>
      <c r="O434" s="203"/>
      <c r="P434" s="203"/>
      <c r="Q434" s="203"/>
      <c r="R434" s="203"/>
      <c r="S434" s="203"/>
      <c r="T434" s="203"/>
      <c r="U434" s="203"/>
      <c r="V434" s="203"/>
      <c r="W434" s="203"/>
      <c r="X434" s="203"/>
    </row>
    <row r="435" customFormat="false" ht="15" hidden="false" customHeight="false" outlineLevel="0" collapsed="false">
      <c r="H435" s="54"/>
      <c r="J435" s="57"/>
    </row>
    <row r="436" customFormat="false" ht="15" hidden="false" customHeight="false" outlineLevel="0" collapsed="false">
      <c r="H436" s="54"/>
      <c r="J436" s="57"/>
    </row>
    <row r="437" customFormat="false" ht="15" hidden="false" customHeight="false" outlineLevel="0" collapsed="false">
      <c r="H437" s="54"/>
      <c r="J437" s="57"/>
    </row>
    <row r="438" customFormat="false" ht="15" hidden="false" customHeight="false" outlineLevel="0" collapsed="false">
      <c r="H438" s="54"/>
      <c r="J438" s="57"/>
    </row>
    <row r="439" customFormat="false" ht="15" hidden="false" customHeight="false" outlineLevel="0" collapsed="false">
      <c r="H439" s="54"/>
      <c r="J439" s="57"/>
    </row>
    <row r="440" customFormat="false" ht="24.45" hidden="false" customHeight="false" outlineLevel="0" collapsed="false">
      <c r="A440" s="199" t="s">
        <v>678</v>
      </c>
    </row>
    <row r="443" customFormat="false" ht="15" hidden="false" customHeight="false" outlineLevel="0" collapsed="false">
      <c r="H443" s="328"/>
    </row>
    <row r="444" customFormat="false" ht="15" hidden="false" customHeight="false" outlineLevel="0" collapsed="false">
      <c r="H444" s="328"/>
    </row>
    <row r="445" customFormat="false" ht="17.35" hidden="false" customHeight="false" outlineLevel="0" collapsed="false">
      <c r="A445" s="200" t="s">
        <v>679</v>
      </c>
      <c r="B445" s="200"/>
      <c r="C445" s="200"/>
      <c r="D445" s="200"/>
      <c r="E445" s="200"/>
      <c r="F445" s="200"/>
      <c r="G445" s="200"/>
      <c r="H445" s="200"/>
    </row>
    <row r="446" customFormat="false" ht="15" hidden="false" customHeight="false" outlineLevel="0" collapsed="false">
      <c r="A446" s="329" t="s">
        <v>36</v>
      </c>
      <c r="B446" s="203" t="n">
        <v>2020</v>
      </c>
      <c r="C446" s="203" t="n">
        <v>2025</v>
      </c>
      <c r="D446" s="203" t="n">
        <v>2030</v>
      </c>
      <c r="E446" s="203" t="n">
        <v>2035</v>
      </c>
      <c r="F446" s="203" t="n">
        <v>2040</v>
      </c>
      <c r="G446" s="203" t="n">
        <v>2045</v>
      </c>
      <c r="H446" s="204" t="n">
        <v>2050</v>
      </c>
    </row>
    <row r="447" customFormat="false" ht="15" hidden="false" customHeight="false" outlineLevel="0" collapsed="false">
      <c r="A447" s="312" t="s">
        <v>472</v>
      </c>
      <c r="B447" s="312"/>
      <c r="C447" s="312"/>
      <c r="D447" s="312"/>
      <c r="E447" s="312"/>
      <c r="F447" s="312"/>
      <c r="G447" s="312"/>
      <c r="H447" s="312"/>
    </row>
    <row r="448" customFormat="false" ht="15" hidden="false" customHeight="false" outlineLevel="0" collapsed="false">
      <c r="A448" s="330" t="s">
        <v>680</v>
      </c>
      <c r="B448" s="203" t="n">
        <v>18.8</v>
      </c>
      <c r="C448" s="203" t="n">
        <v>16.1316315</v>
      </c>
      <c r="D448" s="203" t="n">
        <v>13.486491</v>
      </c>
      <c r="E448" s="203" t="n">
        <v>10.8413505</v>
      </c>
      <c r="F448" s="203" t="n">
        <v>8.19621</v>
      </c>
      <c r="G448" s="203" t="n">
        <v>5.5510695</v>
      </c>
      <c r="H448" s="204" t="n">
        <v>2.9</v>
      </c>
    </row>
    <row r="449" customFormat="false" ht="15" hidden="false" customHeight="false" outlineLevel="0" collapsed="false">
      <c r="A449" s="312" t="s">
        <v>479</v>
      </c>
      <c r="B449" s="312"/>
      <c r="C449" s="312"/>
      <c r="D449" s="312"/>
      <c r="E449" s="312"/>
      <c r="F449" s="312"/>
      <c r="G449" s="312"/>
      <c r="H449" s="312"/>
      <c r="I449" s="57"/>
    </row>
    <row r="450" customFormat="false" ht="15" hidden="false" customHeight="false" outlineLevel="0" collapsed="false">
      <c r="A450" s="330" t="s">
        <v>680</v>
      </c>
      <c r="B450" s="203" t="n">
        <v>13.3</v>
      </c>
      <c r="C450" s="203" t="n">
        <v>11.39042</v>
      </c>
      <c r="D450" s="203" t="n">
        <v>9.52904</v>
      </c>
      <c r="E450" s="203" t="n">
        <v>7.66766</v>
      </c>
      <c r="F450" s="203" t="n">
        <v>5.80628</v>
      </c>
      <c r="G450" s="203" t="n">
        <v>3.9449</v>
      </c>
      <c r="H450" s="204" t="n">
        <v>2.1</v>
      </c>
    </row>
    <row r="451" customFormat="false" ht="15" hidden="false" customHeight="false" outlineLevel="0" collapsed="false">
      <c r="A451" s="312" t="s">
        <v>485</v>
      </c>
      <c r="B451" s="312"/>
      <c r="C451" s="312"/>
      <c r="D451" s="312"/>
      <c r="E451" s="312"/>
      <c r="F451" s="312"/>
      <c r="G451" s="312"/>
      <c r="H451" s="312"/>
      <c r="I451" s="57"/>
    </row>
    <row r="452" customFormat="false" ht="15" hidden="false" customHeight="false" outlineLevel="0" collapsed="false">
      <c r="A452" s="331" t="s">
        <v>680</v>
      </c>
      <c r="B452" s="332" t="n">
        <v>2.4</v>
      </c>
      <c r="C452" s="332" t="n">
        <v>2.083</v>
      </c>
      <c r="D452" s="332" t="n">
        <v>1.769</v>
      </c>
      <c r="E452" s="332" t="n">
        <v>1.455</v>
      </c>
      <c r="F452" s="332" t="n">
        <v>3</v>
      </c>
      <c r="G452" s="332" t="n">
        <v>3</v>
      </c>
      <c r="H452" s="332" t="n">
        <v>1.141</v>
      </c>
    </row>
    <row r="453" customFormat="false" ht="15" hidden="false" customHeight="false" outlineLevel="0" collapsed="false">
      <c r="F453" s="332" t="n">
        <v>1.141</v>
      </c>
      <c r="G453" s="332" t="n">
        <v>0.827</v>
      </c>
      <c r="H453" s="244" t="n">
        <v>0.5</v>
      </c>
    </row>
    <row r="454" customFormat="false" ht="17.35" hidden="false" customHeight="false" outlineLevel="0" collapsed="false">
      <c r="A454" s="200" t="s">
        <v>681</v>
      </c>
      <c r="B454" s="200"/>
      <c r="C454" s="200"/>
      <c r="D454" s="200"/>
      <c r="E454" s="200"/>
      <c r="F454" s="200"/>
      <c r="G454" s="200"/>
      <c r="H454" s="200"/>
      <c r="I454" s="200"/>
    </row>
    <row r="455" customFormat="false" ht="15" hidden="false" customHeight="false" outlineLevel="0" collapsed="false">
      <c r="A455" s="333"/>
      <c r="B455" s="202" t="s">
        <v>36</v>
      </c>
      <c r="C455" s="203" t="n">
        <v>2020</v>
      </c>
      <c r="D455" s="203" t="n">
        <v>2025</v>
      </c>
      <c r="E455" s="203" t="n">
        <v>2030</v>
      </c>
      <c r="F455" s="203" t="n">
        <v>2035</v>
      </c>
      <c r="G455" s="203" t="n">
        <v>2040</v>
      </c>
      <c r="H455" s="203" t="n">
        <v>2045</v>
      </c>
      <c r="I455" s="204" t="n">
        <v>2050</v>
      </c>
    </row>
    <row r="456" customFormat="false" ht="15" hidden="false" customHeight="false" outlineLevel="0" collapsed="false">
      <c r="A456" s="319" t="s">
        <v>682</v>
      </c>
      <c r="B456" s="202" t="s">
        <v>146</v>
      </c>
      <c r="C456" s="204" t="n">
        <v>-0.01</v>
      </c>
      <c r="D456" s="204" t="n">
        <v>-0.013</v>
      </c>
      <c r="E456" s="204" t="n">
        <v>-0.016</v>
      </c>
      <c r="F456" s="204" t="n">
        <v>-0.019</v>
      </c>
      <c r="G456" s="204" t="n">
        <v>-0.023</v>
      </c>
      <c r="H456" s="204" t="n">
        <v>-0.026</v>
      </c>
      <c r="I456" s="204" t="n">
        <v>-0.029</v>
      </c>
    </row>
    <row r="457" customFormat="false" ht="15" hidden="false" customHeight="false" outlineLevel="0" collapsed="false">
      <c r="A457" s="326" t="s">
        <v>683</v>
      </c>
      <c r="B457" s="205" t="s">
        <v>327</v>
      </c>
      <c r="C457" s="311" t="n">
        <v>0</v>
      </c>
      <c r="D457" s="311" t="n">
        <v>0</v>
      </c>
      <c r="E457" s="311" t="n">
        <v>0</v>
      </c>
      <c r="F457" s="311" t="n">
        <v>0</v>
      </c>
      <c r="G457" s="311" t="n">
        <v>0</v>
      </c>
      <c r="H457" s="311" t="n">
        <v>0</v>
      </c>
      <c r="I457" s="311" t="n">
        <v>0</v>
      </c>
    </row>
    <row r="461" customFormat="false" ht="24.45" hidden="false" customHeight="false" outlineLevel="0" collapsed="false">
      <c r="A461" s="199" t="s">
        <v>684</v>
      </c>
      <c r="H461" s="54"/>
      <c r="J461" s="57"/>
    </row>
    <row r="462" customFormat="false" ht="17.35" hidden="false" customHeight="false" outlineLevel="0" collapsed="false">
      <c r="A462" s="200" t="s">
        <v>685</v>
      </c>
      <c r="B462" s="200"/>
      <c r="C462" s="200"/>
      <c r="H462" s="54"/>
      <c r="J462" s="57"/>
    </row>
    <row r="463" customFormat="false" ht="15" hidden="false" customHeight="false" outlineLevel="0" collapsed="false">
      <c r="A463" s="319" t="s">
        <v>416</v>
      </c>
      <c r="B463" s="202" t="s">
        <v>28</v>
      </c>
      <c r="C463" s="204" t="n">
        <v>0</v>
      </c>
    </row>
    <row r="464" customFormat="false" ht="15" hidden="false" customHeight="false" outlineLevel="0" collapsed="false">
      <c r="A464" s="319" t="s">
        <v>418</v>
      </c>
      <c r="B464" s="202" t="s">
        <v>125</v>
      </c>
      <c r="C464" s="204" t="n">
        <v>200</v>
      </c>
    </row>
    <row r="465" customFormat="false" ht="15" hidden="false" customHeight="false" outlineLevel="0" collapsed="false">
      <c r="A465" s="319" t="s">
        <v>420</v>
      </c>
      <c r="B465" s="202" t="s">
        <v>686</v>
      </c>
      <c r="C465" s="258" t="n">
        <v>0.0074</v>
      </c>
    </row>
    <row r="466" customFormat="false" ht="15" hidden="false" customHeight="false" outlineLevel="0" collapsed="false">
      <c r="A466" s="319" t="s">
        <v>687</v>
      </c>
      <c r="B466" s="202" t="s">
        <v>36</v>
      </c>
      <c r="C466" s="204" t="n">
        <v>2020</v>
      </c>
    </row>
    <row r="467" customFormat="false" ht="15" hidden="false" customHeight="false" outlineLevel="0" collapsed="false">
      <c r="A467" s="319" t="s">
        <v>424</v>
      </c>
      <c r="B467" s="202" t="s">
        <v>688</v>
      </c>
      <c r="C467" s="204" t="n">
        <v>185</v>
      </c>
    </row>
    <row r="468" customFormat="false" ht="15" hidden="false" customHeight="false" outlineLevel="0" collapsed="false">
      <c r="A468" s="319" t="s">
        <v>427</v>
      </c>
      <c r="B468" s="202" t="s">
        <v>36</v>
      </c>
      <c r="C468" s="204" t="n">
        <v>2020</v>
      </c>
    </row>
    <row r="469" customFormat="false" ht="15" hidden="false" customHeight="false" outlineLevel="0" collapsed="false">
      <c r="A469" s="326" t="s">
        <v>428</v>
      </c>
      <c r="B469" s="205" t="s">
        <v>36</v>
      </c>
      <c r="C469" s="244" t="n">
        <v>2050</v>
      </c>
    </row>
    <row r="471" customFormat="false" ht="14.25" hidden="false" customHeight="true" outlineLevel="0" collapsed="false">
      <c r="A471" s="334" t="s">
        <v>70</v>
      </c>
      <c r="B471" s="334"/>
      <c r="C471" s="334"/>
      <c r="F471" s="328"/>
      <c r="G471" s="328"/>
      <c r="H471" s="328"/>
      <c r="I471" s="328"/>
      <c r="J471" s="328"/>
      <c r="K471" s="328"/>
      <c r="L471" s="328"/>
      <c r="M471" s="328"/>
      <c r="N471" s="328"/>
      <c r="O471" s="328"/>
      <c r="P471" s="328"/>
      <c r="Q471" s="328"/>
      <c r="R471" s="328"/>
      <c r="S471" s="328"/>
      <c r="T471" s="328"/>
      <c r="U471" s="328"/>
      <c r="V471" s="328"/>
      <c r="W471" s="328"/>
      <c r="X471" s="328"/>
      <c r="Y471" s="328"/>
      <c r="Z471" s="328"/>
      <c r="AA471" s="328"/>
      <c r="AB471" s="328"/>
      <c r="AC471" s="328"/>
      <c r="AD471" s="328"/>
      <c r="AE471" s="328"/>
      <c r="AF471" s="328"/>
      <c r="AG471" s="328"/>
      <c r="AH471" s="328"/>
      <c r="AI471" s="328"/>
      <c r="AJ471" s="328"/>
      <c r="AK471" s="328"/>
      <c r="AL471" s="328"/>
    </row>
    <row r="472" customFormat="false" ht="15" hidden="false" customHeight="false" outlineLevel="0" collapsed="false">
      <c r="A472" s="335" t="s">
        <v>75</v>
      </c>
      <c r="B472" s="270" t="s">
        <v>76</v>
      </c>
      <c r="C472" s="336" t="n">
        <v>135</v>
      </c>
      <c r="F472" s="328"/>
      <c r="G472" s="328"/>
      <c r="H472" s="328"/>
      <c r="I472" s="328"/>
      <c r="J472" s="328"/>
      <c r="K472" s="328"/>
      <c r="L472" s="328"/>
      <c r="M472" s="328"/>
      <c r="N472" s="328"/>
      <c r="O472" s="328"/>
      <c r="P472" s="328"/>
      <c r="Q472" s="328"/>
      <c r="R472" s="328"/>
      <c r="S472" s="328"/>
      <c r="T472" s="328"/>
      <c r="U472" s="328"/>
      <c r="V472" s="328"/>
      <c r="W472" s="328"/>
      <c r="X472" s="328"/>
      <c r="Y472" s="328"/>
      <c r="Z472" s="328"/>
      <c r="AA472" s="328"/>
      <c r="AB472" s="328"/>
      <c r="AC472" s="328"/>
      <c r="AD472" s="328"/>
      <c r="AE472" s="328"/>
      <c r="AF472" s="328"/>
      <c r="AG472" s="328"/>
      <c r="AH472" s="328"/>
      <c r="AI472" s="328"/>
      <c r="AJ472" s="328"/>
      <c r="AK472" s="328"/>
      <c r="AL472" s="328"/>
    </row>
    <row r="473" customFormat="false" ht="15" hidden="false" customHeight="false" outlineLevel="0" collapsed="false">
      <c r="A473" s="319" t="s">
        <v>74</v>
      </c>
      <c r="B473" s="202" t="s">
        <v>28</v>
      </c>
      <c r="C473" s="204" t="n">
        <v>0.2</v>
      </c>
      <c r="F473" s="328"/>
      <c r="G473" s="328"/>
      <c r="H473" s="328"/>
      <c r="I473" s="328"/>
      <c r="J473" s="328"/>
      <c r="K473" s="328"/>
      <c r="L473" s="328"/>
      <c r="M473" s="328"/>
      <c r="N473" s="328"/>
      <c r="O473" s="328"/>
      <c r="P473" s="328"/>
      <c r="Q473" s="328"/>
      <c r="R473" s="328"/>
      <c r="S473" s="328"/>
      <c r="T473" s="328"/>
      <c r="U473" s="328"/>
      <c r="V473" s="328"/>
      <c r="W473" s="328"/>
      <c r="X473" s="328"/>
      <c r="Y473" s="328"/>
      <c r="Z473" s="328"/>
      <c r="AA473" s="328"/>
      <c r="AB473" s="328"/>
      <c r="AC473" s="328"/>
      <c r="AD473" s="328"/>
      <c r="AE473" s="328"/>
      <c r="AF473" s="328"/>
      <c r="AG473" s="328"/>
      <c r="AH473" s="328"/>
      <c r="AI473" s="328"/>
      <c r="AJ473" s="328"/>
      <c r="AK473" s="328"/>
      <c r="AL473" s="328"/>
    </row>
    <row r="474" customFormat="false" ht="15" hidden="false" customHeight="false" outlineLevel="0" collapsed="false">
      <c r="A474" s="319" t="s">
        <v>80</v>
      </c>
      <c r="B474" s="202" t="s">
        <v>28</v>
      </c>
      <c r="C474" s="204" t="n">
        <v>2020</v>
      </c>
      <c r="F474" s="328"/>
      <c r="G474" s="328"/>
      <c r="H474" s="328"/>
      <c r="I474" s="328"/>
      <c r="J474" s="328"/>
      <c r="K474" s="328"/>
      <c r="L474" s="328"/>
      <c r="M474" s="328"/>
      <c r="N474" s="328"/>
      <c r="O474" s="328"/>
      <c r="P474" s="328"/>
      <c r="Q474" s="328"/>
      <c r="R474" s="328"/>
      <c r="S474" s="328"/>
      <c r="T474" s="328"/>
      <c r="U474" s="328"/>
      <c r="V474" s="328"/>
      <c r="W474" s="328"/>
      <c r="X474" s="328"/>
      <c r="Y474" s="328"/>
      <c r="Z474" s="328"/>
      <c r="AA474" s="328"/>
      <c r="AB474" s="328"/>
      <c r="AC474" s="328"/>
      <c r="AD474" s="328"/>
      <c r="AE474" s="328"/>
      <c r="AF474" s="328"/>
      <c r="AG474" s="328"/>
      <c r="AH474" s="328"/>
      <c r="AI474" s="328"/>
      <c r="AJ474" s="328"/>
      <c r="AK474" s="328"/>
      <c r="AL474" s="328"/>
    </row>
    <row r="475" customFormat="false" ht="15" hidden="false" customHeight="false" outlineLevel="0" collapsed="false">
      <c r="A475" s="326" t="s">
        <v>83</v>
      </c>
      <c r="B475" s="205" t="s">
        <v>28</v>
      </c>
      <c r="C475" s="244" t="n">
        <v>2050</v>
      </c>
      <c r="F475" s="328"/>
      <c r="G475" s="328"/>
      <c r="H475" s="328"/>
      <c r="I475" s="328"/>
      <c r="J475" s="328"/>
      <c r="K475" s="328"/>
      <c r="L475" s="328"/>
      <c r="M475" s="328"/>
      <c r="N475" s="328"/>
      <c r="O475" s="328"/>
      <c r="P475" s="328"/>
      <c r="Q475" s="328"/>
      <c r="R475" s="328"/>
      <c r="S475" s="328"/>
      <c r="T475" s="328"/>
      <c r="U475" s="328"/>
      <c r="V475" s="328"/>
      <c r="W475" s="328"/>
      <c r="X475" s="328"/>
      <c r="Y475" s="328"/>
      <c r="Z475" s="328"/>
      <c r="AA475" s="328"/>
      <c r="AB475" s="328"/>
      <c r="AC475" s="328"/>
      <c r="AD475" s="328"/>
      <c r="AE475" s="328"/>
      <c r="AF475" s="328"/>
      <c r="AG475" s="328"/>
      <c r="AH475" s="328"/>
      <c r="AI475" s="328"/>
      <c r="AJ475" s="328"/>
      <c r="AK475" s="328"/>
      <c r="AL475" s="328"/>
    </row>
    <row r="478" customFormat="false" ht="17.35" hidden="false" customHeight="false" outlineLevel="0" collapsed="false">
      <c r="A478" s="334" t="s">
        <v>86</v>
      </c>
      <c r="B478" s="334"/>
      <c r="C478" s="334"/>
    </row>
    <row r="479" customFormat="false" ht="15" hidden="false" customHeight="false" outlineLevel="0" collapsed="false">
      <c r="A479" s="319" t="s">
        <v>89</v>
      </c>
      <c r="B479" s="202" t="s">
        <v>28</v>
      </c>
      <c r="C479" s="311" t="n">
        <v>0.5</v>
      </c>
    </row>
    <row r="480" customFormat="false" ht="15" hidden="false" customHeight="false" outlineLevel="0" collapsed="false">
      <c r="A480" s="319" t="s">
        <v>92</v>
      </c>
      <c r="B480" s="202" t="s">
        <v>28</v>
      </c>
      <c r="C480" s="311" t="n">
        <v>0.5</v>
      </c>
    </row>
    <row r="481" customFormat="false" ht="15" hidden="false" customHeight="false" outlineLevel="0" collapsed="false">
      <c r="A481" s="319" t="s">
        <v>93</v>
      </c>
      <c r="B481" s="202" t="s">
        <v>28</v>
      </c>
      <c r="C481" s="311" t="n">
        <v>0.5</v>
      </c>
    </row>
    <row r="482" customFormat="false" ht="15" hidden="false" customHeight="false" outlineLevel="0" collapsed="false">
      <c r="A482" s="326" t="s">
        <v>118</v>
      </c>
      <c r="B482" s="205" t="s">
        <v>28</v>
      </c>
      <c r="C482" s="337" t="n">
        <v>0.5</v>
      </c>
    </row>
    <row r="484" customFormat="false" ht="15.75" hidden="false" customHeight="true" outlineLevel="0" collapsed="false">
      <c r="A484" s="334" t="s">
        <v>689</v>
      </c>
      <c r="B484" s="334"/>
      <c r="C484" s="338" t="s">
        <v>580</v>
      </c>
      <c r="D484" s="339" t="s">
        <v>690</v>
      </c>
      <c r="E484" s="339" t="s">
        <v>691</v>
      </c>
      <c r="F484" s="339" t="s">
        <v>692</v>
      </c>
      <c r="G484" s="339" t="s">
        <v>693</v>
      </c>
      <c r="H484" s="339" t="s">
        <v>694</v>
      </c>
      <c r="I484" s="339" t="s">
        <v>695</v>
      </c>
      <c r="J484" s="339" t="s">
        <v>696</v>
      </c>
      <c r="K484" s="339" t="s">
        <v>354</v>
      </c>
      <c r="L484" s="339" t="s">
        <v>697</v>
      </c>
      <c r="M484" s="339" t="s">
        <v>698</v>
      </c>
      <c r="N484" s="339" t="s">
        <v>699</v>
      </c>
      <c r="O484" s="339" t="s">
        <v>700</v>
      </c>
      <c r="P484" s="339" t="s">
        <v>701</v>
      </c>
      <c r="Q484" s="340" t="s">
        <v>702</v>
      </c>
    </row>
    <row r="485" customFormat="false" ht="15" hidden="false" customHeight="false" outlineLevel="0" collapsed="false">
      <c r="A485" s="319" t="s">
        <v>703</v>
      </c>
      <c r="B485" s="341" t="s">
        <v>374</v>
      </c>
      <c r="C485" s="204" t="s">
        <v>704</v>
      </c>
      <c r="D485" s="204" t="s">
        <v>704</v>
      </c>
      <c r="E485" s="204" t="s">
        <v>704</v>
      </c>
      <c r="F485" s="204" t="s">
        <v>704</v>
      </c>
      <c r="G485" s="204" t="s">
        <v>704</v>
      </c>
      <c r="H485" s="204" t="s">
        <v>704</v>
      </c>
      <c r="I485" s="204" t="s">
        <v>704</v>
      </c>
      <c r="J485" s="204" t="s">
        <v>704</v>
      </c>
      <c r="K485" s="204" t="s">
        <v>704</v>
      </c>
      <c r="L485" s="204" t="s">
        <v>704</v>
      </c>
      <c r="M485" s="204" t="s">
        <v>704</v>
      </c>
      <c r="N485" s="204" t="s">
        <v>704</v>
      </c>
      <c r="O485" s="204" t="s">
        <v>704</v>
      </c>
      <c r="P485" s="204" t="s">
        <v>704</v>
      </c>
      <c r="Q485" s="204" t="s">
        <v>704</v>
      </c>
    </row>
    <row r="486" customFormat="false" ht="15" hidden="false" customHeight="false" outlineLevel="0" collapsed="false">
      <c r="A486" s="319" t="s">
        <v>705</v>
      </c>
      <c r="B486" s="341"/>
      <c r="C486" s="204" t="s">
        <v>704</v>
      </c>
      <c r="D486" s="204" t="s">
        <v>704</v>
      </c>
      <c r="E486" s="204" t="s">
        <v>704</v>
      </c>
      <c r="F486" s="204" t="s">
        <v>704</v>
      </c>
      <c r="G486" s="204" t="s">
        <v>704</v>
      </c>
      <c r="H486" s="204" t="s">
        <v>704</v>
      </c>
      <c r="I486" s="204" t="s">
        <v>704</v>
      </c>
      <c r="J486" s="204" t="s">
        <v>704</v>
      </c>
      <c r="K486" s="204" t="s">
        <v>704</v>
      </c>
      <c r="L486" s="204" t="s">
        <v>704</v>
      </c>
      <c r="M486" s="204" t="s">
        <v>704</v>
      </c>
      <c r="N486" s="204" t="s">
        <v>704</v>
      </c>
      <c r="O486" s="204" t="s">
        <v>704</v>
      </c>
      <c r="P486" s="204" t="s">
        <v>704</v>
      </c>
      <c r="Q486" s="204" t="s">
        <v>704</v>
      </c>
    </row>
    <row r="487" customFormat="false" ht="15" hidden="false" customHeight="false" outlineLevel="0" collapsed="false">
      <c r="A487" s="319" t="s">
        <v>706</v>
      </c>
      <c r="B487" s="341"/>
      <c r="C487" s="204" t="s">
        <v>704</v>
      </c>
      <c r="D487" s="204" t="s">
        <v>704</v>
      </c>
      <c r="E487" s="204" t="s">
        <v>704</v>
      </c>
      <c r="F487" s="204" t="s">
        <v>704</v>
      </c>
      <c r="G487" s="204" t="s">
        <v>704</v>
      </c>
      <c r="H487" s="204" t="s">
        <v>704</v>
      </c>
      <c r="I487" s="204" t="s">
        <v>704</v>
      </c>
      <c r="J487" s="204" t="s">
        <v>704</v>
      </c>
      <c r="K487" s="204" t="s">
        <v>704</v>
      </c>
      <c r="L487" s="204" t="s">
        <v>704</v>
      </c>
      <c r="M487" s="204" t="s">
        <v>704</v>
      </c>
      <c r="N487" s="204" t="s">
        <v>704</v>
      </c>
      <c r="O487" s="204" t="s">
        <v>704</v>
      </c>
      <c r="P487" s="204" t="s">
        <v>704</v>
      </c>
      <c r="Q487" s="204" t="s">
        <v>704</v>
      </c>
    </row>
    <row r="488" customFormat="false" ht="15" hidden="false" customHeight="false" outlineLevel="0" collapsed="false">
      <c r="A488" s="319" t="s">
        <v>707</v>
      </c>
      <c r="B488" s="341"/>
      <c r="C488" s="204" t="s">
        <v>704</v>
      </c>
      <c r="D488" s="204" t="s">
        <v>704</v>
      </c>
      <c r="E488" s="204" t="s">
        <v>704</v>
      </c>
      <c r="F488" s="204" t="s">
        <v>704</v>
      </c>
      <c r="G488" s="204" t="s">
        <v>704</v>
      </c>
      <c r="H488" s="204" t="s">
        <v>704</v>
      </c>
      <c r="I488" s="204" t="s">
        <v>704</v>
      </c>
      <c r="J488" s="204" t="s">
        <v>704</v>
      </c>
      <c r="K488" s="204" t="s">
        <v>704</v>
      </c>
      <c r="L488" s="204" t="s">
        <v>704</v>
      </c>
      <c r="M488" s="204" t="s">
        <v>704</v>
      </c>
      <c r="N488" s="204" t="s">
        <v>704</v>
      </c>
      <c r="O488" s="204" t="s">
        <v>704</v>
      </c>
      <c r="P488" s="204" t="s">
        <v>704</v>
      </c>
      <c r="Q488" s="204" t="s">
        <v>704</v>
      </c>
    </row>
    <row r="489" customFormat="false" ht="15" hidden="false" customHeight="false" outlineLevel="0" collapsed="false">
      <c r="A489" s="319" t="s">
        <v>708</v>
      </c>
      <c r="B489" s="341"/>
      <c r="C489" s="204" t="s">
        <v>704</v>
      </c>
      <c r="D489" s="204" t="s">
        <v>704</v>
      </c>
      <c r="E489" s="204" t="s">
        <v>704</v>
      </c>
      <c r="F489" s="204" t="s">
        <v>704</v>
      </c>
      <c r="G489" s="204" t="s">
        <v>704</v>
      </c>
      <c r="H489" s="204" t="s">
        <v>704</v>
      </c>
      <c r="I489" s="204" t="s">
        <v>704</v>
      </c>
      <c r="J489" s="204" t="s">
        <v>704</v>
      </c>
      <c r="K489" s="204" t="s">
        <v>704</v>
      </c>
      <c r="L489" s="204" t="s">
        <v>704</v>
      </c>
      <c r="M489" s="204" t="s">
        <v>704</v>
      </c>
      <c r="N489" s="204" t="s">
        <v>704</v>
      </c>
      <c r="O489" s="204" t="s">
        <v>704</v>
      </c>
      <c r="P489" s="204" t="s">
        <v>704</v>
      </c>
      <c r="Q489" s="204" t="s">
        <v>704</v>
      </c>
    </row>
    <row r="490" customFormat="false" ht="15" hidden="false" customHeight="false" outlineLevel="0" collapsed="false">
      <c r="A490" s="319" t="s">
        <v>703</v>
      </c>
      <c r="B490" s="341" t="s">
        <v>375</v>
      </c>
      <c r="C490" s="204" t="s">
        <v>704</v>
      </c>
      <c r="D490" s="204" t="s">
        <v>704</v>
      </c>
      <c r="E490" s="204" t="s">
        <v>704</v>
      </c>
      <c r="F490" s="204" t="s">
        <v>704</v>
      </c>
      <c r="G490" s="204" t="s">
        <v>704</v>
      </c>
      <c r="H490" s="204" t="s">
        <v>704</v>
      </c>
      <c r="I490" s="204" t="s">
        <v>704</v>
      </c>
      <c r="J490" s="204" t="s">
        <v>704</v>
      </c>
      <c r="K490" s="204" t="s">
        <v>704</v>
      </c>
      <c r="L490" s="204" t="s">
        <v>704</v>
      </c>
      <c r="M490" s="204" t="s">
        <v>704</v>
      </c>
      <c r="N490" s="204" t="s">
        <v>704</v>
      </c>
      <c r="O490" s="204" t="s">
        <v>704</v>
      </c>
      <c r="P490" s="204" t="s">
        <v>704</v>
      </c>
      <c r="Q490" s="204" t="s">
        <v>704</v>
      </c>
    </row>
    <row r="491" customFormat="false" ht="15" hidden="false" customHeight="false" outlineLevel="0" collapsed="false">
      <c r="A491" s="319" t="s">
        <v>705</v>
      </c>
      <c r="B491" s="341"/>
      <c r="C491" s="204" t="s">
        <v>704</v>
      </c>
      <c r="D491" s="204" t="s">
        <v>704</v>
      </c>
      <c r="E491" s="204" t="s">
        <v>704</v>
      </c>
      <c r="F491" s="204" t="s">
        <v>704</v>
      </c>
      <c r="G491" s="204" t="s">
        <v>704</v>
      </c>
      <c r="H491" s="204" t="s">
        <v>704</v>
      </c>
      <c r="I491" s="204" t="s">
        <v>704</v>
      </c>
      <c r="J491" s="204" t="s">
        <v>704</v>
      </c>
      <c r="K491" s="204" t="s">
        <v>704</v>
      </c>
      <c r="L491" s="204" t="s">
        <v>704</v>
      </c>
      <c r="M491" s="204" t="s">
        <v>704</v>
      </c>
      <c r="N491" s="204" t="s">
        <v>704</v>
      </c>
      <c r="O491" s="204" t="s">
        <v>704</v>
      </c>
      <c r="P491" s="204" t="s">
        <v>704</v>
      </c>
      <c r="Q491" s="204" t="s">
        <v>704</v>
      </c>
    </row>
    <row r="492" customFormat="false" ht="15" hidden="false" customHeight="false" outlineLevel="0" collapsed="false">
      <c r="A492" s="319" t="s">
        <v>706</v>
      </c>
      <c r="B492" s="341"/>
      <c r="C492" s="204" t="s">
        <v>704</v>
      </c>
      <c r="D492" s="204" t="s">
        <v>704</v>
      </c>
      <c r="E492" s="204" t="s">
        <v>704</v>
      </c>
      <c r="F492" s="204" t="s">
        <v>704</v>
      </c>
      <c r="G492" s="204" t="s">
        <v>704</v>
      </c>
      <c r="H492" s="204" t="s">
        <v>704</v>
      </c>
      <c r="I492" s="204" t="s">
        <v>704</v>
      </c>
      <c r="J492" s="204" t="s">
        <v>704</v>
      </c>
      <c r="K492" s="204" t="s">
        <v>704</v>
      </c>
      <c r="L492" s="204" t="s">
        <v>704</v>
      </c>
      <c r="M492" s="204" t="s">
        <v>704</v>
      </c>
      <c r="N492" s="204" t="s">
        <v>704</v>
      </c>
      <c r="O492" s="204" t="s">
        <v>704</v>
      </c>
      <c r="P492" s="204" t="s">
        <v>704</v>
      </c>
      <c r="Q492" s="204" t="s">
        <v>704</v>
      </c>
    </row>
    <row r="493" customFormat="false" ht="15" hidden="false" customHeight="false" outlineLevel="0" collapsed="false">
      <c r="A493" s="319" t="s">
        <v>707</v>
      </c>
      <c r="B493" s="341"/>
      <c r="C493" s="204" t="s">
        <v>704</v>
      </c>
      <c r="D493" s="204" t="s">
        <v>704</v>
      </c>
      <c r="E493" s="204" t="s">
        <v>704</v>
      </c>
      <c r="F493" s="204" t="s">
        <v>704</v>
      </c>
      <c r="G493" s="204" t="s">
        <v>704</v>
      </c>
      <c r="H493" s="204" t="s">
        <v>704</v>
      </c>
      <c r="I493" s="204" t="s">
        <v>704</v>
      </c>
      <c r="J493" s="204" t="s">
        <v>704</v>
      </c>
      <c r="K493" s="204" t="s">
        <v>704</v>
      </c>
      <c r="L493" s="204" t="s">
        <v>704</v>
      </c>
      <c r="M493" s="204" t="s">
        <v>704</v>
      </c>
      <c r="N493" s="204" t="s">
        <v>704</v>
      </c>
      <c r="O493" s="204" t="s">
        <v>704</v>
      </c>
      <c r="P493" s="204" t="s">
        <v>704</v>
      </c>
      <c r="Q493" s="204" t="s">
        <v>704</v>
      </c>
    </row>
    <row r="494" customFormat="false" ht="15" hidden="false" customHeight="false" outlineLevel="0" collapsed="false">
      <c r="A494" s="319" t="s">
        <v>708</v>
      </c>
      <c r="B494" s="341"/>
      <c r="C494" s="204" t="s">
        <v>704</v>
      </c>
      <c r="D494" s="204" t="s">
        <v>704</v>
      </c>
      <c r="E494" s="204" t="s">
        <v>704</v>
      </c>
      <c r="F494" s="204" t="s">
        <v>704</v>
      </c>
      <c r="G494" s="204" t="s">
        <v>704</v>
      </c>
      <c r="H494" s="204" t="s">
        <v>704</v>
      </c>
      <c r="I494" s="204" t="s">
        <v>704</v>
      </c>
      <c r="J494" s="204" t="s">
        <v>704</v>
      </c>
      <c r="K494" s="204" t="s">
        <v>704</v>
      </c>
      <c r="L494" s="204" t="s">
        <v>704</v>
      </c>
      <c r="M494" s="204" t="s">
        <v>704</v>
      </c>
      <c r="N494" s="204" t="s">
        <v>704</v>
      </c>
      <c r="O494" s="204" t="s">
        <v>704</v>
      </c>
      <c r="P494" s="204" t="s">
        <v>704</v>
      </c>
      <c r="Q494" s="204" t="s">
        <v>704</v>
      </c>
    </row>
    <row r="495" customFormat="false" ht="15" hidden="false" customHeight="false" outlineLevel="0" collapsed="false">
      <c r="A495" s="319" t="s">
        <v>709</v>
      </c>
      <c r="B495" s="341" t="s">
        <v>376</v>
      </c>
      <c r="C495" s="204" t="s">
        <v>704</v>
      </c>
      <c r="D495" s="204" t="s">
        <v>704</v>
      </c>
      <c r="E495" s="204" t="s">
        <v>704</v>
      </c>
      <c r="F495" s="204" t="s">
        <v>704</v>
      </c>
      <c r="G495" s="204" t="s">
        <v>704</v>
      </c>
      <c r="H495" s="204" t="s">
        <v>704</v>
      </c>
      <c r="I495" s="204" t="s">
        <v>704</v>
      </c>
      <c r="J495" s="204" t="s">
        <v>704</v>
      </c>
      <c r="K495" s="204" t="s">
        <v>704</v>
      </c>
      <c r="L495" s="204" t="s">
        <v>704</v>
      </c>
      <c r="M495" s="204" t="s">
        <v>704</v>
      </c>
      <c r="N495" s="204" t="s">
        <v>704</v>
      </c>
      <c r="O495" s="204" t="s">
        <v>704</v>
      </c>
      <c r="P495" s="204" t="s">
        <v>704</v>
      </c>
      <c r="Q495" s="204" t="s">
        <v>704</v>
      </c>
    </row>
    <row r="496" customFormat="false" ht="15" hidden="false" customHeight="false" outlineLevel="0" collapsed="false">
      <c r="A496" s="319" t="s">
        <v>705</v>
      </c>
      <c r="B496" s="341"/>
      <c r="C496" s="204" t="s">
        <v>704</v>
      </c>
      <c r="D496" s="204" t="s">
        <v>704</v>
      </c>
      <c r="E496" s="204" t="s">
        <v>704</v>
      </c>
      <c r="F496" s="204" t="s">
        <v>704</v>
      </c>
      <c r="G496" s="204" t="s">
        <v>704</v>
      </c>
      <c r="H496" s="204" t="s">
        <v>704</v>
      </c>
      <c r="I496" s="204" t="s">
        <v>704</v>
      </c>
      <c r="J496" s="204" t="s">
        <v>704</v>
      </c>
      <c r="K496" s="204" t="s">
        <v>704</v>
      </c>
      <c r="L496" s="204" t="s">
        <v>704</v>
      </c>
      <c r="M496" s="204" t="s">
        <v>704</v>
      </c>
      <c r="N496" s="204" t="s">
        <v>704</v>
      </c>
      <c r="O496" s="204" t="s">
        <v>704</v>
      </c>
      <c r="P496" s="204" t="s">
        <v>704</v>
      </c>
      <c r="Q496" s="204" t="s">
        <v>704</v>
      </c>
    </row>
    <row r="497" customFormat="false" ht="15" hidden="false" customHeight="false" outlineLevel="0" collapsed="false">
      <c r="A497" s="319" t="s">
        <v>706</v>
      </c>
      <c r="B497" s="341"/>
      <c r="C497" s="204" t="s">
        <v>704</v>
      </c>
      <c r="D497" s="204" t="s">
        <v>704</v>
      </c>
      <c r="E497" s="204" t="s">
        <v>704</v>
      </c>
      <c r="F497" s="204" t="s">
        <v>704</v>
      </c>
      <c r="G497" s="204" t="s">
        <v>704</v>
      </c>
      <c r="H497" s="204" t="s">
        <v>704</v>
      </c>
      <c r="I497" s="204" t="s">
        <v>704</v>
      </c>
      <c r="J497" s="204" t="s">
        <v>704</v>
      </c>
      <c r="K497" s="204" t="s">
        <v>704</v>
      </c>
      <c r="L497" s="204" t="s">
        <v>704</v>
      </c>
      <c r="M497" s="204" t="s">
        <v>704</v>
      </c>
      <c r="N497" s="204" t="s">
        <v>704</v>
      </c>
      <c r="O497" s="204" t="s">
        <v>704</v>
      </c>
      <c r="P497" s="204" t="s">
        <v>704</v>
      </c>
      <c r="Q497" s="204" t="s">
        <v>704</v>
      </c>
    </row>
    <row r="498" customFormat="false" ht="15" hidden="false" customHeight="false" outlineLevel="0" collapsed="false">
      <c r="A498" s="319" t="s">
        <v>707</v>
      </c>
      <c r="B498" s="341"/>
      <c r="C498" s="204" t="s">
        <v>704</v>
      </c>
      <c r="D498" s="204" t="s">
        <v>704</v>
      </c>
      <c r="E498" s="204" t="s">
        <v>704</v>
      </c>
      <c r="F498" s="204" t="s">
        <v>704</v>
      </c>
      <c r="G498" s="204" t="s">
        <v>704</v>
      </c>
      <c r="H498" s="204" t="s">
        <v>704</v>
      </c>
      <c r="I498" s="204" t="s">
        <v>704</v>
      </c>
      <c r="J498" s="204" t="s">
        <v>704</v>
      </c>
      <c r="K498" s="204" t="s">
        <v>704</v>
      </c>
      <c r="L498" s="204" t="s">
        <v>704</v>
      </c>
      <c r="M498" s="204" t="s">
        <v>704</v>
      </c>
      <c r="N498" s="204" t="s">
        <v>704</v>
      </c>
      <c r="O498" s="204" t="s">
        <v>704</v>
      </c>
      <c r="P498" s="204" t="s">
        <v>704</v>
      </c>
      <c r="Q498" s="204" t="s">
        <v>704</v>
      </c>
    </row>
    <row r="499" customFormat="false" ht="15" hidden="false" customHeight="false" outlineLevel="0" collapsed="false">
      <c r="A499" s="319" t="s">
        <v>708</v>
      </c>
      <c r="B499" s="341"/>
      <c r="C499" s="204" t="s">
        <v>704</v>
      </c>
      <c r="D499" s="204" t="s">
        <v>704</v>
      </c>
      <c r="E499" s="204" t="s">
        <v>704</v>
      </c>
      <c r="F499" s="204" t="s">
        <v>704</v>
      </c>
      <c r="G499" s="204" t="s">
        <v>704</v>
      </c>
      <c r="H499" s="204" t="s">
        <v>704</v>
      </c>
      <c r="I499" s="204" t="s">
        <v>704</v>
      </c>
      <c r="J499" s="204" t="s">
        <v>704</v>
      </c>
      <c r="K499" s="204" t="s">
        <v>704</v>
      </c>
      <c r="L499" s="204" t="s">
        <v>704</v>
      </c>
      <c r="M499" s="204" t="s">
        <v>704</v>
      </c>
      <c r="N499" s="204" t="s">
        <v>704</v>
      </c>
      <c r="O499" s="204" t="s">
        <v>704</v>
      </c>
      <c r="P499" s="204" t="s">
        <v>704</v>
      </c>
      <c r="Q499" s="204" t="s">
        <v>704</v>
      </c>
    </row>
    <row r="500" customFormat="false" ht="15" hidden="false" customHeight="false" outlineLevel="0" collapsed="false">
      <c r="A500" s="319" t="s">
        <v>703</v>
      </c>
      <c r="B500" s="341" t="s">
        <v>377</v>
      </c>
      <c r="C500" s="204" t="s">
        <v>704</v>
      </c>
      <c r="D500" s="204" t="s">
        <v>704</v>
      </c>
      <c r="E500" s="204" t="s">
        <v>704</v>
      </c>
      <c r="F500" s="204" t="s">
        <v>704</v>
      </c>
      <c r="G500" s="204" t="s">
        <v>704</v>
      </c>
      <c r="H500" s="204" t="s">
        <v>704</v>
      </c>
      <c r="I500" s="204" t="s">
        <v>704</v>
      </c>
      <c r="J500" s="204" t="s">
        <v>704</v>
      </c>
      <c r="K500" s="204" t="s">
        <v>704</v>
      </c>
      <c r="L500" s="204" t="s">
        <v>704</v>
      </c>
      <c r="M500" s="204" t="s">
        <v>704</v>
      </c>
      <c r="N500" s="204" t="s">
        <v>704</v>
      </c>
      <c r="O500" s="204" t="s">
        <v>704</v>
      </c>
      <c r="P500" s="204" t="s">
        <v>704</v>
      </c>
      <c r="Q500" s="204" t="s">
        <v>704</v>
      </c>
    </row>
    <row r="501" customFormat="false" ht="15" hidden="false" customHeight="false" outlineLevel="0" collapsed="false">
      <c r="A501" s="319" t="s">
        <v>705</v>
      </c>
      <c r="B501" s="341"/>
      <c r="C501" s="204" t="s">
        <v>704</v>
      </c>
      <c r="D501" s="204" t="s">
        <v>704</v>
      </c>
      <c r="E501" s="204" t="s">
        <v>704</v>
      </c>
      <c r="F501" s="204" t="s">
        <v>704</v>
      </c>
      <c r="G501" s="204" t="s">
        <v>704</v>
      </c>
      <c r="H501" s="204" t="s">
        <v>704</v>
      </c>
      <c r="I501" s="204" t="s">
        <v>704</v>
      </c>
      <c r="J501" s="204" t="s">
        <v>704</v>
      </c>
      <c r="K501" s="204" t="s">
        <v>704</v>
      </c>
      <c r="L501" s="204" t="s">
        <v>704</v>
      </c>
      <c r="M501" s="204" t="s">
        <v>704</v>
      </c>
      <c r="N501" s="204" t="s">
        <v>704</v>
      </c>
      <c r="O501" s="204" t="s">
        <v>704</v>
      </c>
      <c r="P501" s="204" t="s">
        <v>704</v>
      </c>
      <c r="Q501" s="204" t="s">
        <v>704</v>
      </c>
    </row>
    <row r="502" customFormat="false" ht="15" hidden="false" customHeight="false" outlineLevel="0" collapsed="false">
      <c r="A502" s="319" t="s">
        <v>706</v>
      </c>
      <c r="B502" s="341"/>
      <c r="C502" s="204" t="s">
        <v>704</v>
      </c>
      <c r="D502" s="204" t="s">
        <v>704</v>
      </c>
      <c r="E502" s="204" t="s">
        <v>704</v>
      </c>
      <c r="F502" s="204" t="s">
        <v>704</v>
      </c>
      <c r="G502" s="204" t="s">
        <v>704</v>
      </c>
      <c r="H502" s="204" t="s">
        <v>704</v>
      </c>
      <c r="I502" s="204" t="s">
        <v>704</v>
      </c>
      <c r="J502" s="204" t="s">
        <v>704</v>
      </c>
      <c r="K502" s="204" t="s">
        <v>704</v>
      </c>
      <c r="L502" s="204" t="s">
        <v>704</v>
      </c>
      <c r="M502" s="204" t="s">
        <v>704</v>
      </c>
      <c r="N502" s="204" t="s">
        <v>704</v>
      </c>
      <c r="O502" s="204" t="s">
        <v>704</v>
      </c>
      <c r="P502" s="204" t="s">
        <v>704</v>
      </c>
      <c r="Q502" s="204" t="s">
        <v>704</v>
      </c>
    </row>
    <row r="503" customFormat="false" ht="15" hidden="false" customHeight="false" outlineLevel="0" collapsed="false">
      <c r="A503" s="319" t="s">
        <v>707</v>
      </c>
      <c r="B503" s="341"/>
      <c r="C503" s="204" t="s">
        <v>704</v>
      </c>
      <c r="D503" s="204" t="s">
        <v>704</v>
      </c>
      <c r="E503" s="204" t="s">
        <v>704</v>
      </c>
      <c r="F503" s="204" t="s">
        <v>704</v>
      </c>
      <c r="G503" s="204" t="s">
        <v>704</v>
      </c>
      <c r="H503" s="204" t="s">
        <v>704</v>
      </c>
      <c r="I503" s="204" t="s">
        <v>704</v>
      </c>
      <c r="J503" s="204" t="s">
        <v>704</v>
      </c>
      <c r="K503" s="204" t="s">
        <v>704</v>
      </c>
      <c r="L503" s="204" t="s">
        <v>704</v>
      </c>
      <c r="M503" s="204" t="s">
        <v>704</v>
      </c>
      <c r="N503" s="204" t="s">
        <v>704</v>
      </c>
      <c r="O503" s="204" t="s">
        <v>704</v>
      </c>
      <c r="P503" s="204" t="s">
        <v>704</v>
      </c>
      <c r="Q503" s="204" t="s">
        <v>704</v>
      </c>
    </row>
    <row r="504" customFormat="false" ht="15" hidden="false" customHeight="false" outlineLevel="0" collapsed="false">
      <c r="A504" s="319" t="s">
        <v>708</v>
      </c>
      <c r="B504" s="341"/>
      <c r="C504" s="204" t="s">
        <v>704</v>
      </c>
      <c r="D504" s="204" t="s">
        <v>704</v>
      </c>
      <c r="E504" s="204" t="s">
        <v>704</v>
      </c>
      <c r="F504" s="204" t="s">
        <v>704</v>
      </c>
      <c r="G504" s="204" t="s">
        <v>704</v>
      </c>
      <c r="H504" s="204" t="s">
        <v>704</v>
      </c>
      <c r="I504" s="204" t="s">
        <v>704</v>
      </c>
      <c r="J504" s="204" t="s">
        <v>704</v>
      </c>
      <c r="K504" s="204" t="s">
        <v>704</v>
      </c>
      <c r="L504" s="204" t="s">
        <v>704</v>
      </c>
      <c r="M504" s="204" t="s">
        <v>704</v>
      </c>
      <c r="N504" s="204" t="s">
        <v>704</v>
      </c>
      <c r="O504" s="204" t="s">
        <v>704</v>
      </c>
      <c r="P504" s="204" t="s">
        <v>704</v>
      </c>
      <c r="Q504" s="204" t="s">
        <v>704</v>
      </c>
    </row>
    <row r="505" customFormat="false" ht="15" hidden="false" customHeight="false" outlineLevel="0" collapsed="false">
      <c r="A505" s="319" t="s">
        <v>703</v>
      </c>
      <c r="B505" s="341" t="s">
        <v>378</v>
      </c>
      <c r="C505" s="204" t="s">
        <v>704</v>
      </c>
      <c r="D505" s="204" t="s">
        <v>704</v>
      </c>
      <c r="E505" s="204" t="s">
        <v>704</v>
      </c>
      <c r="F505" s="204" t="s">
        <v>704</v>
      </c>
      <c r="G505" s="204" t="s">
        <v>704</v>
      </c>
      <c r="H505" s="204" t="s">
        <v>704</v>
      </c>
      <c r="I505" s="204" t="s">
        <v>704</v>
      </c>
      <c r="J505" s="204" t="s">
        <v>704</v>
      </c>
      <c r="K505" s="204" t="s">
        <v>704</v>
      </c>
      <c r="L505" s="204" t="s">
        <v>704</v>
      </c>
      <c r="M505" s="204" t="s">
        <v>704</v>
      </c>
      <c r="N505" s="204" t="s">
        <v>704</v>
      </c>
      <c r="O505" s="204" t="s">
        <v>704</v>
      </c>
      <c r="P505" s="204" t="s">
        <v>704</v>
      </c>
      <c r="Q505" s="204" t="s">
        <v>704</v>
      </c>
    </row>
    <row r="506" customFormat="false" ht="15" hidden="false" customHeight="false" outlineLevel="0" collapsed="false">
      <c r="A506" s="319" t="s">
        <v>705</v>
      </c>
      <c r="B506" s="341"/>
      <c r="C506" s="204" t="s">
        <v>704</v>
      </c>
      <c r="D506" s="204" t="s">
        <v>704</v>
      </c>
      <c r="E506" s="204" t="s">
        <v>704</v>
      </c>
      <c r="F506" s="204" t="s">
        <v>704</v>
      </c>
      <c r="G506" s="204" t="s">
        <v>704</v>
      </c>
      <c r="H506" s="204" t="s">
        <v>704</v>
      </c>
      <c r="I506" s="204" t="s">
        <v>704</v>
      </c>
      <c r="J506" s="204" t="s">
        <v>704</v>
      </c>
      <c r="K506" s="204" t="s">
        <v>704</v>
      </c>
      <c r="L506" s="204" t="s">
        <v>704</v>
      </c>
      <c r="M506" s="204" t="s">
        <v>704</v>
      </c>
      <c r="N506" s="204" t="s">
        <v>704</v>
      </c>
      <c r="O506" s="204" t="s">
        <v>704</v>
      </c>
      <c r="P506" s="204" t="s">
        <v>704</v>
      </c>
      <c r="Q506" s="204" t="s">
        <v>704</v>
      </c>
    </row>
    <row r="507" customFormat="false" ht="15" hidden="false" customHeight="false" outlineLevel="0" collapsed="false">
      <c r="A507" s="319" t="s">
        <v>706</v>
      </c>
      <c r="B507" s="341"/>
      <c r="C507" s="204" t="s">
        <v>704</v>
      </c>
      <c r="D507" s="204" t="s">
        <v>704</v>
      </c>
      <c r="E507" s="204" t="s">
        <v>704</v>
      </c>
      <c r="F507" s="204" t="s">
        <v>704</v>
      </c>
      <c r="G507" s="204" t="s">
        <v>704</v>
      </c>
      <c r="H507" s="204" t="s">
        <v>704</v>
      </c>
      <c r="I507" s="204" t="s">
        <v>704</v>
      </c>
      <c r="J507" s="204" t="s">
        <v>704</v>
      </c>
      <c r="K507" s="204" t="s">
        <v>704</v>
      </c>
      <c r="L507" s="204" t="s">
        <v>704</v>
      </c>
      <c r="M507" s="204" t="s">
        <v>704</v>
      </c>
      <c r="N507" s="204" t="s">
        <v>704</v>
      </c>
      <c r="O507" s="204" t="s">
        <v>704</v>
      </c>
      <c r="P507" s="204" t="s">
        <v>704</v>
      </c>
      <c r="Q507" s="204" t="s">
        <v>704</v>
      </c>
    </row>
    <row r="508" customFormat="false" ht="15" hidden="false" customHeight="false" outlineLevel="0" collapsed="false">
      <c r="A508" s="319" t="s">
        <v>707</v>
      </c>
      <c r="B508" s="341"/>
      <c r="C508" s="204" t="s">
        <v>704</v>
      </c>
      <c r="D508" s="204" t="s">
        <v>704</v>
      </c>
      <c r="E508" s="204" t="s">
        <v>704</v>
      </c>
      <c r="F508" s="204" t="s">
        <v>704</v>
      </c>
      <c r="G508" s="204" t="s">
        <v>704</v>
      </c>
      <c r="H508" s="204" t="s">
        <v>704</v>
      </c>
      <c r="I508" s="204" t="s">
        <v>704</v>
      </c>
      <c r="J508" s="204" t="s">
        <v>704</v>
      </c>
      <c r="K508" s="204" t="s">
        <v>704</v>
      </c>
      <c r="L508" s="204" t="s">
        <v>704</v>
      </c>
      <c r="M508" s="204" t="s">
        <v>704</v>
      </c>
      <c r="N508" s="204" t="s">
        <v>704</v>
      </c>
      <c r="O508" s="204" t="s">
        <v>704</v>
      </c>
      <c r="P508" s="204" t="s">
        <v>704</v>
      </c>
      <c r="Q508" s="204" t="s">
        <v>704</v>
      </c>
    </row>
    <row r="509" customFormat="false" ht="15" hidden="false" customHeight="false" outlineLevel="0" collapsed="false">
      <c r="A509" s="326" t="s">
        <v>708</v>
      </c>
      <c r="B509" s="341"/>
      <c r="C509" s="244" t="s">
        <v>704</v>
      </c>
      <c r="D509" s="244" t="s">
        <v>704</v>
      </c>
      <c r="E509" s="244" t="s">
        <v>704</v>
      </c>
      <c r="F509" s="244" t="s">
        <v>704</v>
      </c>
      <c r="G509" s="244" t="s">
        <v>704</v>
      </c>
      <c r="H509" s="244" t="s">
        <v>704</v>
      </c>
      <c r="I509" s="244" t="s">
        <v>704</v>
      </c>
      <c r="J509" s="244" t="s">
        <v>704</v>
      </c>
      <c r="K509" s="244" t="s">
        <v>704</v>
      </c>
      <c r="L509" s="244" t="s">
        <v>704</v>
      </c>
      <c r="M509" s="244" t="s">
        <v>704</v>
      </c>
      <c r="N509" s="244" t="s">
        <v>704</v>
      </c>
      <c r="O509" s="244" t="s">
        <v>704</v>
      </c>
      <c r="P509" s="244" t="s">
        <v>704</v>
      </c>
      <c r="Q509" s="244" t="s">
        <v>704</v>
      </c>
    </row>
  </sheetData>
  <mergeCells count="133">
    <mergeCell ref="A1:C1"/>
    <mergeCell ref="A3:AL3"/>
    <mergeCell ref="A4:A5"/>
    <mergeCell ref="A7:AL7"/>
    <mergeCell ref="G8:AL8"/>
    <mergeCell ref="A9:A10"/>
    <mergeCell ref="A14:I14"/>
    <mergeCell ref="A27:I27"/>
    <mergeCell ref="A30:C30"/>
    <mergeCell ref="A31:C31"/>
    <mergeCell ref="A35:C35"/>
    <mergeCell ref="A41:C41"/>
    <mergeCell ref="A44:C44"/>
    <mergeCell ref="A47:C47"/>
    <mergeCell ref="A53:C53"/>
    <mergeCell ref="A60:I60"/>
    <mergeCell ref="A70:A71"/>
    <mergeCell ref="A73:C73"/>
    <mergeCell ref="A74:A75"/>
    <mergeCell ref="A77:C77"/>
    <mergeCell ref="A79:C79"/>
    <mergeCell ref="A82:C82"/>
    <mergeCell ref="A83:A84"/>
    <mergeCell ref="A85:A86"/>
    <mergeCell ref="A87:A88"/>
    <mergeCell ref="A89:A90"/>
    <mergeCell ref="A91:A92"/>
    <mergeCell ref="A93:A94"/>
    <mergeCell ref="A95:A96"/>
    <mergeCell ref="A97:A98"/>
    <mergeCell ref="A101:C101"/>
    <mergeCell ref="A113:E113"/>
    <mergeCell ref="A114:A117"/>
    <mergeCell ref="B114:B117"/>
    <mergeCell ref="D116:E117"/>
    <mergeCell ref="A121:J121"/>
    <mergeCell ref="A123:A127"/>
    <mergeCell ref="A128:A132"/>
    <mergeCell ref="A136:H136"/>
    <mergeCell ref="A138:A141"/>
    <mergeCell ref="A142:A145"/>
    <mergeCell ref="A146:A149"/>
    <mergeCell ref="A150:A153"/>
    <mergeCell ref="A154:A157"/>
    <mergeCell ref="A158:H158"/>
    <mergeCell ref="A160:A163"/>
    <mergeCell ref="A164:A167"/>
    <mergeCell ref="A168:A171"/>
    <mergeCell ref="A172:A175"/>
    <mergeCell ref="A176:A179"/>
    <mergeCell ref="A181:H181"/>
    <mergeCell ref="A183:A187"/>
    <mergeCell ref="A188:A192"/>
    <mergeCell ref="A193:A197"/>
    <mergeCell ref="A198:A202"/>
    <mergeCell ref="A205:E205"/>
    <mergeCell ref="A206:E206"/>
    <mergeCell ref="A208:A210"/>
    <mergeCell ref="C208:C210"/>
    <mergeCell ref="A212:C212"/>
    <mergeCell ref="A215:B215"/>
    <mergeCell ref="A216:B216"/>
    <mergeCell ref="A217:B217"/>
    <mergeCell ref="A218:B218"/>
    <mergeCell ref="A219:B219"/>
    <mergeCell ref="A220:B220"/>
    <mergeCell ref="A221:Q221"/>
    <mergeCell ref="A222:B222"/>
    <mergeCell ref="A223:B223"/>
    <mergeCell ref="A224:B224"/>
    <mergeCell ref="A225:B225"/>
    <mergeCell ref="A226:B226"/>
    <mergeCell ref="A227:Q227"/>
    <mergeCell ref="A228:B228"/>
    <mergeCell ref="A229:B229"/>
    <mergeCell ref="A230:B230"/>
    <mergeCell ref="A231:B231"/>
    <mergeCell ref="A232:B232"/>
    <mergeCell ref="A233:Q233"/>
    <mergeCell ref="A234:B234"/>
    <mergeCell ref="A235:B235"/>
    <mergeCell ref="A236:B236"/>
    <mergeCell ref="A237:B237"/>
    <mergeCell ref="A238:B238"/>
    <mergeCell ref="A239:Q239"/>
    <mergeCell ref="A240:B240"/>
    <mergeCell ref="A241:B241"/>
    <mergeCell ref="A242:B242"/>
    <mergeCell ref="A243:B243"/>
    <mergeCell ref="A244:B244"/>
    <mergeCell ref="A246:C246"/>
    <mergeCell ref="A247:A248"/>
    <mergeCell ref="C247:C248"/>
    <mergeCell ref="A251:Q251"/>
    <mergeCell ref="A252:B252"/>
    <mergeCell ref="A253:B253"/>
    <mergeCell ref="A254:B254"/>
    <mergeCell ref="A255:B255"/>
    <mergeCell ref="A256:B256"/>
    <mergeCell ref="A257:B257"/>
    <mergeCell ref="A258:C258"/>
    <mergeCell ref="A262:C262"/>
    <mergeCell ref="A264:A266"/>
    <mergeCell ref="C264:C266"/>
    <mergeCell ref="A268:A270"/>
    <mergeCell ref="C268:C270"/>
    <mergeCell ref="A275:D275"/>
    <mergeCell ref="A276:D276"/>
    <mergeCell ref="A277:C277"/>
    <mergeCell ref="C279:E279"/>
    <mergeCell ref="A281:A299"/>
    <mergeCell ref="A300:C300"/>
    <mergeCell ref="A306:C306"/>
    <mergeCell ref="A307:C307"/>
    <mergeCell ref="A309:C309"/>
    <mergeCell ref="A310:A313"/>
    <mergeCell ref="C310:C313"/>
    <mergeCell ref="A318:I318"/>
    <mergeCell ref="A421:I421"/>
    <mergeCell ref="A445:H445"/>
    <mergeCell ref="A447:H447"/>
    <mergeCell ref="A449:H449"/>
    <mergeCell ref="A451:H451"/>
    <mergeCell ref="A454:I454"/>
    <mergeCell ref="A462:C462"/>
    <mergeCell ref="A471:C471"/>
    <mergeCell ref="A478:C478"/>
    <mergeCell ref="A484:B484"/>
    <mergeCell ref="B485:B489"/>
    <mergeCell ref="B490:B494"/>
    <mergeCell ref="B495:B499"/>
    <mergeCell ref="B500:B504"/>
    <mergeCell ref="B505:B509"/>
  </mergeCells>
  <conditionalFormatting sqref="C253:AZ257">
    <cfRule type="cellIs" priority="2" operator="lessThan" aboveAverage="0" equalAverage="0" bottom="0" percent="0" rank="0" text="" dxfId="2">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250</TotalTime>
  <Application>LibreOffice/25.8.5.2$Linux_X86_64 LibreOffice_project/252c20f6956e3db0b52e6e2f9dda67263513c8fc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2017-01-25T13:20:29Z</dcterms:created>
  <dc:creator>IdB</dc:creator>
  <dc:description/>
  <dc:language>en-US</dc:language>
  <cp:lastModifiedBy/>
  <dcterms:modified xsi:type="dcterms:W3CDTF">2026-03-17T12:29:41Z</dcterms:modified>
  <cp:revision>13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ies>
</file>